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o/Desktop/"/>
    </mc:Choice>
  </mc:AlternateContent>
  <xr:revisionPtr revIDLastSave="0" documentId="13_ncr:1_{E52190BF-6EA4-C444-9D95-061E68287496}" xr6:coauthVersionLast="47" xr6:coauthVersionMax="47" xr10:uidLastSave="{00000000-0000-0000-0000-000000000000}"/>
  <bookViews>
    <workbookView xWindow="600" yWindow="500" windowWidth="44480" windowHeight="28300" activeTab="1" xr2:uid="{00000000-000D-0000-FFFF-FFFF00000000}"/>
  </bookViews>
  <sheets>
    <sheet name="portugese" sheetId="4" r:id="rId1"/>
    <sheet name="math" sheetId="2" r:id="rId2"/>
    <sheet name="main_attributes" sheetId="7" r:id="rId3"/>
    <sheet name="math_mother_father_ed" sheetId="5" r:id="rId4"/>
    <sheet name="parent_ed_combinations" sheetId="6" r:id="rId5"/>
    <sheet name="Sheet1" sheetId="3" r:id="rId6"/>
  </sheets>
  <definedNames>
    <definedName name="diabetes_data_upload" localSheetId="5">Sheet1!$A$1:$Q$521</definedName>
    <definedName name="student_mat" localSheetId="1">math!$A$1:$AX$396</definedName>
    <definedName name="student_mat" localSheetId="3">math_mother_father_ed!$A$1:$AS$396</definedName>
    <definedName name="student_por" localSheetId="0">portugese!$A$1:$AH$650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W17" i="5" l="1"/>
  <c r="AV17" i="5"/>
  <c r="AP398" i="5"/>
  <c r="AP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137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53" i="5"/>
  <c r="AP154" i="5"/>
  <c r="AP155" i="5"/>
  <c r="AP156" i="5"/>
  <c r="AP157" i="5"/>
  <c r="AP158" i="5"/>
  <c r="AP159" i="5"/>
  <c r="AP160" i="5"/>
  <c r="AP161" i="5"/>
  <c r="AP162" i="5"/>
  <c r="AP163" i="5"/>
  <c r="AP164" i="5"/>
  <c r="AP165" i="5"/>
  <c r="AP166" i="5"/>
  <c r="AP167" i="5"/>
  <c r="AP168" i="5"/>
  <c r="AP169" i="5"/>
  <c r="AP170" i="5"/>
  <c r="AP171" i="5"/>
  <c r="AP172" i="5"/>
  <c r="AP173" i="5"/>
  <c r="AP174" i="5"/>
  <c r="AP175" i="5"/>
  <c r="AP176" i="5"/>
  <c r="AP177" i="5"/>
  <c r="AP178" i="5"/>
  <c r="AP179" i="5"/>
  <c r="AP180" i="5"/>
  <c r="AP181" i="5"/>
  <c r="AP182" i="5"/>
  <c r="AP183" i="5"/>
  <c r="AP184" i="5"/>
  <c r="AP185" i="5"/>
  <c r="AP186" i="5"/>
  <c r="AP187" i="5"/>
  <c r="AP188" i="5"/>
  <c r="AP189" i="5"/>
  <c r="AP190" i="5"/>
  <c r="AP191" i="5"/>
  <c r="AP192" i="5"/>
  <c r="AP193" i="5"/>
  <c r="AP194" i="5"/>
  <c r="AP195" i="5"/>
  <c r="AP196" i="5"/>
  <c r="AP197" i="5"/>
  <c r="AP198" i="5"/>
  <c r="AP199" i="5"/>
  <c r="AP200" i="5"/>
  <c r="AP201" i="5"/>
  <c r="AP202" i="5"/>
  <c r="AP203" i="5"/>
  <c r="AP204" i="5"/>
  <c r="AP205" i="5"/>
  <c r="AP206" i="5"/>
  <c r="AP207" i="5"/>
  <c r="AP208" i="5"/>
  <c r="AP209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49" i="5"/>
  <c r="AP250" i="5"/>
  <c r="AP251" i="5"/>
  <c r="AP252" i="5"/>
  <c r="AP253" i="5"/>
  <c r="AP254" i="5"/>
  <c r="AP255" i="5"/>
  <c r="AP256" i="5"/>
  <c r="AP257" i="5"/>
  <c r="AP258" i="5"/>
  <c r="AP259" i="5"/>
  <c r="AP260" i="5"/>
  <c r="AP261" i="5"/>
  <c r="AP262" i="5"/>
  <c r="AP263" i="5"/>
  <c r="AP264" i="5"/>
  <c r="AP265" i="5"/>
  <c r="AP266" i="5"/>
  <c r="AP267" i="5"/>
  <c r="AP268" i="5"/>
  <c r="AP269" i="5"/>
  <c r="AP270" i="5"/>
  <c r="AP271" i="5"/>
  <c r="AP272" i="5"/>
  <c r="AP273" i="5"/>
  <c r="AP274" i="5"/>
  <c r="AP275" i="5"/>
  <c r="AP276" i="5"/>
  <c r="AP277" i="5"/>
  <c r="AP278" i="5"/>
  <c r="AP279" i="5"/>
  <c r="AP280" i="5"/>
  <c r="AP281" i="5"/>
  <c r="AP282" i="5"/>
  <c r="AP283" i="5"/>
  <c r="AP284" i="5"/>
  <c r="AP285" i="5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AP299" i="5"/>
  <c r="AP300" i="5"/>
  <c r="AP301" i="5"/>
  <c r="AP302" i="5"/>
  <c r="AP303" i="5"/>
  <c r="AP304" i="5"/>
  <c r="AP305" i="5"/>
  <c r="AP306" i="5"/>
  <c r="AP307" i="5"/>
  <c r="AP308" i="5"/>
  <c r="AP309" i="5"/>
  <c r="AP310" i="5"/>
  <c r="AP311" i="5"/>
  <c r="AP312" i="5"/>
  <c r="AP313" i="5"/>
  <c r="AP314" i="5"/>
  <c r="AP315" i="5"/>
  <c r="AP316" i="5"/>
  <c r="AP317" i="5"/>
  <c r="AP318" i="5"/>
  <c r="AP319" i="5"/>
  <c r="AP320" i="5"/>
  <c r="AP321" i="5"/>
  <c r="AP322" i="5"/>
  <c r="AP323" i="5"/>
  <c r="AP324" i="5"/>
  <c r="AP325" i="5"/>
  <c r="AP326" i="5"/>
  <c r="AP327" i="5"/>
  <c r="AP328" i="5"/>
  <c r="AP329" i="5"/>
  <c r="AP330" i="5"/>
  <c r="AP331" i="5"/>
  <c r="AP332" i="5"/>
  <c r="AP333" i="5"/>
  <c r="AP334" i="5"/>
  <c r="AP335" i="5"/>
  <c r="AP336" i="5"/>
  <c r="AP337" i="5"/>
  <c r="AP338" i="5"/>
  <c r="AP339" i="5"/>
  <c r="AP340" i="5"/>
  <c r="AP341" i="5"/>
  <c r="AP342" i="5"/>
  <c r="AP343" i="5"/>
  <c r="AP344" i="5"/>
  <c r="AP345" i="5"/>
  <c r="AP346" i="5"/>
  <c r="AP347" i="5"/>
  <c r="AP348" i="5"/>
  <c r="AP349" i="5"/>
  <c r="AP350" i="5"/>
  <c r="AP351" i="5"/>
  <c r="AP352" i="5"/>
  <c r="AP353" i="5"/>
  <c r="AP354" i="5"/>
  <c r="AP355" i="5"/>
  <c r="AP356" i="5"/>
  <c r="AP357" i="5"/>
  <c r="AP358" i="5"/>
  <c r="AP359" i="5"/>
  <c r="AP360" i="5"/>
  <c r="AP361" i="5"/>
  <c r="AP362" i="5"/>
  <c r="AP363" i="5"/>
  <c r="AP364" i="5"/>
  <c r="AP365" i="5"/>
  <c r="AP366" i="5"/>
  <c r="AP367" i="5"/>
  <c r="AP368" i="5"/>
  <c r="AP369" i="5"/>
  <c r="AP370" i="5"/>
  <c r="AP371" i="5"/>
  <c r="AP372" i="5"/>
  <c r="AP373" i="5"/>
  <c r="AP374" i="5"/>
  <c r="AP375" i="5"/>
  <c r="AP376" i="5"/>
  <c r="AP377" i="5"/>
  <c r="AP378" i="5"/>
  <c r="AP379" i="5"/>
  <c r="AP380" i="5"/>
  <c r="AP381" i="5"/>
  <c r="AP382" i="5"/>
  <c r="AP383" i="5"/>
  <c r="AP384" i="5"/>
  <c r="AP385" i="5"/>
  <c r="AP386" i="5"/>
  <c r="AP387" i="5"/>
  <c r="AP388" i="5"/>
  <c r="AP389" i="5"/>
  <c r="AP390" i="5"/>
  <c r="AP391" i="5"/>
  <c r="AP392" i="5"/>
  <c r="AP393" i="5"/>
  <c r="AP394" i="5"/>
  <c r="AP395" i="5"/>
  <c r="AP396" i="5"/>
  <c r="AP2" i="5"/>
  <c r="AO398" i="5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38" i="5"/>
  <c r="AO239" i="5"/>
  <c r="AO240" i="5"/>
  <c r="AO241" i="5"/>
  <c r="AO242" i="5"/>
  <c r="AO243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66" i="5"/>
  <c r="AO267" i="5"/>
  <c r="AO268" i="5"/>
  <c r="AO269" i="5"/>
  <c r="AO270" i="5"/>
  <c r="AO271" i="5"/>
  <c r="AO272" i="5"/>
  <c r="AO273" i="5"/>
  <c r="AO274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99" i="5"/>
  <c r="AO300" i="5"/>
  <c r="AO301" i="5"/>
  <c r="AO302" i="5"/>
  <c r="AO303" i="5"/>
  <c r="AO304" i="5"/>
  <c r="AO305" i="5"/>
  <c r="AO306" i="5"/>
  <c r="AO307" i="5"/>
  <c r="AO308" i="5"/>
  <c r="AO309" i="5"/>
  <c r="AO310" i="5"/>
  <c r="AO311" i="5"/>
  <c r="AO312" i="5"/>
  <c r="AO313" i="5"/>
  <c r="AO314" i="5"/>
  <c r="AO315" i="5"/>
  <c r="AO316" i="5"/>
  <c r="AO317" i="5"/>
  <c r="AO318" i="5"/>
  <c r="AO319" i="5"/>
  <c r="AO320" i="5"/>
  <c r="AO321" i="5"/>
  <c r="AO322" i="5"/>
  <c r="AO323" i="5"/>
  <c r="AO324" i="5"/>
  <c r="AO325" i="5"/>
  <c r="AO326" i="5"/>
  <c r="AO327" i="5"/>
  <c r="AO328" i="5"/>
  <c r="AO329" i="5"/>
  <c r="AO330" i="5"/>
  <c r="AO331" i="5"/>
  <c r="AO332" i="5"/>
  <c r="AO333" i="5"/>
  <c r="AO334" i="5"/>
  <c r="AO335" i="5"/>
  <c r="AO336" i="5"/>
  <c r="AO337" i="5"/>
  <c r="AO338" i="5"/>
  <c r="AO339" i="5"/>
  <c r="AO340" i="5"/>
  <c r="AO341" i="5"/>
  <c r="AO342" i="5"/>
  <c r="AO343" i="5"/>
  <c r="AO344" i="5"/>
  <c r="AO345" i="5"/>
  <c r="AO346" i="5"/>
  <c r="AO347" i="5"/>
  <c r="AO348" i="5"/>
  <c r="AO349" i="5"/>
  <c r="AO350" i="5"/>
  <c r="AO351" i="5"/>
  <c r="AO352" i="5"/>
  <c r="AO353" i="5"/>
  <c r="AO354" i="5"/>
  <c r="AO355" i="5"/>
  <c r="AO356" i="5"/>
  <c r="AO357" i="5"/>
  <c r="AO358" i="5"/>
  <c r="AO359" i="5"/>
  <c r="AO360" i="5"/>
  <c r="AO361" i="5"/>
  <c r="AO362" i="5"/>
  <c r="AO363" i="5"/>
  <c r="AO364" i="5"/>
  <c r="AO365" i="5"/>
  <c r="AO366" i="5"/>
  <c r="AO367" i="5"/>
  <c r="AO368" i="5"/>
  <c r="AO369" i="5"/>
  <c r="AO370" i="5"/>
  <c r="AO371" i="5"/>
  <c r="AO372" i="5"/>
  <c r="AO373" i="5"/>
  <c r="AO374" i="5"/>
  <c r="AO375" i="5"/>
  <c r="AO376" i="5"/>
  <c r="AO377" i="5"/>
  <c r="AO378" i="5"/>
  <c r="AO379" i="5"/>
  <c r="AO380" i="5"/>
  <c r="AO381" i="5"/>
  <c r="AO382" i="5"/>
  <c r="AO383" i="5"/>
  <c r="AO384" i="5"/>
  <c r="AO385" i="5"/>
  <c r="AO386" i="5"/>
  <c r="AO387" i="5"/>
  <c r="AO388" i="5"/>
  <c r="AO389" i="5"/>
  <c r="AO390" i="5"/>
  <c r="AO391" i="5"/>
  <c r="AO392" i="5"/>
  <c r="AO393" i="5"/>
  <c r="AO394" i="5"/>
  <c r="AO395" i="5"/>
  <c r="AO396" i="5"/>
  <c r="AO2" i="5"/>
  <c r="BA12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AE2" i="2"/>
  <c r="AE398" i="2" s="1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2" i="5"/>
  <c r="AW3" i="5"/>
  <c r="AK396" i="5"/>
  <c r="AI396" i="5"/>
  <c r="AL396" i="5" s="1"/>
  <c r="S396" i="5"/>
  <c r="R396" i="5"/>
  <c r="Q396" i="5"/>
  <c r="P396" i="5"/>
  <c r="O396" i="5"/>
  <c r="M396" i="5"/>
  <c r="U396" i="5" s="1"/>
  <c r="L396" i="5"/>
  <c r="K396" i="5"/>
  <c r="J396" i="5"/>
  <c r="I396" i="5"/>
  <c r="G396" i="5"/>
  <c r="AK395" i="5"/>
  <c r="AI395" i="5"/>
  <c r="T395" i="5"/>
  <c r="S395" i="5"/>
  <c r="R395" i="5"/>
  <c r="Q395" i="5"/>
  <c r="P395" i="5"/>
  <c r="O395" i="5"/>
  <c r="M395" i="5"/>
  <c r="AN395" i="5" s="1"/>
  <c r="L395" i="5"/>
  <c r="K395" i="5"/>
  <c r="J395" i="5"/>
  <c r="I395" i="5"/>
  <c r="G395" i="5"/>
  <c r="AK394" i="5"/>
  <c r="AI394" i="5"/>
  <c r="S394" i="5"/>
  <c r="R394" i="5"/>
  <c r="Q394" i="5"/>
  <c r="P394" i="5"/>
  <c r="O394" i="5"/>
  <c r="M394" i="5"/>
  <c r="L394" i="5"/>
  <c r="W394" i="5" s="1"/>
  <c r="K394" i="5"/>
  <c r="J394" i="5"/>
  <c r="I394" i="5"/>
  <c r="G394" i="5"/>
  <c r="AK393" i="5"/>
  <c r="AI393" i="5"/>
  <c r="AL393" i="5" s="1"/>
  <c r="S393" i="5"/>
  <c r="R393" i="5"/>
  <c r="Q393" i="5"/>
  <c r="P393" i="5"/>
  <c r="O393" i="5"/>
  <c r="M393" i="5"/>
  <c r="U393" i="5" s="1"/>
  <c r="L393" i="5"/>
  <c r="K393" i="5"/>
  <c r="J393" i="5"/>
  <c r="I393" i="5"/>
  <c r="G393" i="5"/>
  <c r="AK392" i="5"/>
  <c r="AI392" i="5"/>
  <c r="S392" i="5"/>
  <c r="R392" i="5"/>
  <c r="Q392" i="5"/>
  <c r="P392" i="5"/>
  <c r="O392" i="5"/>
  <c r="M392" i="5"/>
  <c r="U392" i="5" s="1"/>
  <c r="L392" i="5"/>
  <c r="K392" i="5"/>
  <c r="J392" i="5"/>
  <c r="I392" i="5"/>
  <c r="G392" i="5"/>
  <c r="AK391" i="5"/>
  <c r="AI391" i="5"/>
  <c r="S391" i="5"/>
  <c r="R391" i="5"/>
  <c r="Q391" i="5"/>
  <c r="P391" i="5"/>
  <c r="O391" i="5"/>
  <c r="M391" i="5"/>
  <c r="AN391" i="5" s="1"/>
  <c r="L391" i="5"/>
  <c r="K391" i="5"/>
  <c r="J391" i="5"/>
  <c r="I391" i="5"/>
  <c r="G391" i="5"/>
  <c r="AK390" i="5"/>
  <c r="AI390" i="5"/>
  <c r="S390" i="5"/>
  <c r="R390" i="5"/>
  <c r="Q390" i="5"/>
  <c r="P390" i="5"/>
  <c r="O390" i="5"/>
  <c r="M390" i="5"/>
  <c r="U390" i="5" s="1"/>
  <c r="L390" i="5"/>
  <c r="W390" i="5" s="1"/>
  <c r="K390" i="5"/>
  <c r="J390" i="5"/>
  <c r="I390" i="5"/>
  <c r="G390" i="5"/>
  <c r="AK389" i="5"/>
  <c r="AI389" i="5"/>
  <c r="S389" i="5"/>
  <c r="R389" i="5"/>
  <c r="Q389" i="5"/>
  <c r="P389" i="5"/>
  <c r="O389" i="5"/>
  <c r="M389" i="5"/>
  <c r="U389" i="5" s="1"/>
  <c r="L389" i="5"/>
  <c r="K389" i="5"/>
  <c r="J389" i="5"/>
  <c r="I389" i="5"/>
  <c r="G389" i="5"/>
  <c r="AK388" i="5"/>
  <c r="AI388" i="5"/>
  <c r="S388" i="5"/>
  <c r="R388" i="5"/>
  <c r="Q388" i="5"/>
  <c r="P388" i="5"/>
  <c r="O388" i="5"/>
  <c r="M388" i="5"/>
  <c r="U388" i="5" s="1"/>
  <c r="L388" i="5"/>
  <c r="K388" i="5"/>
  <c r="J388" i="5"/>
  <c r="I388" i="5"/>
  <c r="G388" i="5"/>
  <c r="AK387" i="5"/>
  <c r="AI387" i="5"/>
  <c r="S387" i="5"/>
  <c r="R387" i="5"/>
  <c r="Q387" i="5"/>
  <c r="P387" i="5"/>
  <c r="O387" i="5"/>
  <c r="M387" i="5"/>
  <c r="AN387" i="5" s="1"/>
  <c r="L387" i="5"/>
  <c r="K387" i="5"/>
  <c r="J387" i="5"/>
  <c r="I387" i="5"/>
  <c r="G387" i="5"/>
  <c r="AK386" i="5"/>
  <c r="AI386" i="5"/>
  <c r="S386" i="5"/>
  <c r="R386" i="5"/>
  <c r="Q386" i="5"/>
  <c r="P386" i="5"/>
  <c r="O386" i="5"/>
  <c r="M386" i="5"/>
  <c r="L386" i="5"/>
  <c r="W386" i="5" s="1"/>
  <c r="K386" i="5"/>
  <c r="J386" i="5"/>
  <c r="I386" i="5"/>
  <c r="G386" i="5"/>
  <c r="AK385" i="5"/>
  <c r="AI385" i="5"/>
  <c r="S385" i="5"/>
  <c r="R385" i="5"/>
  <c r="Q385" i="5"/>
  <c r="P385" i="5"/>
  <c r="O385" i="5"/>
  <c r="M385" i="5"/>
  <c r="U385" i="5" s="1"/>
  <c r="L385" i="5"/>
  <c r="K385" i="5"/>
  <c r="J385" i="5"/>
  <c r="I385" i="5"/>
  <c r="G385" i="5"/>
  <c r="AK384" i="5"/>
  <c r="AI384" i="5"/>
  <c r="S384" i="5"/>
  <c r="R384" i="5"/>
  <c r="Q384" i="5"/>
  <c r="P384" i="5"/>
  <c r="O384" i="5"/>
  <c r="M384" i="5"/>
  <c r="U384" i="5" s="1"/>
  <c r="L384" i="5"/>
  <c r="K384" i="5"/>
  <c r="J384" i="5"/>
  <c r="I384" i="5"/>
  <c r="G384" i="5"/>
  <c r="AK383" i="5"/>
  <c r="AI383" i="5"/>
  <c r="S383" i="5"/>
  <c r="R383" i="5"/>
  <c r="Q383" i="5"/>
  <c r="P383" i="5"/>
  <c r="O383" i="5"/>
  <c r="M383" i="5"/>
  <c r="AN383" i="5" s="1"/>
  <c r="L383" i="5"/>
  <c r="K383" i="5"/>
  <c r="J383" i="5"/>
  <c r="I383" i="5"/>
  <c r="G383" i="5"/>
  <c r="AK382" i="5"/>
  <c r="AI382" i="5"/>
  <c r="S382" i="5"/>
  <c r="R382" i="5"/>
  <c r="Q382" i="5"/>
  <c r="P382" i="5"/>
  <c r="O382" i="5"/>
  <c r="M382" i="5"/>
  <c r="U382" i="5" s="1"/>
  <c r="L382" i="5"/>
  <c r="W382" i="5" s="1"/>
  <c r="K382" i="5"/>
  <c r="J382" i="5"/>
  <c r="I382" i="5"/>
  <c r="G382" i="5"/>
  <c r="AK381" i="5"/>
  <c r="AI381" i="5"/>
  <c r="S381" i="5"/>
  <c r="R381" i="5"/>
  <c r="Q381" i="5"/>
  <c r="P381" i="5"/>
  <c r="O381" i="5"/>
  <c r="M381" i="5"/>
  <c r="U381" i="5" s="1"/>
  <c r="L381" i="5"/>
  <c r="K381" i="5"/>
  <c r="J381" i="5"/>
  <c r="I381" i="5"/>
  <c r="G381" i="5"/>
  <c r="AK380" i="5"/>
  <c r="AI380" i="5"/>
  <c r="S380" i="5"/>
  <c r="R380" i="5"/>
  <c r="Q380" i="5"/>
  <c r="P380" i="5"/>
  <c r="O380" i="5"/>
  <c r="M380" i="5"/>
  <c r="U380" i="5" s="1"/>
  <c r="L380" i="5"/>
  <c r="K380" i="5"/>
  <c r="J380" i="5"/>
  <c r="I380" i="5"/>
  <c r="G380" i="5"/>
  <c r="AK379" i="5"/>
  <c r="AI379" i="5"/>
  <c r="S379" i="5"/>
  <c r="R379" i="5"/>
  <c r="Q379" i="5"/>
  <c r="P379" i="5"/>
  <c r="O379" i="5"/>
  <c r="M379" i="5"/>
  <c r="AN379" i="5" s="1"/>
  <c r="L379" i="5"/>
  <c r="K379" i="5"/>
  <c r="J379" i="5"/>
  <c r="I379" i="5"/>
  <c r="G379" i="5"/>
  <c r="AK378" i="5"/>
  <c r="AI378" i="5"/>
  <c r="S378" i="5"/>
  <c r="R378" i="5"/>
  <c r="Q378" i="5"/>
  <c r="P378" i="5"/>
  <c r="O378" i="5"/>
  <c r="M378" i="5"/>
  <c r="U378" i="5" s="1"/>
  <c r="L378" i="5"/>
  <c r="W378" i="5" s="1"/>
  <c r="K378" i="5"/>
  <c r="J378" i="5"/>
  <c r="I378" i="5"/>
  <c r="G378" i="5"/>
  <c r="AK377" i="5"/>
  <c r="AI377" i="5"/>
  <c r="S377" i="5"/>
  <c r="R377" i="5"/>
  <c r="Q377" i="5"/>
  <c r="P377" i="5"/>
  <c r="O377" i="5"/>
  <c r="M377" i="5"/>
  <c r="U377" i="5" s="1"/>
  <c r="L377" i="5"/>
  <c r="K377" i="5"/>
  <c r="J377" i="5"/>
  <c r="I377" i="5"/>
  <c r="G377" i="5"/>
  <c r="AK376" i="5"/>
  <c r="AI376" i="5"/>
  <c r="S376" i="5"/>
  <c r="R376" i="5"/>
  <c r="Q376" i="5"/>
  <c r="P376" i="5"/>
  <c r="O376" i="5"/>
  <c r="M376" i="5"/>
  <c r="U376" i="5" s="1"/>
  <c r="L376" i="5"/>
  <c r="K376" i="5"/>
  <c r="J376" i="5"/>
  <c r="I376" i="5"/>
  <c r="G376" i="5"/>
  <c r="AK375" i="5"/>
  <c r="AI375" i="5"/>
  <c r="S375" i="5"/>
  <c r="R375" i="5"/>
  <c r="Q375" i="5"/>
  <c r="P375" i="5"/>
  <c r="O375" i="5"/>
  <c r="M375" i="5"/>
  <c r="AN375" i="5" s="1"/>
  <c r="L375" i="5"/>
  <c r="K375" i="5"/>
  <c r="J375" i="5"/>
  <c r="I375" i="5"/>
  <c r="G375" i="5"/>
  <c r="AK374" i="5"/>
  <c r="AI374" i="5"/>
  <c r="S374" i="5"/>
  <c r="R374" i="5"/>
  <c r="Q374" i="5"/>
  <c r="P374" i="5"/>
  <c r="O374" i="5"/>
  <c r="M374" i="5"/>
  <c r="U374" i="5" s="1"/>
  <c r="L374" i="5"/>
  <c r="W374" i="5" s="1"/>
  <c r="K374" i="5"/>
  <c r="J374" i="5"/>
  <c r="I374" i="5"/>
  <c r="G374" i="5"/>
  <c r="AK373" i="5"/>
  <c r="AI373" i="5"/>
  <c r="S373" i="5"/>
  <c r="R373" i="5"/>
  <c r="Q373" i="5"/>
  <c r="P373" i="5"/>
  <c r="O373" i="5"/>
  <c r="M373" i="5"/>
  <c r="U373" i="5" s="1"/>
  <c r="L373" i="5"/>
  <c r="K373" i="5"/>
  <c r="J373" i="5"/>
  <c r="I373" i="5"/>
  <c r="G373" i="5"/>
  <c r="AK372" i="5"/>
  <c r="AI372" i="5"/>
  <c r="S372" i="5"/>
  <c r="R372" i="5"/>
  <c r="Q372" i="5"/>
  <c r="P372" i="5"/>
  <c r="O372" i="5"/>
  <c r="M372" i="5"/>
  <c r="U372" i="5" s="1"/>
  <c r="L372" i="5"/>
  <c r="K372" i="5"/>
  <c r="J372" i="5"/>
  <c r="I372" i="5"/>
  <c r="G372" i="5"/>
  <c r="AK371" i="5"/>
  <c r="AI371" i="5"/>
  <c r="AL371" i="5" s="1"/>
  <c r="S371" i="5"/>
  <c r="R371" i="5"/>
  <c r="Q371" i="5"/>
  <c r="P371" i="5"/>
  <c r="O371" i="5"/>
  <c r="M371" i="5"/>
  <c r="AN371" i="5" s="1"/>
  <c r="L371" i="5"/>
  <c r="K371" i="5"/>
  <c r="J371" i="5"/>
  <c r="I371" i="5"/>
  <c r="G371" i="5"/>
  <c r="AK370" i="5"/>
  <c r="AI370" i="5"/>
  <c r="S370" i="5"/>
  <c r="R370" i="5"/>
  <c r="Q370" i="5"/>
  <c r="P370" i="5"/>
  <c r="O370" i="5"/>
  <c r="M370" i="5"/>
  <c r="L370" i="5"/>
  <c r="W370" i="5" s="1"/>
  <c r="K370" i="5"/>
  <c r="J370" i="5"/>
  <c r="I370" i="5"/>
  <c r="G370" i="5"/>
  <c r="AK369" i="5"/>
  <c r="AI369" i="5"/>
  <c r="S369" i="5"/>
  <c r="R369" i="5"/>
  <c r="Q369" i="5"/>
  <c r="P369" i="5"/>
  <c r="O369" i="5"/>
  <c r="M369" i="5"/>
  <c r="U369" i="5" s="1"/>
  <c r="L369" i="5"/>
  <c r="K369" i="5"/>
  <c r="J369" i="5"/>
  <c r="I369" i="5"/>
  <c r="G369" i="5"/>
  <c r="AK368" i="5"/>
  <c r="AI368" i="5"/>
  <c r="S368" i="5"/>
  <c r="R368" i="5"/>
  <c r="Q368" i="5"/>
  <c r="P368" i="5"/>
  <c r="O368" i="5"/>
  <c r="M368" i="5"/>
  <c r="U368" i="5" s="1"/>
  <c r="L368" i="5"/>
  <c r="K368" i="5"/>
  <c r="J368" i="5"/>
  <c r="I368" i="5"/>
  <c r="G368" i="5"/>
  <c r="AK367" i="5"/>
  <c r="AI367" i="5"/>
  <c r="AL367" i="5" s="1"/>
  <c r="S367" i="5"/>
  <c r="R367" i="5"/>
  <c r="Q367" i="5"/>
  <c r="P367" i="5"/>
  <c r="O367" i="5"/>
  <c r="M367" i="5"/>
  <c r="AN367" i="5" s="1"/>
  <c r="L367" i="5"/>
  <c r="K367" i="5"/>
  <c r="J367" i="5"/>
  <c r="I367" i="5"/>
  <c r="G367" i="5"/>
  <c r="AK366" i="5"/>
  <c r="AI366" i="5"/>
  <c r="S366" i="5"/>
  <c r="R366" i="5"/>
  <c r="Q366" i="5"/>
  <c r="P366" i="5"/>
  <c r="O366" i="5"/>
  <c r="M366" i="5"/>
  <c r="U366" i="5" s="1"/>
  <c r="L366" i="5"/>
  <c r="W366" i="5" s="1"/>
  <c r="K366" i="5"/>
  <c r="J366" i="5"/>
  <c r="I366" i="5"/>
  <c r="G366" i="5"/>
  <c r="AK365" i="5"/>
  <c r="AI365" i="5"/>
  <c r="S365" i="5"/>
  <c r="R365" i="5"/>
  <c r="Q365" i="5"/>
  <c r="P365" i="5"/>
  <c r="O365" i="5"/>
  <c r="M365" i="5"/>
  <c r="U365" i="5" s="1"/>
  <c r="L365" i="5"/>
  <c r="K365" i="5"/>
  <c r="J365" i="5"/>
  <c r="I365" i="5"/>
  <c r="G365" i="5"/>
  <c r="AK364" i="5"/>
  <c r="AI364" i="5"/>
  <c r="S364" i="5"/>
  <c r="R364" i="5"/>
  <c r="Q364" i="5"/>
  <c r="P364" i="5"/>
  <c r="O364" i="5"/>
  <c r="M364" i="5"/>
  <c r="U364" i="5" s="1"/>
  <c r="L364" i="5"/>
  <c r="K364" i="5"/>
  <c r="J364" i="5"/>
  <c r="I364" i="5"/>
  <c r="G364" i="5"/>
  <c r="AK363" i="5"/>
  <c r="AI363" i="5"/>
  <c r="AL363" i="5" s="1"/>
  <c r="S363" i="5"/>
  <c r="R363" i="5"/>
  <c r="Q363" i="5"/>
  <c r="P363" i="5"/>
  <c r="O363" i="5"/>
  <c r="M363" i="5"/>
  <c r="AN363" i="5" s="1"/>
  <c r="L363" i="5"/>
  <c r="K363" i="5"/>
  <c r="J363" i="5"/>
  <c r="I363" i="5"/>
  <c r="G363" i="5"/>
  <c r="AK362" i="5"/>
  <c r="AI362" i="5"/>
  <c r="S362" i="5"/>
  <c r="R362" i="5"/>
  <c r="Q362" i="5"/>
  <c r="P362" i="5"/>
  <c r="O362" i="5"/>
  <c r="M362" i="5"/>
  <c r="U362" i="5" s="1"/>
  <c r="L362" i="5"/>
  <c r="W362" i="5" s="1"/>
  <c r="K362" i="5"/>
  <c r="J362" i="5"/>
  <c r="I362" i="5"/>
  <c r="G362" i="5"/>
  <c r="AK361" i="5"/>
  <c r="AI361" i="5"/>
  <c r="S361" i="5"/>
  <c r="R361" i="5"/>
  <c r="Q361" i="5"/>
  <c r="P361" i="5"/>
  <c r="O361" i="5"/>
  <c r="M361" i="5"/>
  <c r="U361" i="5" s="1"/>
  <c r="L361" i="5"/>
  <c r="K361" i="5"/>
  <c r="J361" i="5"/>
  <c r="I361" i="5"/>
  <c r="G361" i="5"/>
  <c r="AK360" i="5"/>
  <c r="AI360" i="5"/>
  <c r="S360" i="5"/>
  <c r="R360" i="5"/>
  <c r="Q360" i="5"/>
  <c r="P360" i="5"/>
  <c r="O360" i="5"/>
  <c r="M360" i="5"/>
  <c r="U360" i="5" s="1"/>
  <c r="L360" i="5"/>
  <c r="K360" i="5"/>
  <c r="J360" i="5"/>
  <c r="I360" i="5"/>
  <c r="G360" i="5"/>
  <c r="AK359" i="5"/>
  <c r="AI359" i="5"/>
  <c r="AL359" i="5" s="1"/>
  <c r="S359" i="5"/>
  <c r="R359" i="5"/>
  <c r="Q359" i="5"/>
  <c r="P359" i="5"/>
  <c r="O359" i="5"/>
  <c r="M359" i="5"/>
  <c r="AN359" i="5" s="1"/>
  <c r="L359" i="5"/>
  <c r="K359" i="5"/>
  <c r="J359" i="5"/>
  <c r="I359" i="5"/>
  <c r="G359" i="5"/>
  <c r="AK358" i="5"/>
  <c r="AI358" i="5"/>
  <c r="S358" i="5"/>
  <c r="R358" i="5"/>
  <c r="Q358" i="5"/>
  <c r="P358" i="5"/>
  <c r="O358" i="5"/>
  <c r="M358" i="5"/>
  <c r="U358" i="5" s="1"/>
  <c r="L358" i="5"/>
  <c r="W358" i="5" s="1"/>
  <c r="K358" i="5"/>
  <c r="J358" i="5"/>
  <c r="I358" i="5"/>
  <c r="G358" i="5"/>
  <c r="AK357" i="5"/>
  <c r="AI357" i="5"/>
  <c r="S357" i="5"/>
  <c r="R357" i="5"/>
  <c r="Q357" i="5"/>
  <c r="P357" i="5"/>
  <c r="O357" i="5"/>
  <c r="M357" i="5"/>
  <c r="U357" i="5" s="1"/>
  <c r="L357" i="5"/>
  <c r="K357" i="5"/>
  <c r="J357" i="5"/>
  <c r="I357" i="5"/>
  <c r="G357" i="5"/>
  <c r="AK356" i="5"/>
  <c r="AI356" i="5"/>
  <c r="S356" i="5"/>
  <c r="R356" i="5"/>
  <c r="Q356" i="5"/>
  <c r="P356" i="5"/>
  <c r="O356" i="5"/>
  <c r="M356" i="5"/>
  <c r="U356" i="5" s="1"/>
  <c r="L356" i="5"/>
  <c r="K356" i="5"/>
  <c r="J356" i="5"/>
  <c r="I356" i="5"/>
  <c r="G356" i="5"/>
  <c r="AK355" i="5"/>
  <c r="AI355" i="5"/>
  <c r="AL355" i="5" s="1"/>
  <c r="S355" i="5"/>
  <c r="R355" i="5"/>
  <c r="Q355" i="5"/>
  <c r="P355" i="5"/>
  <c r="O355" i="5"/>
  <c r="M355" i="5"/>
  <c r="AN355" i="5" s="1"/>
  <c r="L355" i="5"/>
  <c r="K355" i="5"/>
  <c r="J355" i="5"/>
  <c r="I355" i="5"/>
  <c r="G355" i="5"/>
  <c r="AK354" i="5"/>
  <c r="AI354" i="5"/>
  <c r="S354" i="5"/>
  <c r="R354" i="5"/>
  <c r="Q354" i="5"/>
  <c r="P354" i="5"/>
  <c r="O354" i="5"/>
  <c r="M354" i="5"/>
  <c r="U354" i="5" s="1"/>
  <c r="L354" i="5"/>
  <c r="W354" i="5" s="1"/>
  <c r="K354" i="5"/>
  <c r="J354" i="5"/>
  <c r="I354" i="5"/>
  <c r="G354" i="5"/>
  <c r="AK353" i="5"/>
  <c r="AI353" i="5"/>
  <c r="S353" i="5"/>
  <c r="R353" i="5"/>
  <c r="Q353" i="5"/>
  <c r="P353" i="5"/>
  <c r="O353" i="5"/>
  <c r="M353" i="5"/>
  <c r="U353" i="5" s="1"/>
  <c r="L353" i="5"/>
  <c r="K353" i="5"/>
  <c r="J353" i="5"/>
  <c r="I353" i="5"/>
  <c r="G353" i="5"/>
  <c r="AK352" i="5"/>
  <c r="AI352" i="5"/>
  <c r="S352" i="5"/>
  <c r="R352" i="5"/>
  <c r="Q352" i="5"/>
  <c r="P352" i="5"/>
  <c r="O352" i="5"/>
  <c r="M352" i="5"/>
  <c r="U352" i="5" s="1"/>
  <c r="L352" i="5"/>
  <c r="K352" i="5"/>
  <c r="J352" i="5"/>
  <c r="I352" i="5"/>
  <c r="G352" i="5"/>
  <c r="AK351" i="5"/>
  <c r="AI351" i="5"/>
  <c r="AL351" i="5" s="1"/>
  <c r="S351" i="5"/>
  <c r="R351" i="5"/>
  <c r="Q351" i="5"/>
  <c r="P351" i="5"/>
  <c r="O351" i="5"/>
  <c r="M351" i="5"/>
  <c r="AN351" i="5" s="1"/>
  <c r="L351" i="5"/>
  <c r="K351" i="5"/>
  <c r="J351" i="5"/>
  <c r="I351" i="5"/>
  <c r="G351" i="5"/>
  <c r="AK350" i="5"/>
  <c r="AI350" i="5"/>
  <c r="S350" i="5"/>
  <c r="R350" i="5"/>
  <c r="Q350" i="5"/>
  <c r="P350" i="5"/>
  <c r="O350" i="5"/>
  <c r="M350" i="5"/>
  <c r="U350" i="5" s="1"/>
  <c r="L350" i="5"/>
  <c r="W350" i="5" s="1"/>
  <c r="K350" i="5"/>
  <c r="J350" i="5"/>
  <c r="I350" i="5"/>
  <c r="G350" i="5"/>
  <c r="AK349" i="5"/>
  <c r="AI349" i="5"/>
  <c r="S349" i="5"/>
  <c r="R349" i="5"/>
  <c r="Q349" i="5"/>
  <c r="P349" i="5"/>
  <c r="O349" i="5"/>
  <c r="M349" i="5"/>
  <c r="U349" i="5" s="1"/>
  <c r="L349" i="5"/>
  <c r="K349" i="5"/>
  <c r="J349" i="5"/>
  <c r="I349" i="5"/>
  <c r="G349" i="5"/>
  <c r="AK348" i="5"/>
  <c r="AI348" i="5"/>
  <c r="S348" i="5"/>
  <c r="R348" i="5"/>
  <c r="Q348" i="5"/>
  <c r="P348" i="5"/>
  <c r="O348" i="5"/>
  <c r="M348" i="5"/>
  <c r="U348" i="5" s="1"/>
  <c r="L348" i="5"/>
  <c r="K348" i="5"/>
  <c r="J348" i="5"/>
  <c r="I348" i="5"/>
  <c r="G348" i="5"/>
  <c r="AK347" i="5"/>
  <c r="AI347" i="5"/>
  <c r="AL347" i="5" s="1"/>
  <c r="S347" i="5"/>
  <c r="R347" i="5"/>
  <c r="Q347" i="5"/>
  <c r="P347" i="5"/>
  <c r="O347" i="5"/>
  <c r="M347" i="5"/>
  <c r="AN347" i="5" s="1"/>
  <c r="L347" i="5"/>
  <c r="K347" i="5"/>
  <c r="J347" i="5"/>
  <c r="I347" i="5"/>
  <c r="G347" i="5"/>
  <c r="AK346" i="5"/>
  <c r="AI346" i="5"/>
  <c r="S346" i="5"/>
  <c r="R346" i="5"/>
  <c r="Q346" i="5"/>
  <c r="P346" i="5"/>
  <c r="O346" i="5"/>
  <c r="M346" i="5"/>
  <c r="U346" i="5" s="1"/>
  <c r="L346" i="5"/>
  <c r="W346" i="5" s="1"/>
  <c r="K346" i="5"/>
  <c r="J346" i="5"/>
  <c r="I346" i="5"/>
  <c r="G346" i="5"/>
  <c r="AK345" i="5"/>
  <c r="AI345" i="5"/>
  <c r="S345" i="5"/>
  <c r="R345" i="5"/>
  <c r="Q345" i="5"/>
  <c r="P345" i="5"/>
  <c r="O345" i="5"/>
  <c r="M345" i="5"/>
  <c r="U345" i="5" s="1"/>
  <c r="L345" i="5"/>
  <c r="K345" i="5"/>
  <c r="J345" i="5"/>
  <c r="I345" i="5"/>
  <c r="G345" i="5"/>
  <c r="AK344" i="5"/>
  <c r="AI344" i="5"/>
  <c r="S344" i="5"/>
  <c r="R344" i="5"/>
  <c r="Q344" i="5"/>
  <c r="P344" i="5"/>
  <c r="O344" i="5"/>
  <c r="M344" i="5"/>
  <c r="U344" i="5" s="1"/>
  <c r="L344" i="5"/>
  <c r="K344" i="5"/>
  <c r="J344" i="5"/>
  <c r="I344" i="5"/>
  <c r="G344" i="5"/>
  <c r="AK343" i="5"/>
  <c r="AI343" i="5"/>
  <c r="AL343" i="5" s="1"/>
  <c r="S343" i="5"/>
  <c r="R343" i="5"/>
  <c r="Q343" i="5"/>
  <c r="P343" i="5"/>
  <c r="O343" i="5"/>
  <c r="M343" i="5"/>
  <c r="AN343" i="5" s="1"/>
  <c r="L343" i="5"/>
  <c r="K343" i="5"/>
  <c r="J343" i="5"/>
  <c r="I343" i="5"/>
  <c r="G343" i="5"/>
  <c r="AK342" i="5"/>
  <c r="AI342" i="5"/>
  <c r="S342" i="5"/>
  <c r="R342" i="5"/>
  <c r="Q342" i="5"/>
  <c r="P342" i="5"/>
  <c r="O342" i="5"/>
  <c r="M342" i="5"/>
  <c r="U342" i="5" s="1"/>
  <c r="L342" i="5"/>
  <c r="W342" i="5" s="1"/>
  <c r="K342" i="5"/>
  <c r="J342" i="5"/>
  <c r="I342" i="5"/>
  <c r="G342" i="5"/>
  <c r="AK341" i="5"/>
  <c r="AI341" i="5"/>
  <c r="S341" i="5"/>
  <c r="R341" i="5"/>
  <c r="Q341" i="5"/>
  <c r="P341" i="5"/>
  <c r="O341" i="5"/>
  <c r="M341" i="5"/>
  <c r="U341" i="5" s="1"/>
  <c r="L341" i="5"/>
  <c r="K341" i="5"/>
  <c r="J341" i="5"/>
  <c r="I341" i="5"/>
  <c r="G341" i="5"/>
  <c r="AK340" i="5"/>
  <c r="AI340" i="5"/>
  <c r="S340" i="5"/>
  <c r="R340" i="5"/>
  <c r="Q340" i="5"/>
  <c r="P340" i="5"/>
  <c r="O340" i="5"/>
  <c r="M340" i="5"/>
  <c r="U340" i="5" s="1"/>
  <c r="L340" i="5"/>
  <c r="K340" i="5"/>
  <c r="J340" i="5"/>
  <c r="I340" i="5"/>
  <c r="G340" i="5"/>
  <c r="AK339" i="5"/>
  <c r="AI339" i="5"/>
  <c r="AL339" i="5" s="1"/>
  <c r="S339" i="5"/>
  <c r="R339" i="5"/>
  <c r="Q339" i="5"/>
  <c r="P339" i="5"/>
  <c r="O339" i="5"/>
  <c r="M339" i="5"/>
  <c r="L339" i="5"/>
  <c r="K339" i="5"/>
  <c r="J339" i="5"/>
  <c r="I339" i="5"/>
  <c r="G339" i="5"/>
  <c r="AK338" i="5"/>
  <c r="AI338" i="5"/>
  <c r="S338" i="5"/>
  <c r="R338" i="5"/>
  <c r="Q338" i="5"/>
  <c r="P338" i="5"/>
  <c r="O338" i="5"/>
  <c r="M338" i="5"/>
  <c r="L338" i="5"/>
  <c r="W338" i="5" s="1"/>
  <c r="K338" i="5"/>
  <c r="J338" i="5"/>
  <c r="I338" i="5"/>
  <c r="G338" i="5"/>
  <c r="AK337" i="5"/>
  <c r="AI337" i="5"/>
  <c r="S337" i="5"/>
  <c r="R337" i="5"/>
  <c r="Q337" i="5"/>
  <c r="P337" i="5"/>
  <c r="O337" i="5"/>
  <c r="M337" i="5"/>
  <c r="L337" i="5"/>
  <c r="K337" i="5"/>
  <c r="J337" i="5"/>
  <c r="I337" i="5"/>
  <c r="G337" i="5"/>
  <c r="AK336" i="5"/>
  <c r="AI336" i="5"/>
  <c r="S336" i="5"/>
  <c r="R336" i="5"/>
  <c r="Q336" i="5"/>
  <c r="P336" i="5"/>
  <c r="O336" i="5"/>
  <c r="M336" i="5"/>
  <c r="U336" i="5" s="1"/>
  <c r="L336" i="5"/>
  <c r="K336" i="5"/>
  <c r="J336" i="5"/>
  <c r="I336" i="5"/>
  <c r="G336" i="5"/>
  <c r="AK335" i="5"/>
  <c r="AI335" i="5"/>
  <c r="AL335" i="5" s="1"/>
  <c r="S335" i="5"/>
  <c r="R335" i="5"/>
  <c r="Q335" i="5"/>
  <c r="P335" i="5"/>
  <c r="O335" i="5"/>
  <c r="M335" i="5"/>
  <c r="L335" i="5"/>
  <c r="K335" i="5"/>
  <c r="J335" i="5"/>
  <c r="I335" i="5"/>
  <c r="G335" i="5"/>
  <c r="AK334" i="5"/>
  <c r="AI334" i="5"/>
  <c r="S334" i="5"/>
  <c r="R334" i="5"/>
  <c r="Q334" i="5"/>
  <c r="P334" i="5"/>
  <c r="O334" i="5"/>
  <c r="M334" i="5"/>
  <c r="L334" i="5"/>
  <c r="W334" i="5" s="1"/>
  <c r="K334" i="5"/>
  <c r="J334" i="5"/>
  <c r="I334" i="5"/>
  <c r="G334" i="5"/>
  <c r="AK333" i="5"/>
  <c r="AI333" i="5"/>
  <c r="S333" i="5"/>
  <c r="R333" i="5"/>
  <c r="Q333" i="5"/>
  <c r="P333" i="5"/>
  <c r="O333" i="5"/>
  <c r="M333" i="5"/>
  <c r="L333" i="5"/>
  <c r="K333" i="5"/>
  <c r="J333" i="5"/>
  <c r="I333" i="5"/>
  <c r="G333" i="5"/>
  <c r="AK332" i="5"/>
  <c r="AI332" i="5"/>
  <c r="S332" i="5"/>
  <c r="R332" i="5"/>
  <c r="Q332" i="5"/>
  <c r="P332" i="5"/>
  <c r="O332" i="5"/>
  <c r="M332" i="5"/>
  <c r="U332" i="5" s="1"/>
  <c r="L332" i="5"/>
  <c r="K332" i="5"/>
  <c r="J332" i="5"/>
  <c r="I332" i="5"/>
  <c r="G332" i="5"/>
  <c r="AK331" i="5"/>
  <c r="AI331" i="5"/>
  <c r="AL331" i="5" s="1"/>
  <c r="S331" i="5"/>
  <c r="R331" i="5"/>
  <c r="Q331" i="5"/>
  <c r="P331" i="5"/>
  <c r="O331" i="5"/>
  <c r="M331" i="5"/>
  <c r="L331" i="5"/>
  <c r="K331" i="5"/>
  <c r="J331" i="5"/>
  <c r="I331" i="5"/>
  <c r="G331" i="5"/>
  <c r="AK330" i="5"/>
  <c r="AI330" i="5"/>
  <c r="S330" i="5"/>
  <c r="R330" i="5"/>
  <c r="Q330" i="5"/>
  <c r="P330" i="5"/>
  <c r="O330" i="5"/>
  <c r="M330" i="5"/>
  <c r="L330" i="5"/>
  <c r="W330" i="5" s="1"/>
  <c r="K330" i="5"/>
  <c r="J330" i="5"/>
  <c r="I330" i="5"/>
  <c r="G330" i="5"/>
  <c r="AK329" i="5"/>
  <c r="AI329" i="5"/>
  <c r="S329" i="5"/>
  <c r="R329" i="5"/>
  <c r="Q329" i="5"/>
  <c r="P329" i="5"/>
  <c r="O329" i="5"/>
  <c r="M329" i="5"/>
  <c r="L329" i="5"/>
  <c r="K329" i="5"/>
  <c r="J329" i="5"/>
  <c r="I329" i="5"/>
  <c r="G329" i="5"/>
  <c r="AK328" i="5"/>
  <c r="AI328" i="5"/>
  <c r="S328" i="5"/>
  <c r="R328" i="5"/>
  <c r="Q328" i="5"/>
  <c r="P328" i="5"/>
  <c r="O328" i="5"/>
  <c r="M328" i="5"/>
  <c r="U328" i="5" s="1"/>
  <c r="L328" i="5"/>
  <c r="K328" i="5"/>
  <c r="J328" i="5"/>
  <c r="I328" i="5"/>
  <c r="G328" i="5"/>
  <c r="AK327" i="5"/>
  <c r="AI327" i="5"/>
  <c r="AL327" i="5" s="1"/>
  <c r="S327" i="5"/>
  <c r="R327" i="5"/>
  <c r="Q327" i="5"/>
  <c r="P327" i="5"/>
  <c r="O327" i="5"/>
  <c r="M327" i="5"/>
  <c r="L327" i="5"/>
  <c r="K327" i="5"/>
  <c r="J327" i="5"/>
  <c r="I327" i="5"/>
  <c r="G327" i="5"/>
  <c r="AK326" i="5"/>
  <c r="AI326" i="5"/>
  <c r="S326" i="5"/>
  <c r="R326" i="5"/>
  <c r="Q326" i="5"/>
  <c r="P326" i="5"/>
  <c r="O326" i="5"/>
  <c r="M326" i="5"/>
  <c r="L326" i="5"/>
  <c r="W326" i="5" s="1"/>
  <c r="K326" i="5"/>
  <c r="J326" i="5"/>
  <c r="I326" i="5"/>
  <c r="G326" i="5"/>
  <c r="AK325" i="5"/>
  <c r="AI325" i="5"/>
  <c r="S325" i="5"/>
  <c r="R325" i="5"/>
  <c r="Q325" i="5"/>
  <c r="P325" i="5"/>
  <c r="O325" i="5"/>
  <c r="M325" i="5"/>
  <c r="L325" i="5"/>
  <c r="K325" i="5"/>
  <c r="J325" i="5"/>
  <c r="I325" i="5"/>
  <c r="G325" i="5"/>
  <c r="AK324" i="5"/>
  <c r="AI324" i="5"/>
  <c r="S324" i="5"/>
  <c r="R324" i="5"/>
  <c r="Q324" i="5"/>
  <c r="P324" i="5"/>
  <c r="O324" i="5"/>
  <c r="M324" i="5"/>
  <c r="L324" i="5"/>
  <c r="K324" i="5"/>
  <c r="J324" i="5"/>
  <c r="I324" i="5"/>
  <c r="G324" i="5"/>
  <c r="AK323" i="5"/>
  <c r="AI323" i="5"/>
  <c r="AL323" i="5" s="1"/>
  <c r="S323" i="5"/>
  <c r="R323" i="5"/>
  <c r="Q323" i="5"/>
  <c r="P323" i="5"/>
  <c r="O323" i="5"/>
  <c r="M323" i="5"/>
  <c r="L323" i="5"/>
  <c r="K323" i="5"/>
  <c r="J323" i="5"/>
  <c r="I323" i="5"/>
  <c r="G323" i="5"/>
  <c r="AK322" i="5"/>
  <c r="AI322" i="5"/>
  <c r="S322" i="5"/>
  <c r="R322" i="5"/>
  <c r="Q322" i="5"/>
  <c r="P322" i="5"/>
  <c r="O322" i="5"/>
  <c r="M322" i="5"/>
  <c r="L322" i="5"/>
  <c r="W322" i="5" s="1"/>
  <c r="K322" i="5"/>
  <c r="J322" i="5"/>
  <c r="I322" i="5"/>
  <c r="G322" i="5"/>
  <c r="AK321" i="5"/>
  <c r="AI321" i="5"/>
  <c r="S321" i="5"/>
  <c r="R321" i="5"/>
  <c r="Q321" i="5"/>
  <c r="P321" i="5"/>
  <c r="O321" i="5"/>
  <c r="M321" i="5"/>
  <c r="L321" i="5"/>
  <c r="K321" i="5"/>
  <c r="J321" i="5"/>
  <c r="I321" i="5"/>
  <c r="G321" i="5"/>
  <c r="AK320" i="5"/>
  <c r="AI320" i="5"/>
  <c r="S320" i="5"/>
  <c r="R320" i="5"/>
  <c r="Q320" i="5"/>
  <c r="P320" i="5"/>
  <c r="O320" i="5"/>
  <c r="M320" i="5"/>
  <c r="AN320" i="5" s="1"/>
  <c r="L320" i="5"/>
  <c r="K320" i="5"/>
  <c r="J320" i="5"/>
  <c r="I320" i="5"/>
  <c r="G320" i="5"/>
  <c r="AK319" i="5"/>
  <c r="AI319" i="5"/>
  <c r="AL319" i="5" s="1"/>
  <c r="S319" i="5"/>
  <c r="R319" i="5"/>
  <c r="Q319" i="5"/>
  <c r="P319" i="5"/>
  <c r="O319" i="5"/>
  <c r="M319" i="5"/>
  <c r="L319" i="5"/>
  <c r="K319" i="5"/>
  <c r="J319" i="5"/>
  <c r="I319" i="5"/>
  <c r="G319" i="5"/>
  <c r="AK318" i="5"/>
  <c r="AI318" i="5"/>
  <c r="S318" i="5"/>
  <c r="R318" i="5"/>
  <c r="Q318" i="5"/>
  <c r="P318" i="5"/>
  <c r="O318" i="5"/>
  <c r="M318" i="5"/>
  <c r="L318" i="5"/>
  <c r="W318" i="5" s="1"/>
  <c r="K318" i="5"/>
  <c r="J318" i="5"/>
  <c r="I318" i="5"/>
  <c r="G318" i="5"/>
  <c r="AK317" i="5"/>
  <c r="AI317" i="5"/>
  <c r="S317" i="5"/>
  <c r="R317" i="5"/>
  <c r="Q317" i="5"/>
  <c r="P317" i="5"/>
  <c r="O317" i="5"/>
  <c r="M317" i="5"/>
  <c r="L317" i="5"/>
  <c r="K317" i="5"/>
  <c r="J317" i="5"/>
  <c r="I317" i="5"/>
  <c r="G317" i="5"/>
  <c r="AK316" i="5"/>
  <c r="AI316" i="5"/>
  <c r="S316" i="5"/>
  <c r="R316" i="5"/>
  <c r="Q316" i="5"/>
  <c r="P316" i="5"/>
  <c r="O316" i="5"/>
  <c r="M316" i="5"/>
  <c r="AN316" i="5" s="1"/>
  <c r="L316" i="5"/>
  <c r="K316" i="5"/>
  <c r="J316" i="5"/>
  <c r="I316" i="5"/>
  <c r="G316" i="5"/>
  <c r="AK315" i="5"/>
  <c r="AI315" i="5"/>
  <c r="AL315" i="5" s="1"/>
  <c r="S315" i="5"/>
  <c r="R315" i="5"/>
  <c r="Q315" i="5"/>
  <c r="P315" i="5"/>
  <c r="O315" i="5"/>
  <c r="M315" i="5"/>
  <c r="L315" i="5"/>
  <c r="K315" i="5"/>
  <c r="J315" i="5"/>
  <c r="I315" i="5"/>
  <c r="G315" i="5"/>
  <c r="AK314" i="5"/>
  <c r="AI314" i="5"/>
  <c r="S314" i="5"/>
  <c r="R314" i="5"/>
  <c r="Q314" i="5"/>
  <c r="P314" i="5"/>
  <c r="O314" i="5"/>
  <c r="M314" i="5"/>
  <c r="L314" i="5"/>
  <c r="W314" i="5" s="1"/>
  <c r="K314" i="5"/>
  <c r="J314" i="5"/>
  <c r="I314" i="5"/>
  <c r="G314" i="5"/>
  <c r="AK313" i="5"/>
  <c r="AI313" i="5"/>
  <c r="S313" i="5"/>
  <c r="R313" i="5"/>
  <c r="Q313" i="5"/>
  <c r="P313" i="5"/>
  <c r="O313" i="5"/>
  <c r="M313" i="5"/>
  <c r="L313" i="5"/>
  <c r="K313" i="5"/>
  <c r="J313" i="5"/>
  <c r="I313" i="5"/>
  <c r="G313" i="5"/>
  <c r="AK312" i="5"/>
  <c r="AI312" i="5"/>
  <c r="S312" i="5"/>
  <c r="R312" i="5"/>
  <c r="Q312" i="5"/>
  <c r="P312" i="5"/>
  <c r="O312" i="5"/>
  <c r="M312" i="5"/>
  <c r="AN312" i="5" s="1"/>
  <c r="L312" i="5"/>
  <c r="K312" i="5"/>
  <c r="J312" i="5"/>
  <c r="I312" i="5"/>
  <c r="G312" i="5"/>
  <c r="AK311" i="5"/>
  <c r="AI311" i="5"/>
  <c r="S311" i="5"/>
  <c r="R311" i="5"/>
  <c r="Q311" i="5"/>
  <c r="P311" i="5"/>
  <c r="O311" i="5"/>
  <c r="M311" i="5"/>
  <c r="L311" i="5"/>
  <c r="K311" i="5"/>
  <c r="J311" i="5"/>
  <c r="I311" i="5"/>
  <c r="G311" i="5"/>
  <c r="AK310" i="5"/>
  <c r="AI310" i="5"/>
  <c r="S310" i="5"/>
  <c r="R310" i="5"/>
  <c r="Q310" i="5"/>
  <c r="P310" i="5"/>
  <c r="O310" i="5"/>
  <c r="M310" i="5"/>
  <c r="L310" i="5"/>
  <c r="W310" i="5" s="1"/>
  <c r="K310" i="5"/>
  <c r="J310" i="5"/>
  <c r="I310" i="5"/>
  <c r="G310" i="5"/>
  <c r="AK309" i="5"/>
  <c r="AI309" i="5"/>
  <c r="S309" i="5"/>
  <c r="R309" i="5"/>
  <c r="Q309" i="5"/>
  <c r="P309" i="5"/>
  <c r="O309" i="5"/>
  <c r="M309" i="5"/>
  <c r="L309" i="5"/>
  <c r="K309" i="5"/>
  <c r="J309" i="5"/>
  <c r="I309" i="5"/>
  <c r="G309" i="5"/>
  <c r="AK308" i="5"/>
  <c r="AI308" i="5"/>
  <c r="S308" i="5"/>
  <c r="R308" i="5"/>
  <c r="Q308" i="5"/>
  <c r="P308" i="5"/>
  <c r="O308" i="5"/>
  <c r="M308" i="5"/>
  <c r="AN308" i="5" s="1"/>
  <c r="L308" i="5"/>
  <c r="K308" i="5"/>
  <c r="J308" i="5"/>
  <c r="I308" i="5"/>
  <c r="G308" i="5"/>
  <c r="AK307" i="5"/>
  <c r="AI307" i="5"/>
  <c r="S307" i="5"/>
  <c r="R307" i="5"/>
  <c r="Q307" i="5"/>
  <c r="P307" i="5"/>
  <c r="O307" i="5"/>
  <c r="M307" i="5"/>
  <c r="L307" i="5"/>
  <c r="K307" i="5"/>
  <c r="J307" i="5"/>
  <c r="I307" i="5"/>
  <c r="G307" i="5"/>
  <c r="AK306" i="5"/>
  <c r="AI306" i="5"/>
  <c r="S306" i="5"/>
  <c r="R306" i="5"/>
  <c r="Q306" i="5"/>
  <c r="P306" i="5"/>
  <c r="O306" i="5"/>
  <c r="M306" i="5"/>
  <c r="L306" i="5"/>
  <c r="W306" i="5" s="1"/>
  <c r="K306" i="5"/>
  <c r="J306" i="5"/>
  <c r="I306" i="5"/>
  <c r="G306" i="5"/>
  <c r="AK305" i="5"/>
  <c r="AI305" i="5"/>
  <c r="S305" i="5"/>
  <c r="R305" i="5"/>
  <c r="Q305" i="5"/>
  <c r="P305" i="5"/>
  <c r="O305" i="5"/>
  <c r="M305" i="5"/>
  <c r="L305" i="5"/>
  <c r="K305" i="5"/>
  <c r="J305" i="5"/>
  <c r="I305" i="5"/>
  <c r="G305" i="5"/>
  <c r="AK304" i="5"/>
  <c r="AI304" i="5"/>
  <c r="S304" i="5"/>
  <c r="R304" i="5"/>
  <c r="Q304" i="5"/>
  <c r="P304" i="5"/>
  <c r="O304" i="5"/>
  <c r="M304" i="5"/>
  <c r="AN304" i="5" s="1"/>
  <c r="L304" i="5"/>
  <c r="K304" i="5"/>
  <c r="J304" i="5"/>
  <c r="I304" i="5"/>
  <c r="G304" i="5"/>
  <c r="AK303" i="5"/>
  <c r="AI303" i="5"/>
  <c r="S303" i="5"/>
  <c r="R303" i="5"/>
  <c r="Q303" i="5"/>
  <c r="P303" i="5"/>
  <c r="O303" i="5"/>
  <c r="M303" i="5"/>
  <c r="L303" i="5"/>
  <c r="K303" i="5"/>
  <c r="J303" i="5"/>
  <c r="I303" i="5"/>
  <c r="G303" i="5"/>
  <c r="AK302" i="5"/>
  <c r="AI302" i="5"/>
  <c r="S302" i="5"/>
  <c r="R302" i="5"/>
  <c r="Q302" i="5"/>
  <c r="P302" i="5"/>
  <c r="O302" i="5"/>
  <c r="M302" i="5"/>
  <c r="L302" i="5"/>
  <c r="W302" i="5" s="1"/>
  <c r="K302" i="5"/>
  <c r="J302" i="5"/>
  <c r="I302" i="5"/>
  <c r="G302" i="5"/>
  <c r="AK301" i="5"/>
  <c r="AI301" i="5"/>
  <c r="S301" i="5"/>
  <c r="R301" i="5"/>
  <c r="Q301" i="5"/>
  <c r="P301" i="5"/>
  <c r="O301" i="5"/>
  <c r="M301" i="5"/>
  <c r="L301" i="5"/>
  <c r="K301" i="5"/>
  <c r="J301" i="5"/>
  <c r="I301" i="5"/>
  <c r="G301" i="5"/>
  <c r="AK300" i="5"/>
  <c r="AI300" i="5"/>
  <c r="S300" i="5"/>
  <c r="R300" i="5"/>
  <c r="Q300" i="5"/>
  <c r="P300" i="5"/>
  <c r="O300" i="5"/>
  <c r="M300" i="5"/>
  <c r="AN300" i="5" s="1"/>
  <c r="L300" i="5"/>
  <c r="K300" i="5"/>
  <c r="J300" i="5"/>
  <c r="I300" i="5"/>
  <c r="G300" i="5"/>
  <c r="AK299" i="5"/>
  <c r="AI299" i="5"/>
  <c r="S299" i="5"/>
  <c r="R299" i="5"/>
  <c r="Q299" i="5"/>
  <c r="P299" i="5"/>
  <c r="O299" i="5"/>
  <c r="M299" i="5"/>
  <c r="L299" i="5"/>
  <c r="K299" i="5"/>
  <c r="J299" i="5"/>
  <c r="I299" i="5"/>
  <c r="G299" i="5"/>
  <c r="AK298" i="5"/>
  <c r="AI298" i="5"/>
  <c r="S298" i="5"/>
  <c r="R298" i="5"/>
  <c r="Q298" i="5"/>
  <c r="P298" i="5"/>
  <c r="O298" i="5"/>
  <c r="M298" i="5"/>
  <c r="L298" i="5"/>
  <c r="W298" i="5" s="1"/>
  <c r="K298" i="5"/>
  <c r="J298" i="5"/>
  <c r="I298" i="5"/>
  <c r="G298" i="5"/>
  <c r="AK297" i="5"/>
  <c r="AI297" i="5"/>
  <c r="S297" i="5"/>
  <c r="R297" i="5"/>
  <c r="Q297" i="5"/>
  <c r="P297" i="5"/>
  <c r="O297" i="5"/>
  <c r="M297" i="5"/>
  <c r="L297" i="5"/>
  <c r="K297" i="5"/>
  <c r="J297" i="5"/>
  <c r="I297" i="5"/>
  <c r="G297" i="5"/>
  <c r="AK296" i="5"/>
  <c r="AI296" i="5"/>
  <c r="S296" i="5"/>
  <c r="R296" i="5"/>
  <c r="Q296" i="5"/>
  <c r="P296" i="5"/>
  <c r="O296" i="5"/>
  <c r="M296" i="5"/>
  <c r="AN296" i="5" s="1"/>
  <c r="L296" i="5"/>
  <c r="K296" i="5"/>
  <c r="J296" i="5"/>
  <c r="I296" i="5"/>
  <c r="G296" i="5"/>
  <c r="AK295" i="5"/>
  <c r="AI295" i="5"/>
  <c r="S295" i="5"/>
  <c r="R295" i="5"/>
  <c r="Q295" i="5"/>
  <c r="P295" i="5"/>
  <c r="O295" i="5"/>
  <c r="M295" i="5"/>
  <c r="L295" i="5"/>
  <c r="K295" i="5"/>
  <c r="J295" i="5"/>
  <c r="I295" i="5"/>
  <c r="G295" i="5"/>
  <c r="AK294" i="5"/>
  <c r="AI294" i="5"/>
  <c r="S294" i="5"/>
  <c r="R294" i="5"/>
  <c r="Q294" i="5"/>
  <c r="P294" i="5"/>
  <c r="O294" i="5"/>
  <c r="M294" i="5"/>
  <c r="L294" i="5"/>
  <c r="W294" i="5" s="1"/>
  <c r="K294" i="5"/>
  <c r="J294" i="5"/>
  <c r="I294" i="5"/>
  <c r="G294" i="5"/>
  <c r="AK293" i="5"/>
  <c r="AI293" i="5"/>
  <c r="S293" i="5"/>
  <c r="R293" i="5"/>
  <c r="Q293" i="5"/>
  <c r="P293" i="5"/>
  <c r="O293" i="5"/>
  <c r="M293" i="5"/>
  <c r="L293" i="5"/>
  <c r="K293" i="5"/>
  <c r="J293" i="5"/>
  <c r="I293" i="5"/>
  <c r="G293" i="5"/>
  <c r="AK292" i="5"/>
  <c r="AI292" i="5"/>
  <c r="S292" i="5"/>
  <c r="R292" i="5"/>
  <c r="Q292" i="5"/>
  <c r="P292" i="5"/>
  <c r="O292" i="5"/>
  <c r="M292" i="5"/>
  <c r="AN292" i="5" s="1"/>
  <c r="L292" i="5"/>
  <c r="K292" i="5"/>
  <c r="J292" i="5"/>
  <c r="I292" i="5"/>
  <c r="G292" i="5"/>
  <c r="AK291" i="5"/>
  <c r="AI291" i="5"/>
  <c r="S291" i="5"/>
  <c r="R291" i="5"/>
  <c r="Q291" i="5"/>
  <c r="P291" i="5"/>
  <c r="O291" i="5"/>
  <c r="M291" i="5"/>
  <c r="L291" i="5"/>
  <c r="K291" i="5"/>
  <c r="J291" i="5"/>
  <c r="I291" i="5"/>
  <c r="G291" i="5"/>
  <c r="AK290" i="5"/>
  <c r="AI290" i="5"/>
  <c r="S290" i="5"/>
  <c r="R290" i="5"/>
  <c r="Q290" i="5"/>
  <c r="P290" i="5"/>
  <c r="O290" i="5"/>
  <c r="M290" i="5"/>
  <c r="L290" i="5"/>
  <c r="W290" i="5" s="1"/>
  <c r="K290" i="5"/>
  <c r="J290" i="5"/>
  <c r="I290" i="5"/>
  <c r="G290" i="5"/>
  <c r="AK289" i="5"/>
  <c r="AI289" i="5"/>
  <c r="S289" i="5"/>
  <c r="R289" i="5"/>
  <c r="Q289" i="5"/>
  <c r="P289" i="5"/>
  <c r="O289" i="5"/>
  <c r="M289" i="5"/>
  <c r="L289" i="5"/>
  <c r="K289" i="5"/>
  <c r="J289" i="5"/>
  <c r="I289" i="5"/>
  <c r="G289" i="5"/>
  <c r="AK288" i="5"/>
  <c r="AI288" i="5"/>
  <c r="S288" i="5"/>
  <c r="R288" i="5"/>
  <c r="Q288" i="5"/>
  <c r="P288" i="5"/>
  <c r="O288" i="5"/>
  <c r="M288" i="5"/>
  <c r="AN288" i="5" s="1"/>
  <c r="L288" i="5"/>
  <c r="K288" i="5"/>
  <c r="J288" i="5"/>
  <c r="I288" i="5"/>
  <c r="G288" i="5"/>
  <c r="AK287" i="5"/>
  <c r="AI287" i="5"/>
  <c r="S287" i="5"/>
  <c r="R287" i="5"/>
  <c r="Q287" i="5"/>
  <c r="P287" i="5"/>
  <c r="O287" i="5"/>
  <c r="M287" i="5"/>
  <c r="L287" i="5"/>
  <c r="K287" i="5"/>
  <c r="J287" i="5"/>
  <c r="I287" i="5"/>
  <c r="G287" i="5"/>
  <c r="AK286" i="5"/>
  <c r="AI286" i="5"/>
  <c r="S286" i="5"/>
  <c r="R286" i="5"/>
  <c r="Q286" i="5"/>
  <c r="P286" i="5"/>
  <c r="O286" i="5"/>
  <c r="M286" i="5"/>
  <c r="L286" i="5"/>
  <c r="W286" i="5" s="1"/>
  <c r="K286" i="5"/>
  <c r="J286" i="5"/>
  <c r="I286" i="5"/>
  <c r="G286" i="5"/>
  <c r="AK285" i="5"/>
  <c r="AI285" i="5"/>
  <c r="S285" i="5"/>
  <c r="R285" i="5"/>
  <c r="Q285" i="5"/>
  <c r="P285" i="5"/>
  <c r="O285" i="5"/>
  <c r="M285" i="5"/>
  <c r="L285" i="5"/>
  <c r="K285" i="5"/>
  <c r="J285" i="5"/>
  <c r="I285" i="5"/>
  <c r="G285" i="5"/>
  <c r="AK284" i="5"/>
  <c r="AI284" i="5"/>
  <c r="S284" i="5"/>
  <c r="R284" i="5"/>
  <c r="Q284" i="5"/>
  <c r="P284" i="5"/>
  <c r="O284" i="5"/>
  <c r="M284" i="5"/>
  <c r="L284" i="5"/>
  <c r="K284" i="5"/>
  <c r="J284" i="5"/>
  <c r="I284" i="5"/>
  <c r="G284" i="5"/>
  <c r="AK283" i="5"/>
  <c r="AI283" i="5"/>
  <c r="S283" i="5"/>
  <c r="R283" i="5"/>
  <c r="Q283" i="5"/>
  <c r="P283" i="5"/>
  <c r="O283" i="5"/>
  <c r="M283" i="5"/>
  <c r="L283" i="5"/>
  <c r="K283" i="5"/>
  <c r="J283" i="5"/>
  <c r="I283" i="5"/>
  <c r="G283" i="5"/>
  <c r="AK282" i="5"/>
  <c r="AI282" i="5"/>
  <c r="S282" i="5"/>
  <c r="R282" i="5"/>
  <c r="Q282" i="5"/>
  <c r="P282" i="5"/>
  <c r="O282" i="5"/>
  <c r="M282" i="5"/>
  <c r="L282" i="5"/>
  <c r="W282" i="5" s="1"/>
  <c r="K282" i="5"/>
  <c r="J282" i="5"/>
  <c r="I282" i="5"/>
  <c r="G282" i="5"/>
  <c r="AK281" i="5"/>
  <c r="AI281" i="5"/>
  <c r="S281" i="5"/>
  <c r="R281" i="5"/>
  <c r="Q281" i="5"/>
  <c r="P281" i="5"/>
  <c r="O281" i="5"/>
  <c r="M281" i="5"/>
  <c r="L281" i="5"/>
  <c r="K281" i="5"/>
  <c r="J281" i="5"/>
  <c r="I281" i="5"/>
  <c r="G281" i="5"/>
  <c r="AK280" i="5"/>
  <c r="AI280" i="5"/>
  <c r="S280" i="5"/>
  <c r="R280" i="5"/>
  <c r="Q280" i="5"/>
  <c r="P280" i="5"/>
  <c r="O280" i="5"/>
  <c r="M280" i="5"/>
  <c r="L280" i="5"/>
  <c r="K280" i="5"/>
  <c r="J280" i="5"/>
  <c r="I280" i="5"/>
  <c r="G280" i="5"/>
  <c r="AK279" i="5"/>
  <c r="AI279" i="5"/>
  <c r="S279" i="5"/>
  <c r="R279" i="5"/>
  <c r="Q279" i="5"/>
  <c r="P279" i="5"/>
  <c r="O279" i="5"/>
  <c r="M279" i="5"/>
  <c r="L279" i="5"/>
  <c r="K279" i="5"/>
  <c r="J279" i="5"/>
  <c r="I279" i="5"/>
  <c r="G279" i="5"/>
  <c r="AK278" i="5"/>
  <c r="AI278" i="5"/>
  <c r="S278" i="5"/>
  <c r="R278" i="5"/>
  <c r="Q278" i="5"/>
  <c r="P278" i="5"/>
  <c r="O278" i="5"/>
  <c r="M278" i="5"/>
  <c r="L278" i="5"/>
  <c r="W278" i="5" s="1"/>
  <c r="K278" i="5"/>
  <c r="J278" i="5"/>
  <c r="I278" i="5"/>
  <c r="G278" i="5"/>
  <c r="AK277" i="5"/>
  <c r="AI277" i="5"/>
  <c r="S277" i="5"/>
  <c r="R277" i="5"/>
  <c r="Q277" i="5"/>
  <c r="P277" i="5"/>
  <c r="O277" i="5"/>
  <c r="M277" i="5"/>
  <c r="L277" i="5"/>
  <c r="K277" i="5"/>
  <c r="J277" i="5"/>
  <c r="I277" i="5"/>
  <c r="G277" i="5"/>
  <c r="AK276" i="5"/>
  <c r="AI276" i="5"/>
  <c r="S276" i="5"/>
  <c r="R276" i="5"/>
  <c r="Q276" i="5"/>
  <c r="P276" i="5"/>
  <c r="O276" i="5"/>
  <c r="M276" i="5"/>
  <c r="L276" i="5"/>
  <c r="K276" i="5"/>
  <c r="J276" i="5"/>
  <c r="I276" i="5"/>
  <c r="G276" i="5"/>
  <c r="AK275" i="5"/>
  <c r="AI275" i="5"/>
  <c r="S275" i="5"/>
  <c r="R275" i="5"/>
  <c r="Q275" i="5"/>
  <c r="P275" i="5"/>
  <c r="O275" i="5"/>
  <c r="M275" i="5"/>
  <c r="L275" i="5"/>
  <c r="K275" i="5"/>
  <c r="J275" i="5"/>
  <c r="I275" i="5"/>
  <c r="G275" i="5"/>
  <c r="AK274" i="5"/>
  <c r="AI274" i="5"/>
  <c r="S274" i="5"/>
  <c r="R274" i="5"/>
  <c r="Q274" i="5"/>
  <c r="P274" i="5"/>
  <c r="O274" i="5"/>
  <c r="M274" i="5"/>
  <c r="L274" i="5"/>
  <c r="K274" i="5"/>
  <c r="J274" i="5"/>
  <c r="I274" i="5"/>
  <c r="G274" i="5"/>
  <c r="AK273" i="5"/>
  <c r="AI273" i="5"/>
  <c r="S273" i="5"/>
  <c r="R273" i="5"/>
  <c r="Q273" i="5"/>
  <c r="P273" i="5"/>
  <c r="O273" i="5"/>
  <c r="M273" i="5"/>
  <c r="L273" i="5"/>
  <c r="K273" i="5"/>
  <c r="J273" i="5"/>
  <c r="I273" i="5"/>
  <c r="G273" i="5"/>
  <c r="AK272" i="5"/>
  <c r="AI272" i="5"/>
  <c r="S272" i="5"/>
  <c r="R272" i="5"/>
  <c r="Q272" i="5"/>
  <c r="P272" i="5"/>
  <c r="O272" i="5"/>
  <c r="M272" i="5"/>
  <c r="L272" i="5"/>
  <c r="K272" i="5"/>
  <c r="J272" i="5"/>
  <c r="I272" i="5"/>
  <c r="G272" i="5"/>
  <c r="AK271" i="5"/>
  <c r="AI271" i="5"/>
  <c r="S271" i="5"/>
  <c r="R271" i="5"/>
  <c r="Q271" i="5"/>
  <c r="P271" i="5"/>
  <c r="O271" i="5"/>
  <c r="M271" i="5"/>
  <c r="L271" i="5"/>
  <c r="K271" i="5"/>
  <c r="J271" i="5"/>
  <c r="I271" i="5"/>
  <c r="G271" i="5"/>
  <c r="AK270" i="5"/>
  <c r="AI270" i="5"/>
  <c r="S270" i="5"/>
  <c r="R270" i="5"/>
  <c r="Q270" i="5"/>
  <c r="P270" i="5"/>
  <c r="O270" i="5"/>
  <c r="M270" i="5"/>
  <c r="L270" i="5"/>
  <c r="K270" i="5"/>
  <c r="J270" i="5"/>
  <c r="I270" i="5"/>
  <c r="G270" i="5"/>
  <c r="AK269" i="5"/>
  <c r="AI269" i="5"/>
  <c r="AL269" i="5" s="1"/>
  <c r="S269" i="5"/>
  <c r="R269" i="5"/>
  <c r="Q269" i="5"/>
  <c r="P269" i="5"/>
  <c r="O269" i="5"/>
  <c r="M269" i="5"/>
  <c r="L269" i="5"/>
  <c r="K269" i="5"/>
  <c r="J269" i="5"/>
  <c r="I269" i="5"/>
  <c r="G269" i="5"/>
  <c r="AK268" i="5"/>
  <c r="AI268" i="5"/>
  <c r="S268" i="5"/>
  <c r="R268" i="5"/>
  <c r="Q268" i="5"/>
  <c r="P268" i="5"/>
  <c r="O268" i="5"/>
  <c r="M268" i="5"/>
  <c r="L268" i="5"/>
  <c r="K268" i="5"/>
  <c r="J268" i="5"/>
  <c r="I268" i="5"/>
  <c r="G268" i="5"/>
  <c r="AK267" i="5"/>
  <c r="AI267" i="5"/>
  <c r="S267" i="5"/>
  <c r="R267" i="5"/>
  <c r="Q267" i="5"/>
  <c r="P267" i="5"/>
  <c r="O267" i="5"/>
  <c r="M267" i="5"/>
  <c r="L267" i="5"/>
  <c r="K267" i="5"/>
  <c r="J267" i="5"/>
  <c r="I267" i="5"/>
  <c r="G267" i="5"/>
  <c r="AK266" i="5"/>
  <c r="AI266" i="5"/>
  <c r="S266" i="5"/>
  <c r="R266" i="5"/>
  <c r="Q266" i="5"/>
  <c r="P266" i="5"/>
  <c r="O266" i="5"/>
  <c r="M266" i="5"/>
  <c r="L266" i="5"/>
  <c r="K266" i="5"/>
  <c r="J266" i="5"/>
  <c r="I266" i="5"/>
  <c r="G266" i="5"/>
  <c r="AK265" i="5"/>
  <c r="AI265" i="5"/>
  <c r="AL265" i="5" s="1"/>
  <c r="S265" i="5"/>
  <c r="R265" i="5"/>
  <c r="Q265" i="5"/>
  <c r="P265" i="5"/>
  <c r="O265" i="5"/>
  <c r="M265" i="5"/>
  <c r="L265" i="5"/>
  <c r="K265" i="5"/>
  <c r="J265" i="5"/>
  <c r="I265" i="5"/>
  <c r="G265" i="5"/>
  <c r="AK264" i="5"/>
  <c r="AI264" i="5"/>
  <c r="S264" i="5"/>
  <c r="R264" i="5"/>
  <c r="Q264" i="5"/>
  <c r="P264" i="5"/>
  <c r="O264" i="5"/>
  <c r="M264" i="5"/>
  <c r="L264" i="5"/>
  <c r="K264" i="5"/>
  <c r="J264" i="5"/>
  <c r="I264" i="5"/>
  <c r="G264" i="5"/>
  <c r="AK263" i="5"/>
  <c r="AI263" i="5"/>
  <c r="S263" i="5"/>
  <c r="R263" i="5"/>
  <c r="Q263" i="5"/>
  <c r="P263" i="5"/>
  <c r="O263" i="5"/>
  <c r="M263" i="5"/>
  <c r="L263" i="5"/>
  <c r="K263" i="5"/>
  <c r="J263" i="5"/>
  <c r="I263" i="5"/>
  <c r="G263" i="5"/>
  <c r="AK262" i="5"/>
  <c r="AI262" i="5"/>
  <c r="S262" i="5"/>
  <c r="R262" i="5"/>
  <c r="Q262" i="5"/>
  <c r="P262" i="5"/>
  <c r="O262" i="5"/>
  <c r="M262" i="5"/>
  <c r="L262" i="5"/>
  <c r="K262" i="5"/>
  <c r="J262" i="5"/>
  <c r="I262" i="5"/>
  <c r="G262" i="5"/>
  <c r="AK261" i="5"/>
  <c r="AI261" i="5"/>
  <c r="AL261" i="5" s="1"/>
  <c r="S261" i="5"/>
  <c r="R261" i="5"/>
  <c r="Q261" i="5"/>
  <c r="P261" i="5"/>
  <c r="O261" i="5"/>
  <c r="M261" i="5"/>
  <c r="L261" i="5"/>
  <c r="K261" i="5"/>
  <c r="J261" i="5"/>
  <c r="I261" i="5"/>
  <c r="G261" i="5"/>
  <c r="AK260" i="5"/>
  <c r="AI260" i="5"/>
  <c r="S260" i="5"/>
  <c r="R260" i="5"/>
  <c r="Q260" i="5"/>
  <c r="P260" i="5"/>
  <c r="O260" i="5"/>
  <c r="M260" i="5"/>
  <c r="L260" i="5"/>
  <c r="K260" i="5"/>
  <c r="J260" i="5"/>
  <c r="I260" i="5"/>
  <c r="G260" i="5"/>
  <c r="AK259" i="5"/>
  <c r="AI259" i="5"/>
  <c r="S259" i="5"/>
  <c r="R259" i="5"/>
  <c r="Q259" i="5"/>
  <c r="P259" i="5"/>
  <c r="O259" i="5"/>
  <c r="M259" i="5"/>
  <c r="L259" i="5"/>
  <c r="K259" i="5"/>
  <c r="J259" i="5"/>
  <c r="I259" i="5"/>
  <c r="G259" i="5"/>
  <c r="AK258" i="5"/>
  <c r="AI258" i="5"/>
  <c r="S258" i="5"/>
  <c r="R258" i="5"/>
  <c r="Q258" i="5"/>
  <c r="P258" i="5"/>
  <c r="O258" i="5"/>
  <c r="M258" i="5"/>
  <c r="L258" i="5"/>
  <c r="K258" i="5"/>
  <c r="J258" i="5"/>
  <c r="I258" i="5"/>
  <c r="G258" i="5"/>
  <c r="AK257" i="5"/>
  <c r="AI257" i="5"/>
  <c r="AL257" i="5" s="1"/>
  <c r="S257" i="5"/>
  <c r="R257" i="5"/>
  <c r="Q257" i="5"/>
  <c r="P257" i="5"/>
  <c r="O257" i="5"/>
  <c r="M257" i="5"/>
  <c r="L257" i="5"/>
  <c r="K257" i="5"/>
  <c r="J257" i="5"/>
  <c r="I257" i="5"/>
  <c r="G257" i="5"/>
  <c r="AK256" i="5"/>
  <c r="AI256" i="5"/>
  <c r="S256" i="5"/>
  <c r="R256" i="5"/>
  <c r="Q256" i="5"/>
  <c r="P256" i="5"/>
  <c r="O256" i="5"/>
  <c r="M256" i="5"/>
  <c r="L256" i="5"/>
  <c r="K256" i="5"/>
  <c r="J256" i="5"/>
  <c r="I256" i="5"/>
  <c r="G256" i="5"/>
  <c r="AK255" i="5"/>
  <c r="AI255" i="5"/>
  <c r="S255" i="5"/>
  <c r="R255" i="5"/>
  <c r="Q255" i="5"/>
  <c r="P255" i="5"/>
  <c r="O255" i="5"/>
  <c r="M255" i="5"/>
  <c r="L255" i="5"/>
  <c r="K255" i="5"/>
  <c r="J255" i="5"/>
  <c r="I255" i="5"/>
  <c r="G255" i="5"/>
  <c r="AK254" i="5"/>
  <c r="AI254" i="5"/>
  <c r="S254" i="5"/>
  <c r="R254" i="5"/>
  <c r="Q254" i="5"/>
  <c r="P254" i="5"/>
  <c r="O254" i="5"/>
  <c r="M254" i="5"/>
  <c r="L254" i="5"/>
  <c r="K254" i="5"/>
  <c r="J254" i="5"/>
  <c r="I254" i="5"/>
  <c r="G254" i="5"/>
  <c r="AK253" i="5"/>
  <c r="AI253" i="5"/>
  <c r="AL253" i="5" s="1"/>
  <c r="S253" i="5"/>
  <c r="R253" i="5"/>
  <c r="Q253" i="5"/>
  <c r="P253" i="5"/>
  <c r="O253" i="5"/>
  <c r="M253" i="5"/>
  <c r="L253" i="5"/>
  <c r="K253" i="5"/>
  <c r="J253" i="5"/>
  <c r="I253" i="5"/>
  <c r="G253" i="5"/>
  <c r="AK252" i="5"/>
  <c r="AI252" i="5"/>
  <c r="S252" i="5"/>
  <c r="R252" i="5"/>
  <c r="Q252" i="5"/>
  <c r="P252" i="5"/>
  <c r="O252" i="5"/>
  <c r="M252" i="5"/>
  <c r="L252" i="5"/>
  <c r="K252" i="5"/>
  <c r="J252" i="5"/>
  <c r="I252" i="5"/>
  <c r="G252" i="5"/>
  <c r="AK251" i="5"/>
  <c r="AI251" i="5"/>
  <c r="S251" i="5"/>
  <c r="R251" i="5"/>
  <c r="Q251" i="5"/>
  <c r="P251" i="5"/>
  <c r="O251" i="5"/>
  <c r="M251" i="5"/>
  <c r="L251" i="5"/>
  <c r="K251" i="5"/>
  <c r="J251" i="5"/>
  <c r="I251" i="5"/>
  <c r="G251" i="5"/>
  <c r="AK250" i="5"/>
  <c r="AI250" i="5"/>
  <c r="S250" i="5"/>
  <c r="R250" i="5"/>
  <c r="Q250" i="5"/>
  <c r="P250" i="5"/>
  <c r="O250" i="5"/>
  <c r="M250" i="5"/>
  <c r="L250" i="5"/>
  <c r="K250" i="5"/>
  <c r="J250" i="5"/>
  <c r="I250" i="5"/>
  <c r="G250" i="5"/>
  <c r="AK249" i="5"/>
  <c r="AI249" i="5"/>
  <c r="AL249" i="5" s="1"/>
  <c r="S249" i="5"/>
  <c r="R249" i="5"/>
  <c r="Q249" i="5"/>
  <c r="P249" i="5"/>
  <c r="O249" i="5"/>
  <c r="M249" i="5"/>
  <c r="L249" i="5"/>
  <c r="K249" i="5"/>
  <c r="J249" i="5"/>
  <c r="I249" i="5"/>
  <c r="G249" i="5"/>
  <c r="AK248" i="5"/>
  <c r="AI248" i="5"/>
  <c r="S248" i="5"/>
  <c r="R248" i="5"/>
  <c r="Q248" i="5"/>
  <c r="P248" i="5"/>
  <c r="O248" i="5"/>
  <c r="M248" i="5"/>
  <c r="L248" i="5"/>
  <c r="K248" i="5"/>
  <c r="J248" i="5"/>
  <c r="I248" i="5"/>
  <c r="G248" i="5"/>
  <c r="AK247" i="5"/>
  <c r="AI247" i="5"/>
  <c r="S247" i="5"/>
  <c r="R247" i="5"/>
  <c r="Q247" i="5"/>
  <c r="P247" i="5"/>
  <c r="O247" i="5"/>
  <c r="M247" i="5"/>
  <c r="L247" i="5"/>
  <c r="K247" i="5"/>
  <c r="J247" i="5"/>
  <c r="I247" i="5"/>
  <c r="G247" i="5"/>
  <c r="AK246" i="5"/>
  <c r="AI246" i="5"/>
  <c r="S246" i="5"/>
  <c r="R246" i="5"/>
  <c r="Q246" i="5"/>
  <c r="P246" i="5"/>
  <c r="O246" i="5"/>
  <c r="M246" i="5"/>
  <c r="L246" i="5"/>
  <c r="K246" i="5"/>
  <c r="J246" i="5"/>
  <c r="I246" i="5"/>
  <c r="G246" i="5"/>
  <c r="AK245" i="5"/>
  <c r="AI245" i="5"/>
  <c r="AL245" i="5" s="1"/>
  <c r="S245" i="5"/>
  <c r="R245" i="5"/>
  <c r="Q245" i="5"/>
  <c r="P245" i="5"/>
  <c r="O245" i="5"/>
  <c r="M245" i="5"/>
  <c r="L245" i="5"/>
  <c r="K245" i="5"/>
  <c r="J245" i="5"/>
  <c r="I245" i="5"/>
  <c r="G245" i="5"/>
  <c r="AK244" i="5"/>
  <c r="AI244" i="5"/>
  <c r="S244" i="5"/>
  <c r="R244" i="5"/>
  <c r="Q244" i="5"/>
  <c r="P244" i="5"/>
  <c r="O244" i="5"/>
  <c r="M244" i="5"/>
  <c r="L244" i="5"/>
  <c r="K244" i="5"/>
  <c r="J244" i="5"/>
  <c r="I244" i="5"/>
  <c r="G244" i="5"/>
  <c r="AK243" i="5"/>
  <c r="AI243" i="5"/>
  <c r="S243" i="5"/>
  <c r="R243" i="5"/>
  <c r="Q243" i="5"/>
  <c r="P243" i="5"/>
  <c r="O243" i="5"/>
  <c r="M243" i="5"/>
  <c r="L243" i="5"/>
  <c r="K243" i="5"/>
  <c r="J243" i="5"/>
  <c r="I243" i="5"/>
  <c r="G243" i="5"/>
  <c r="AK242" i="5"/>
  <c r="AI242" i="5"/>
  <c r="S242" i="5"/>
  <c r="R242" i="5"/>
  <c r="Q242" i="5"/>
  <c r="P242" i="5"/>
  <c r="O242" i="5"/>
  <c r="M242" i="5"/>
  <c r="L242" i="5"/>
  <c r="K242" i="5"/>
  <c r="J242" i="5"/>
  <c r="I242" i="5"/>
  <c r="G242" i="5"/>
  <c r="AK241" i="5"/>
  <c r="AI241" i="5"/>
  <c r="AL241" i="5" s="1"/>
  <c r="S241" i="5"/>
  <c r="R241" i="5"/>
  <c r="Q241" i="5"/>
  <c r="P241" i="5"/>
  <c r="O241" i="5"/>
  <c r="M241" i="5"/>
  <c r="L241" i="5"/>
  <c r="K241" i="5"/>
  <c r="J241" i="5"/>
  <c r="I241" i="5"/>
  <c r="G241" i="5"/>
  <c r="AK240" i="5"/>
  <c r="AI240" i="5"/>
  <c r="S240" i="5"/>
  <c r="R240" i="5"/>
  <c r="Q240" i="5"/>
  <c r="P240" i="5"/>
  <c r="O240" i="5"/>
  <c r="M240" i="5"/>
  <c r="L240" i="5"/>
  <c r="K240" i="5"/>
  <c r="J240" i="5"/>
  <c r="I240" i="5"/>
  <c r="G240" i="5"/>
  <c r="AK239" i="5"/>
  <c r="AI239" i="5"/>
  <c r="S239" i="5"/>
  <c r="R239" i="5"/>
  <c r="Q239" i="5"/>
  <c r="P239" i="5"/>
  <c r="O239" i="5"/>
  <c r="M239" i="5"/>
  <c r="L239" i="5"/>
  <c r="K239" i="5"/>
  <c r="J239" i="5"/>
  <c r="I239" i="5"/>
  <c r="G239" i="5"/>
  <c r="AK238" i="5"/>
  <c r="AI238" i="5"/>
  <c r="S238" i="5"/>
  <c r="R238" i="5"/>
  <c r="Q238" i="5"/>
  <c r="P238" i="5"/>
  <c r="O238" i="5"/>
  <c r="M238" i="5"/>
  <c r="L238" i="5"/>
  <c r="K238" i="5"/>
  <c r="J238" i="5"/>
  <c r="I238" i="5"/>
  <c r="G238" i="5"/>
  <c r="AK237" i="5"/>
  <c r="AI237" i="5"/>
  <c r="AL237" i="5" s="1"/>
  <c r="S237" i="5"/>
  <c r="R237" i="5"/>
  <c r="Q237" i="5"/>
  <c r="P237" i="5"/>
  <c r="O237" i="5"/>
  <c r="M237" i="5"/>
  <c r="L237" i="5"/>
  <c r="K237" i="5"/>
  <c r="J237" i="5"/>
  <c r="I237" i="5"/>
  <c r="G237" i="5"/>
  <c r="AK236" i="5"/>
  <c r="AI236" i="5"/>
  <c r="S236" i="5"/>
  <c r="R236" i="5"/>
  <c r="Q236" i="5"/>
  <c r="P236" i="5"/>
  <c r="O236" i="5"/>
  <c r="M236" i="5"/>
  <c r="L236" i="5"/>
  <c r="K236" i="5"/>
  <c r="J236" i="5"/>
  <c r="I236" i="5"/>
  <c r="G236" i="5"/>
  <c r="AK235" i="5"/>
  <c r="AI235" i="5"/>
  <c r="S235" i="5"/>
  <c r="R235" i="5"/>
  <c r="Q235" i="5"/>
  <c r="P235" i="5"/>
  <c r="O235" i="5"/>
  <c r="M235" i="5"/>
  <c r="L235" i="5"/>
  <c r="K235" i="5"/>
  <c r="J235" i="5"/>
  <c r="I235" i="5"/>
  <c r="G235" i="5"/>
  <c r="AK234" i="5"/>
  <c r="AI234" i="5"/>
  <c r="S234" i="5"/>
  <c r="R234" i="5"/>
  <c r="Q234" i="5"/>
  <c r="P234" i="5"/>
  <c r="O234" i="5"/>
  <c r="M234" i="5"/>
  <c r="L234" i="5"/>
  <c r="K234" i="5"/>
  <c r="J234" i="5"/>
  <c r="I234" i="5"/>
  <c r="G234" i="5"/>
  <c r="AK233" i="5"/>
  <c r="AI233" i="5"/>
  <c r="AL233" i="5" s="1"/>
  <c r="S233" i="5"/>
  <c r="R233" i="5"/>
  <c r="Q233" i="5"/>
  <c r="P233" i="5"/>
  <c r="O233" i="5"/>
  <c r="M233" i="5"/>
  <c r="L233" i="5"/>
  <c r="K233" i="5"/>
  <c r="J233" i="5"/>
  <c r="I233" i="5"/>
  <c r="G233" i="5"/>
  <c r="AK232" i="5"/>
  <c r="AI232" i="5"/>
  <c r="S232" i="5"/>
  <c r="R232" i="5"/>
  <c r="Q232" i="5"/>
  <c r="P232" i="5"/>
  <c r="O232" i="5"/>
  <c r="M232" i="5"/>
  <c r="L232" i="5"/>
  <c r="K232" i="5"/>
  <c r="J232" i="5"/>
  <c r="I232" i="5"/>
  <c r="G232" i="5"/>
  <c r="AK231" i="5"/>
  <c r="AI231" i="5"/>
  <c r="S231" i="5"/>
  <c r="R231" i="5"/>
  <c r="Q231" i="5"/>
  <c r="P231" i="5"/>
  <c r="O231" i="5"/>
  <c r="M231" i="5"/>
  <c r="L231" i="5"/>
  <c r="K231" i="5"/>
  <c r="J231" i="5"/>
  <c r="I231" i="5"/>
  <c r="G231" i="5"/>
  <c r="AK230" i="5"/>
  <c r="AI230" i="5"/>
  <c r="S230" i="5"/>
  <c r="R230" i="5"/>
  <c r="Q230" i="5"/>
  <c r="P230" i="5"/>
  <c r="O230" i="5"/>
  <c r="M230" i="5"/>
  <c r="L230" i="5"/>
  <c r="K230" i="5"/>
  <c r="J230" i="5"/>
  <c r="I230" i="5"/>
  <c r="G230" i="5"/>
  <c r="AK229" i="5"/>
  <c r="AI229" i="5"/>
  <c r="AL229" i="5" s="1"/>
  <c r="S229" i="5"/>
  <c r="R229" i="5"/>
  <c r="Q229" i="5"/>
  <c r="P229" i="5"/>
  <c r="O229" i="5"/>
  <c r="M229" i="5"/>
  <c r="L229" i="5"/>
  <c r="K229" i="5"/>
  <c r="J229" i="5"/>
  <c r="I229" i="5"/>
  <c r="G229" i="5"/>
  <c r="AK228" i="5"/>
  <c r="AI228" i="5"/>
  <c r="S228" i="5"/>
  <c r="R228" i="5"/>
  <c r="Q228" i="5"/>
  <c r="P228" i="5"/>
  <c r="O228" i="5"/>
  <c r="M228" i="5"/>
  <c r="L228" i="5"/>
  <c r="K228" i="5"/>
  <c r="J228" i="5"/>
  <c r="I228" i="5"/>
  <c r="G228" i="5"/>
  <c r="AK227" i="5"/>
  <c r="AI227" i="5"/>
  <c r="S227" i="5"/>
  <c r="R227" i="5"/>
  <c r="Q227" i="5"/>
  <c r="P227" i="5"/>
  <c r="O227" i="5"/>
  <c r="M227" i="5"/>
  <c r="L227" i="5"/>
  <c r="K227" i="5"/>
  <c r="J227" i="5"/>
  <c r="I227" i="5"/>
  <c r="G227" i="5"/>
  <c r="AK226" i="5"/>
  <c r="AI226" i="5"/>
  <c r="S226" i="5"/>
  <c r="R226" i="5"/>
  <c r="Q226" i="5"/>
  <c r="P226" i="5"/>
  <c r="O226" i="5"/>
  <c r="M226" i="5"/>
  <c r="L226" i="5"/>
  <c r="K226" i="5"/>
  <c r="J226" i="5"/>
  <c r="I226" i="5"/>
  <c r="G226" i="5"/>
  <c r="AK225" i="5"/>
  <c r="AI225" i="5"/>
  <c r="AL225" i="5" s="1"/>
  <c r="S225" i="5"/>
  <c r="R225" i="5"/>
  <c r="Q225" i="5"/>
  <c r="P225" i="5"/>
  <c r="O225" i="5"/>
  <c r="M225" i="5"/>
  <c r="L225" i="5"/>
  <c r="K225" i="5"/>
  <c r="J225" i="5"/>
  <c r="I225" i="5"/>
  <c r="G225" i="5"/>
  <c r="AK224" i="5"/>
  <c r="AI224" i="5"/>
  <c r="S224" i="5"/>
  <c r="R224" i="5"/>
  <c r="Q224" i="5"/>
  <c r="P224" i="5"/>
  <c r="O224" i="5"/>
  <c r="M224" i="5"/>
  <c r="L224" i="5"/>
  <c r="K224" i="5"/>
  <c r="J224" i="5"/>
  <c r="I224" i="5"/>
  <c r="G224" i="5"/>
  <c r="AK223" i="5"/>
  <c r="AI223" i="5"/>
  <c r="S223" i="5"/>
  <c r="R223" i="5"/>
  <c r="Q223" i="5"/>
  <c r="P223" i="5"/>
  <c r="O223" i="5"/>
  <c r="M223" i="5"/>
  <c r="L223" i="5"/>
  <c r="K223" i="5"/>
  <c r="J223" i="5"/>
  <c r="I223" i="5"/>
  <c r="G223" i="5"/>
  <c r="AK222" i="5"/>
  <c r="AI222" i="5"/>
  <c r="S222" i="5"/>
  <c r="R222" i="5"/>
  <c r="Q222" i="5"/>
  <c r="P222" i="5"/>
  <c r="O222" i="5"/>
  <c r="M222" i="5"/>
  <c r="L222" i="5"/>
  <c r="K222" i="5"/>
  <c r="J222" i="5"/>
  <c r="I222" i="5"/>
  <c r="G222" i="5"/>
  <c r="AK221" i="5"/>
  <c r="AI221" i="5"/>
  <c r="AL221" i="5" s="1"/>
  <c r="S221" i="5"/>
  <c r="R221" i="5"/>
  <c r="Q221" i="5"/>
  <c r="P221" i="5"/>
  <c r="O221" i="5"/>
  <c r="M221" i="5"/>
  <c r="L221" i="5"/>
  <c r="K221" i="5"/>
  <c r="J221" i="5"/>
  <c r="I221" i="5"/>
  <c r="G221" i="5"/>
  <c r="AK220" i="5"/>
  <c r="AI220" i="5"/>
  <c r="S220" i="5"/>
  <c r="R220" i="5"/>
  <c r="Q220" i="5"/>
  <c r="P220" i="5"/>
  <c r="O220" i="5"/>
  <c r="M220" i="5"/>
  <c r="L220" i="5"/>
  <c r="K220" i="5"/>
  <c r="J220" i="5"/>
  <c r="I220" i="5"/>
  <c r="G220" i="5"/>
  <c r="AK219" i="5"/>
  <c r="AI219" i="5"/>
  <c r="S219" i="5"/>
  <c r="R219" i="5"/>
  <c r="Q219" i="5"/>
  <c r="P219" i="5"/>
  <c r="O219" i="5"/>
  <c r="M219" i="5"/>
  <c r="L219" i="5"/>
  <c r="K219" i="5"/>
  <c r="J219" i="5"/>
  <c r="I219" i="5"/>
  <c r="G219" i="5"/>
  <c r="AK218" i="5"/>
  <c r="AI218" i="5"/>
  <c r="S218" i="5"/>
  <c r="R218" i="5"/>
  <c r="Q218" i="5"/>
  <c r="P218" i="5"/>
  <c r="O218" i="5"/>
  <c r="M218" i="5"/>
  <c r="L218" i="5"/>
  <c r="K218" i="5"/>
  <c r="J218" i="5"/>
  <c r="I218" i="5"/>
  <c r="G218" i="5"/>
  <c r="AK217" i="5"/>
  <c r="AI217" i="5"/>
  <c r="AL217" i="5" s="1"/>
  <c r="S217" i="5"/>
  <c r="R217" i="5"/>
  <c r="Q217" i="5"/>
  <c r="P217" i="5"/>
  <c r="O217" i="5"/>
  <c r="M217" i="5"/>
  <c r="L217" i="5"/>
  <c r="K217" i="5"/>
  <c r="J217" i="5"/>
  <c r="I217" i="5"/>
  <c r="G217" i="5"/>
  <c r="AK216" i="5"/>
  <c r="AI216" i="5"/>
  <c r="S216" i="5"/>
  <c r="R216" i="5"/>
  <c r="Q216" i="5"/>
  <c r="P216" i="5"/>
  <c r="O216" i="5"/>
  <c r="M216" i="5"/>
  <c r="L216" i="5"/>
  <c r="K216" i="5"/>
  <c r="J216" i="5"/>
  <c r="I216" i="5"/>
  <c r="G216" i="5"/>
  <c r="AK215" i="5"/>
  <c r="AI215" i="5"/>
  <c r="S215" i="5"/>
  <c r="R215" i="5"/>
  <c r="Q215" i="5"/>
  <c r="P215" i="5"/>
  <c r="O215" i="5"/>
  <c r="M215" i="5"/>
  <c r="L215" i="5"/>
  <c r="K215" i="5"/>
  <c r="J215" i="5"/>
  <c r="I215" i="5"/>
  <c r="G215" i="5"/>
  <c r="AK214" i="5"/>
  <c r="AI214" i="5"/>
  <c r="S214" i="5"/>
  <c r="R214" i="5"/>
  <c r="Q214" i="5"/>
  <c r="P214" i="5"/>
  <c r="O214" i="5"/>
  <c r="M214" i="5"/>
  <c r="L214" i="5"/>
  <c r="K214" i="5"/>
  <c r="J214" i="5"/>
  <c r="I214" i="5"/>
  <c r="G214" i="5"/>
  <c r="AK213" i="5"/>
  <c r="AI213" i="5"/>
  <c r="AL213" i="5" s="1"/>
  <c r="S213" i="5"/>
  <c r="R213" i="5"/>
  <c r="Q213" i="5"/>
  <c r="P213" i="5"/>
  <c r="O213" i="5"/>
  <c r="M213" i="5"/>
  <c r="L213" i="5"/>
  <c r="K213" i="5"/>
  <c r="J213" i="5"/>
  <c r="I213" i="5"/>
  <c r="G213" i="5"/>
  <c r="AK212" i="5"/>
  <c r="AI212" i="5"/>
  <c r="S212" i="5"/>
  <c r="R212" i="5"/>
  <c r="Q212" i="5"/>
  <c r="P212" i="5"/>
  <c r="O212" i="5"/>
  <c r="M212" i="5"/>
  <c r="L212" i="5"/>
  <c r="K212" i="5"/>
  <c r="J212" i="5"/>
  <c r="I212" i="5"/>
  <c r="G212" i="5"/>
  <c r="AK211" i="5"/>
  <c r="AI211" i="5"/>
  <c r="S211" i="5"/>
  <c r="R211" i="5"/>
  <c r="Q211" i="5"/>
  <c r="P211" i="5"/>
  <c r="O211" i="5"/>
  <c r="M211" i="5"/>
  <c r="L211" i="5"/>
  <c r="K211" i="5"/>
  <c r="J211" i="5"/>
  <c r="I211" i="5"/>
  <c r="G211" i="5"/>
  <c r="AK210" i="5"/>
  <c r="AI210" i="5"/>
  <c r="S210" i="5"/>
  <c r="R210" i="5"/>
  <c r="Q210" i="5"/>
  <c r="P210" i="5"/>
  <c r="O210" i="5"/>
  <c r="M210" i="5"/>
  <c r="L210" i="5"/>
  <c r="K210" i="5"/>
  <c r="J210" i="5"/>
  <c r="I210" i="5"/>
  <c r="G210" i="5"/>
  <c r="AK209" i="5"/>
  <c r="AI209" i="5"/>
  <c r="AL209" i="5" s="1"/>
  <c r="S209" i="5"/>
  <c r="R209" i="5"/>
  <c r="Q209" i="5"/>
  <c r="P209" i="5"/>
  <c r="O209" i="5"/>
  <c r="M209" i="5"/>
  <c r="L209" i="5"/>
  <c r="K209" i="5"/>
  <c r="J209" i="5"/>
  <c r="I209" i="5"/>
  <c r="G209" i="5"/>
  <c r="AK208" i="5"/>
  <c r="AI208" i="5"/>
  <c r="S208" i="5"/>
  <c r="R208" i="5"/>
  <c r="Q208" i="5"/>
  <c r="P208" i="5"/>
  <c r="O208" i="5"/>
  <c r="M208" i="5"/>
  <c r="L208" i="5"/>
  <c r="K208" i="5"/>
  <c r="J208" i="5"/>
  <c r="I208" i="5"/>
  <c r="G208" i="5"/>
  <c r="AK207" i="5"/>
  <c r="AI207" i="5"/>
  <c r="S207" i="5"/>
  <c r="R207" i="5"/>
  <c r="Q207" i="5"/>
  <c r="P207" i="5"/>
  <c r="O207" i="5"/>
  <c r="M207" i="5"/>
  <c r="L207" i="5"/>
  <c r="K207" i="5"/>
  <c r="J207" i="5"/>
  <c r="I207" i="5"/>
  <c r="G207" i="5"/>
  <c r="AK206" i="5"/>
  <c r="AI206" i="5"/>
  <c r="S206" i="5"/>
  <c r="R206" i="5"/>
  <c r="Q206" i="5"/>
  <c r="P206" i="5"/>
  <c r="O206" i="5"/>
  <c r="M206" i="5"/>
  <c r="L206" i="5"/>
  <c r="K206" i="5"/>
  <c r="J206" i="5"/>
  <c r="I206" i="5"/>
  <c r="G206" i="5"/>
  <c r="AK205" i="5"/>
  <c r="AI205" i="5"/>
  <c r="AL205" i="5" s="1"/>
  <c r="S205" i="5"/>
  <c r="R205" i="5"/>
  <c r="Q205" i="5"/>
  <c r="P205" i="5"/>
  <c r="O205" i="5"/>
  <c r="M205" i="5"/>
  <c r="L205" i="5"/>
  <c r="K205" i="5"/>
  <c r="J205" i="5"/>
  <c r="I205" i="5"/>
  <c r="G205" i="5"/>
  <c r="AK204" i="5"/>
  <c r="AI204" i="5"/>
  <c r="S204" i="5"/>
  <c r="R204" i="5"/>
  <c r="Q204" i="5"/>
  <c r="P204" i="5"/>
  <c r="O204" i="5"/>
  <c r="M204" i="5"/>
  <c r="L204" i="5"/>
  <c r="K204" i="5"/>
  <c r="J204" i="5"/>
  <c r="I204" i="5"/>
  <c r="G204" i="5"/>
  <c r="AK203" i="5"/>
  <c r="AI203" i="5"/>
  <c r="S203" i="5"/>
  <c r="R203" i="5"/>
  <c r="Q203" i="5"/>
  <c r="P203" i="5"/>
  <c r="O203" i="5"/>
  <c r="M203" i="5"/>
  <c r="L203" i="5"/>
  <c r="K203" i="5"/>
  <c r="J203" i="5"/>
  <c r="I203" i="5"/>
  <c r="G203" i="5"/>
  <c r="AK202" i="5"/>
  <c r="AI202" i="5"/>
  <c r="S202" i="5"/>
  <c r="R202" i="5"/>
  <c r="Q202" i="5"/>
  <c r="P202" i="5"/>
  <c r="O202" i="5"/>
  <c r="M202" i="5"/>
  <c r="L202" i="5"/>
  <c r="K202" i="5"/>
  <c r="J202" i="5"/>
  <c r="I202" i="5"/>
  <c r="G202" i="5"/>
  <c r="AK201" i="5"/>
  <c r="AI201" i="5"/>
  <c r="AL201" i="5" s="1"/>
  <c r="S201" i="5"/>
  <c r="R201" i="5"/>
  <c r="Q201" i="5"/>
  <c r="P201" i="5"/>
  <c r="O201" i="5"/>
  <c r="M201" i="5"/>
  <c r="L201" i="5"/>
  <c r="K201" i="5"/>
  <c r="J201" i="5"/>
  <c r="I201" i="5"/>
  <c r="G201" i="5"/>
  <c r="AK200" i="5"/>
  <c r="AI200" i="5"/>
  <c r="S200" i="5"/>
  <c r="R200" i="5"/>
  <c r="Q200" i="5"/>
  <c r="P200" i="5"/>
  <c r="O200" i="5"/>
  <c r="M200" i="5"/>
  <c r="L200" i="5"/>
  <c r="K200" i="5"/>
  <c r="J200" i="5"/>
  <c r="I200" i="5"/>
  <c r="G200" i="5"/>
  <c r="AK199" i="5"/>
  <c r="AI199" i="5"/>
  <c r="S199" i="5"/>
  <c r="R199" i="5"/>
  <c r="Q199" i="5"/>
  <c r="P199" i="5"/>
  <c r="O199" i="5"/>
  <c r="M199" i="5"/>
  <c r="L199" i="5"/>
  <c r="K199" i="5"/>
  <c r="J199" i="5"/>
  <c r="I199" i="5"/>
  <c r="G199" i="5"/>
  <c r="AK198" i="5"/>
  <c r="AI198" i="5"/>
  <c r="S198" i="5"/>
  <c r="R198" i="5"/>
  <c r="Q198" i="5"/>
  <c r="P198" i="5"/>
  <c r="O198" i="5"/>
  <c r="M198" i="5"/>
  <c r="L198" i="5"/>
  <c r="K198" i="5"/>
  <c r="J198" i="5"/>
  <c r="I198" i="5"/>
  <c r="G198" i="5"/>
  <c r="AK197" i="5"/>
  <c r="AI197" i="5"/>
  <c r="AL197" i="5" s="1"/>
  <c r="S197" i="5"/>
  <c r="R197" i="5"/>
  <c r="Q197" i="5"/>
  <c r="P197" i="5"/>
  <c r="O197" i="5"/>
  <c r="M197" i="5"/>
  <c r="L197" i="5"/>
  <c r="K197" i="5"/>
  <c r="J197" i="5"/>
  <c r="I197" i="5"/>
  <c r="G197" i="5"/>
  <c r="AK196" i="5"/>
  <c r="AI196" i="5"/>
  <c r="S196" i="5"/>
  <c r="R196" i="5"/>
  <c r="Q196" i="5"/>
  <c r="P196" i="5"/>
  <c r="O196" i="5"/>
  <c r="M196" i="5"/>
  <c r="L196" i="5"/>
  <c r="K196" i="5"/>
  <c r="J196" i="5"/>
  <c r="I196" i="5"/>
  <c r="G196" i="5"/>
  <c r="AK195" i="5"/>
  <c r="AI195" i="5"/>
  <c r="S195" i="5"/>
  <c r="R195" i="5"/>
  <c r="Q195" i="5"/>
  <c r="P195" i="5"/>
  <c r="O195" i="5"/>
  <c r="M195" i="5"/>
  <c r="L195" i="5"/>
  <c r="K195" i="5"/>
  <c r="J195" i="5"/>
  <c r="I195" i="5"/>
  <c r="G195" i="5"/>
  <c r="AK194" i="5"/>
  <c r="AI194" i="5"/>
  <c r="S194" i="5"/>
  <c r="R194" i="5"/>
  <c r="Q194" i="5"/>
  <c r="P194" i="5"/>
  <c r="O194" i="5"/>
  <c r="M194" i="5"/>
  <c r="L194" i="5"/>
  <c r="K194" i="5"/>
  <c r="J194" i="5"/>
  <c r="I194" i="5"/>
  <c r="G194" i="5"/>
  <c r="AK193" i="5"/>
  <c r="AI193" i="5"/>
  <c r="AL193" i="5" s="1"/>
  <c r="S193" i="5"/>
  <c r="R193" i="5"/>
  <c r="Q193" i="5"/>
  <c r="P193" i="5"/>
  <c r="O193" i="5"/>
  <c r="M193" i="5"/>
  <c r="L193" i="5"/>
  <c r="K193" i="5"/>
  <c r="J193" i="5"/>
  <c r="I193" i="5"/>
  <c r="G193" i="5"/>
  <c r="AK192" i="5"/>
  <c r="AI192" i="5"/>
  <c r="S192" i="5"/>
  <c r="R192" i="5"/>
  <c r="Q192" i="5"/>
  <c r="P192" i="5"/>
  <c r="O192" i="5"/>
  <c r="M192" i="5"/>
  <c r="L192" i="5"/>
  <c r="K192" i="5"/>
  <c r="J192" i="5"/>
  <c r="I192" i="5"/>
  <c r="G192" i="5"/>
  <c r="AK191" i="5"/>
  <c r="AI191" i="5"/>
  <c r="S191" i="5"/>
  <c r="R191" i="5"/>
  <c r="Q191" i="5"/>
  <c r="P191" i="5"/>
  <c r="O191" i="5"/>
  <c r="M191" i="5"/>
  <c r="L191" i="5"/>
  <c r="K191" i="5"/>
  <c r="J191" i="5"/>
  <c r="I191" i="5"/>
  <c r="G191" i="5"/>
  <c r="AK190" i="5"/>
  <c r="AI190" i="5"/>
  <c r="S190" i="5"/>
  <c r="R190" i="5"/>
  <c r="Q190" i="5"/>
  <c r="P190" i="5"/>
  <c r="O190" i="5"/>
  <c r="M190" i="5"/>
  <c r="L190" i="5"/>
  <c r="K190" i="5"/>
  <c r="J190" i="5"/>
  <c r="I190" i="5"/>
  <c r="G190" i="5"/>
  <c r="AK189" i="5"/>
  <c r="AI189" i="5"/>
  <c r="AL189" i="5" s="1"/>
  <c r="S189" i="5"/>
  <c r="R189" i="5"/>
  <c r="Q189" i="5"/>
  <c r="P189" i="5"/>
  <c r="O189" i="5"/>
  <c r="M189" i="5"/>
  <c r="L189" i="5"/>
  <c r="K189" i="5"/>
  <c r="J189" i="5"/>
  <c r="I189" i="5"/>
  <c r="G189" i="5"/>
  <c r="AK188" i="5"/>
  <c r="AI188" i="5"/>
  <c r="S188" i="5"/>
  <c r="R188" i="5"/>
  <c r="Q188" i="5"/>
  <c r="P188" i="5"/>
  <c r="O188" i="5"/>
  <c r="M188" i="5"/>
  <c r="L188" i="5"/>
  <c r="K188" i="5"/>
  <c r="J188" i="5"/>
  <c r="I188" i="5"/>
  <c r="G188" i="5"/>
  <c r="AK187" i="5"/>
  <c r="AI187" i="5"/>
  <c r="S187" i="5"/>
  <c r="R187" i="5"/>
  <c r="Q187" i="5"/>
  <c r="P187" i="5"/>
  <c r="O187" i="5"/>
  <c r="M187" i="5"/>
  <c r="L187" i="5"/>
  <c r="K187" i="5"/>
  <c r="J187" i="5"/>
  <c r="I187" i="5"/>
  <c r="G187" i="5"/>
  <c r="AK186" i="5"/>
  <c r="AI186" i="5"/>
  <c r="S186" i="5"/>
  <c r="R186" i="5"/>
  <c r="Q186" i="5"/>
  <c r="P186" i="5"/>
  <c r="O186" i="5"/>
  <c r="M186" i="5"/>
  <c r="L186" i="5"/>
  <c r="K186" i="5"/>
  <c r="J186" i="5"/>
  <c r="I186" i="5"/>
  <c r="G186" i="5"/>
  <c r="AK185" i="5"/>
  <c r="AI185" i="5"/>
  <c r="AL185" i="5" s="1"/>
  <c r="S185" i="5"/>
  <c r="R185" i="5"/>
  <c r="Q185" i="5"/>
  <c r="P185" i="5"/>
  <c r="O185" i="5"/>
  <c r="M185" i="5"/>
  <c r="L185" i="5"/>
  <c r="K185" i="5"/>
  <c r="J185" i="5"/>
  <c r="I185" i="5"/>
  <c r="G185" i="5"/>
  <c r="AK184" i="5"/>
  <c r="AI184" i="5"/>
  <c r="S184" i="5"/>
  <c r="R184" i="5"/>
  <c r="Q184" i="5"/>
  <c r="P184" i="5"/>
  <c r="O184" i="5"/>
  <c r="M184" i="5"/>
  <c r="L184" i="5"/>
  <c r="K184" i="5"/>
  <c r="J184" i="5"/>
  <c r="I184" i="5"/>
  <c r="G184" i="5"/>
  <c r="AK183" i="5"/>
  <c r="AI183" i="5"/>
  <c r="S183" i="5"/>
  <c r="R183" i="5"/>
  <c r="Q183" i="5"/>
  <c r="P183" i="5"/>
  <c r="O183" i="5"/>
  <c r="M183" i="5"/>
  <c r="L183" i="5"/>
  <c r="K183" i="5"/>
  <c r="J183" i="5"/>
  <c r="I183" i="5"/>
  <c r="G183" i="5"/>
  <c r="AK182" i="5"/>
  <c r="AI182" i="5"/>
  <c r="S182" i="5"/>
  <c r="R182" i="5"/>
  <c r="Q182" i="5"/>
  <c r="P182" i="5"/>
  <c r="O182" i="5"/>
  <c r="M182" i="5"/>
  <c r="L182" i="5"/>
  <c r="K182" i="5"/>
  <c r="J182" i="5"/>
  <c r="I182" i="5"/>
  <c r="G182" i="5"/>
  <c r="AK181" i="5"/>
  <c r="AI181" i="5"/>
  <c r="AL181" i="5" s="1"/>
  <c r="S181" i="5"/>
  <c r="R181" i="5"/>
  <c r="Q181" i="5"/>
  <c r="P181" i="5"/>
  <c r="O181" i="5"/>
  <c r="M181" i="5"/>
  <c r="L181" i="5"/>
  <c r="K181" i="5"/>
  <c r="J181" i="5"/>
  <c r="I181" i="5"/>
  <c r="G181" i="5"/>
  <c r="AK180" i="5"/>
  <c r="AI180" i="5"/>
  <c r="S180" i="5"/>
  <c r="R180" i="5"/>
  <c r="Q180" i="5"/>
  <c r="P180" i="5"/>
  <c r="O180" i="5"/>
  <c r="M180" i="5"/>
  <c r="L180" i="5"/>
  <c r="K180" i="5"/>
  <c r="J180" i="5"/>
  <c r="I180" i="5"/>
  <c r="G180" i="5"/>
  <c r="AK179" i="5"/>
  <c r="AI179" i="5"/>
  <c r="S179" i="5"/>
  <c r="R179" i="5"/>
  <c r="Q179" i="5"/>
  <c r="P179" i="5"/>
  <c r="O179" i="5"/>
  <c r="M179" i="5"/>
  <c r="L179" i="5"/>
  <c r="K179" i="5"/>
  <c r="J179" i="5"/>
  <c r="I179" i="5"/>
  <c r="G179" i="5"/>
  <c r="AK178" i="5"/>
  <c r="AI178" i="5"/>
  <c r="S178" i="5"/>
  <c r="R178" i="5"/>
  <c r="Q178" i="5"/>
  <c r="P178" i="5"/>
  <c r="O178" i="5"/>
  <c r="M178" i="5"/>
  <c r="L178" i="5"/>
  <c r="K178" i="5"/>
  <c r="J178" i="5"/>
  <c r="I178" i="5"/>
  <c r="G178" i="5"/>
  <c r="AK177" i="5"/>
  <c r="AI177" i="5"/>
  <c r="AL177" i="5" s="1"/>
  <c r="S177" i="5"/>
  <c r="R177" i="5"/>
  <c r="Q177" i="5"/>
  <c r="P177" i="5"/>
  <c r="O177" i="5"/>
  <c r="M177" i="5"/>
  <c r="L177" i="5"/>
  <c r="K177" i="5"/>
  <c r="J177" i="5"/>
  <c r="I177" i="5"/>
  <c r="G177" i="5"/>
  <c r="AK176" i="5"/>
  <c r="AI176" i="5"/>
  <c r="S176" i="5"/>
  <c r="R176" i="5"/>
  <c r="Q176" i="5"/>
  <c r="P176" i="5"/>
  <c r="O176" i="5"/>
  <c r="M176" i="5"/>
  <c r="L176" i="5"/>
  <c r="K176" i="5"/>
  <c r="J176" i="5"/>
  <c r="I176" i="5"/>
  <c r="G176" i="5"/>
  <c r="AK175" i="5"/>
  <c r="AI175" i="5"/>
  <c r="S175" i="5"/>
  <c r="R175" i="5"/>
  <c r="Q175" i="5"/>
  <c r="P175" i="5"/>
  <c r="O175" i="5"/>
  <c r="M175" i="5"/>
  <c r="L175" i="5"/>
  <c r="K175" i="5"/>
  <c r="J175" i="5"/>
  <c r="I175" i="5"/>
  <c r="G175" i="5"/>
  <c r="AK174" i="5"/>
  <c r="AI174" i="5"/>
  <c r="S174" i="5"/>
  <c r="R174" i="5"/>
  <c r="Q174" i="5"/>
  <c r="P174" i="5"/>
  <c r="O174" i="5"/>
  <c r="M174" i="5"/>
  <c r="L174" i="5"/>
  <c r="K174" i="5"/>
  <c r="J174" i="5"/>
  <c r="I174" i="5"/>
  <c r="G174" i="5"/>
  <c r="AK173" i="5"/>
  <c r="AI173" i="5"/>
  <c r="AL173" i="5" s="1"/>
  <c r="S173" i="5"/>
  <c r="R173" i="5"/>
  <c r="Q173" i="5"/>
  <c r="P173" i="5"/>
  <c r="O173" i="5"/>
  <c r="M173" i="5"/>
  <c r="L173" i="5"/>
  <c r="K173" i="5"/>
  <c r="J173" i="5"/>
  <c r="I173" i="5"/>
  <c r="G173" i="5"/>
  <c r="AK172" i="5"/>
  <c r="AI172" i="5"/>
  <c r="S172" i="5"/>
  <c r="R172" i="5"/>
  <c r="Q172" i="5"/>
  <c r="P172" i="5"/>
  <c r="O172" i="5"/>
  <c r="M172" i="5"/>
  <c r="L172" i="5"/>
  <c r="K172" i="5"/>
  <c r="J172" i="5"/>
  <c r="I172" i="5"/>
  <c r="G172" i="5"/>
  <c r="AK171" i="5"/>
  <c r="AI171" i="5"/>
  <c r="S171" i="5"/>
  <c r="R171" i="5"/>
  <c r="Q171" i="5"/>
  <c r="P171" i="5"/>
  <c r="O171" i="5"/>
  <c r="M171" i="5"/>
  <c r="L171" i="5"/>
  <c r="K171" i="5"/>
  <c r="J171" i="5"/>
  <c r="I171" i="5"/>
  <c r="G171" i="5"/>
  <c r="AK170" i="5"/>
  <c r="AI170" i="5"/>
  <c r="S170" i="5"/>
  <c r="R170" i="5"/>
  <c r="Q170" i="5"/>
  <c r="P170" i="5"/>
  <c r="O170" i="5"/>
  <c r="M170" i="5"/>
  <c r="L170" i="5"/>
  <c r="K170" i="5"/>
  <c r="J170" i="5"/>
  <c r="I170" i="5"/>
  <c r="G170" i="5"/>
  <c r="AK169" i="5"/>
  <c r="AI169" i="5"/>
  <c r="AL169" i="5" s="1"/>
  <c r="S169" i="5"/>
  <c r="R169" i="5"/>
  <c r="Q169" i="5"/>
  <c r="P169" i="5"/>
  <c r="O169" i="5"/>
  <c r="M169" i="5"/>
  <c r="L169" i="5"/>
  <c r="K169" i="5"/>
  <c r="J169" i="5"/>
  <c r="I169" i="5"/>
  <c r="G169" i="5"/>
  <c r="AK168" i="5"/>
  <c r="AI168" i="5"/>
  <c r="S168" i="5"/>
  <c r="R168" i="5"/>
  <c r="Q168" i="5"/>
  <c r="P168" i="5"/>
  <c r="O168" i="5"/>
  <c r="M168" i="5"/>
  <c r="L168" i="5"/>
  <c r="K168" i="5"/>
  <c r="J168" i="5"/>
  <c r="I168" i="5"/>
  <c r="G168" i="5"/>
  <c r="AK167" i="5"/>
  <c r="AI167" i="5"/>
  <c r="S167" i="5"/>
  <c r="R167" i="5"/>
  <c r="Q167" i="5"/>
  <c r="P167" i="5"/>
  <c r="O167" i="5"/>
  <c r="M167" i="5"/>
  <c r="L167" i="5"/>
  <c r="K167" i="5"/>
  <c r="J167" i="5"/>
  <c r="I167" i="5"/>
  <c r="G167" i="5"/>
  <c r="AK166" i="5"/>
  <c r="AI166" i="5"/>
  <c r="S166" i="5"/>
  <c r="R166" i="5"/>
  <c r="Q166" i="5"/>
  <c r="P166" i="5"/>
  <c r="O166" i="5"/>
  <c r="M166" i="5"/>
  <c r="L166" i="5"/>
  <c r="K166" i="5"/>
  <c r="J166" i="5"/>
  <c r="I166" i="5"/>
  <c r="G166" i="5"/>
  <c r="AK165" i="5"/>
  <c r="AI165" i="5"/>
  <c r="AL165" i="5" s="1"/>
  <c r="S165" i="5"/>
  <c r="R165" i="5"/>
  <c r="Q165" i="5"/>
  <c r="P165" i="5"/>
  <c r="O165" i="5"/>
  <c r="M165" i="5"/>
  <c r="L165" i="5"/>
  <c r="K165" i="5"/>
  <c r="J165" i="5"/>
  <c r="I165" i="5"/>
  <c r="G165" i="5"/>
  <c r="AK164" i="5"/>
  <c r="AI164" i="5"/>
  <c r="S164" i="5"/>
  <c r="R164" i="5"/>
  <c r="Q164" i="5"/>
  <c r="P164" i="5"/>
  <c r="O164" i="5"/>
  <c r="M164" i="5"/>
  <c r="L164" i="5"/>
  <c r="K164" i="5"/>
  <c r="J164" i="5"/>
  <c r="I164" i="5"/>
  <c r="G164" i="5"/>
  <c r="AK163" i="5"/>
  <c r="AI163" i="5"/>
  <c r="S163" i="5"/>
  <c r="R163" i="5"/>
  <c r="Q163" i="5"/>
  <c r="P163" i="5"/>
  <c r="O163" i="5"/>
  <c r="M163" i="5"/>
  <c r="L163" i="5"/>
  <c r="K163" i="5"/>
  <c r="J163" i="5"/>
  <c r="I163" i="5"/>
  <c r="G163" i="5"/>
  <c r="AK162" i="5"/>
  <c r="AI162" i="5"/>
  <c r="S162" i="5"/>
  <c r="R162" i="5"/>
  <c r="Q162" i="5"/>
  <c r="P162" i="5"/>
  <c r="O162" i="5"/>
  <c r="M162" i="5"/>
  <c r="L162" i="5"/>
  <c r="K162" i="5"/>
  <c r="J162" i="5"/>
  <c r="I162" i="5"/>
  <c r="G162" i="5"/>
  <c r="AK161" i="5"/>
  <c r="AI161" i="5"/>
  <c r="AL161" i="5" s="1"/>
  <c r="S161" i="5"/>
  <c r="R161" i="5"/>
  <c r="Q161" i="5"/>
  <c r="P161" i="5"/>
  <c r="O161" i="5"/>
  <c r="M161" i="5"/>
  <c r="L161" i="5"/>
  <c r="K161" i="5"/>
  <c r="J161" i="5"/>
  <c r="I161" i="5"/>
  <c r="G161" i="5"/>
  <c r="AK160" i="5"/>
  <c r="AI160" i="5"/>
  <c r="S160" i="5"/>
  <c r="R160" i="5"/>
  <c r="Q160" i="5"/>
  <c r="P160" i="5"/>
  <c r="O160" i="5"/>
  <c r="M160" i="5"/>
  <c r="L160" i="5"/>
  <c r="K160" i="5"/>
  <c r="J160" i="5"/>
  <c r="I160" i="5"/>
  <c r="G160" i="5"/>
  <c r="AK159" i="5"/>
  <c r="AI159" i="5"/>
  <c r="S159" i="5"/>
  <c r="R159" i="5"/>
  <c r="Q159" i="5"/>
  <c r="P159" i="5"/>
  <c r="O159" i="5"/>
  <c r="M159" i="5"/>
  <c r="L159" i="5"/>
  <c r="K159" i="5"/>
  <c r="J159" i="5"/>
  <c r="I159" i="5"/>
  <c r="G159" i="5"/>
  <c r="AK158" i="5"/>
  <c r="AI158" i="5"/>
  <c r="S158" i="5"/>
  <c r="R158" i="5"/>
  <c r="Q158" i="5"/>
  <c r="P158" i="5"/>
  <c r="O158" i="5"/>
  <c r="M158" i="5"/>
  <c r="L158" i="5"/>
  <c r="K158" i="5"/>
  <c r="J158" i="5"/>
  <c r="I158" i="5"/>
  <c r="G158" i="5"/>
  <c r="AK157" i="5"/>
  <c r="AI157" i="5"/>
  <c r="AL157" i="5" s="1"/>
  <c r="S157" i="5"/>
  <c r="R157" i="5"/>
  <c r="Q157" i="5"/>
  <c r="P157" i="5"/>
  <c r="O157" i="5"/>
  <c r="M157" i="5"/>
  <c r="L157" i="5"/>
  <c r="K157" i="5"/>
  <c r="J157" i="5"/>
  <c r="I157" i="5"/>
  <c r="G157" i="5"/>
  <c r="AK156" i="5"/>
  <c r="AI156" i="5"/>
  <c r="S156" i="5"/>
  <c r="R156" i="5"/>
  <c r="Q156" i="5"/>
  <c r="P156" i="5"/>
  <c r="O156" i="5"/>
  <c r="M156" i="5"/>
  <c r="L156" i="5"/>
  <c r="K156" i="5"/>
  <c r="J156" i="5"/>
  <c r="I156" i="5"/>
  <c r="G156" i="5"/>
  <c r="AK155" i="5"/>
  <c r="AI155" i="5"/>
  <c r="S155" i="5"/>
  <c r="R155" i="5"/>
  <c r="Q155" i="5"/>
  <c r="P155" i="5"/>
  <c r="O155" i="5"/>
  <c r="M155" i="5"/>
  <c r="L155" i="5"/>
  <c r="K155" i="5"/>
  <c r="J155" i="5"/>
  <c r="I155" i="5"/>
  <c r="G155" i="5"/>
  <c r="AK154" i="5"/>
  <c r="AI154" i="5"/>
  <c r="S154" i="5"/>
  <c r="R154" i="5"/>
  <c r="Q154" i="5"/>
  <c r="P154" i="5"/>
  <c r="O154" i="5"/>
  <c r="M154" i="5"/>
  <c r="L154" i="5"/>
  <c r="K154" i="5"/>
  <c r="J154" i="5"/>
  <c r="I154" i="5"/>
  <c r="G154" i="5"/>
  <c r="AK153" i="5"/>
  <c r="AI153" i="5"/>
  <c r="AL153" i="5" s="1"/>
  <c r="S153" i="5"/>
  <c r="R153" i="5"/>
  <c r="Q153" i="5"/>
  <c r="P153" i="5"/>
  <c r="O153" i="5"/>
  <c r="M153" i="5"/>
  <c r="L153" i="5"/>
  <c r="K153" i="5"/>
  <c r="J153" i="5"/>
  <c r="I153" i="5"/>
  <c r="G153" i="5"/>
  <c r="AK152" i="5"/>
  <c r="AI152" i="5"/>
  <c r="S152" i="5"/>
  <c r="R152" i="5"/>
  <c r="Q152" i="5"/>
  <c r="P152" i="5"/>
  <c r="O152" i="5"/>
  <c r="M152" i="5"/>
  <c r="L152" i="5"/>
  <c r="K152" i="5"/>
  <c r="J152" i="5"/>
  <c r="I152" i="5"/>
  <c r="G152" i="5"/>
  <c r="AK151" i="5"/>
  <c r="AI151" i="5"/>
  <c r="S151" i="5"/>
  <c r="R151" i="5"/>
  <c r="Q151" i="5"/>
  <c r="P151" i="5"/>
  <c r="O151" i="5"/>
  <c r="M151" i="5"/>
  <c r="L151" i="5"/>
  <c r="K151" i="5"/>
  <c r="J151" i="5"/>
  <c r="I151" i="5"/>
  <c r="G151" i="5"/>
  <c r="AK150" i="5"/>
  <c r="AI150" i="5"/>
  <c r="S150" i="5"/>
  <c r="R150" i="5"/>
  <c r="Q150" i="5"/>
  <c r="P150" i="5"/>
  <c r="O150" i="5"/>
  <c r="M150" i="5"/>
  <c r="L150" i="5"/>
  <c r="K150" i="5"/>
  <c r="J150" i="5"/>
  <c r="I150" i="5"/>
  <c r="G150" i="5"/>
  <c r="AK149" i="5"/>
  <c r="AI149" i="5"/>
  <c r="AL149" i="5" s="1"/>
  <c r="S149" i="5"/>
  <c r="R149" i="5"/>
  <c r="Q149" i="5"/>
  <c r="P149" i="5"/>
  <c r="O149" i="5"/>
  <c r="M149" i="5"/>
  <c r="L149" i="5"/>
  <c r="K149" i="5"/>
  <c r="J149" i="5"/>
  <c r="I149" i="5"/>
  <c r="G149" i="5"/>
  <c r="AK148" i="5"/>
  <c r="AI148" i="5"/>
  <c r="S148" i="5"/>
  <c r="R148" i="5"/>
  <c r="Q148" i="5"/>
  <c r="P148" i="5"/>
  <c r="O148" i="5"/>
  <c r="M148" i="5"/>
  <c r="L148" i="5"/>
  <c r="K148" i="5"/>
  <c r="J148" i="5"/>
  <c r="I148" i="5"/>
  <c r="G148" i="5"/>
  <c r="AK147" i="5"/>
  <c r="AI147" i="5"/>
  <c r="S147" i="5"/>
  <c r="R147" i="5"/>
  <c r="Q147" i="5"/>
  <c r="P147" i="5"/>
  <c r="O147" i="5"/>
  <c r="M147" i="5"/>
  <c r="L147" i="5"/>
  <c r="K147" i="5"/>
  <c r="J147" i="5"/>
  <c r="I147" i="5"/>
  <c r="G147" i="5"/>
  <c r="AK146" i="5"/>
  <c r="AI146" i="5"/>
  <c r="S146" i="5"/>
  <c r="R146" i="5"/>
  <c r="Q146" i="5"/>
  <c r="P146" i="5"/>
  <c r="O146" i="5"/>
  <c r="M146" i="5"/>
  <c r="L146" i="5"/>
  <c r="K146" i="5"/>
  <c r="J146" i="5"/>
  <c r="I146" i="5"/>
  <c r="G146" i="5"/>
  <c r="AK145" i="5"/>
  <c r="AI145" i="5"/>
  <c r="AL145" i="5" s="1"/>
  <c r="S145" i="5"/>
  <c r="R145" i="5"/>
  <c r="Q145" i="5"/>
  <c r="P145" i="5"/>
  <c r="O145" i="5"/>
  <c r="M145" i="5"/>
  <c r="L145" i="5"/>
  <c r="K145" i="5"/>
  <c r="J145" i="5"/>
  <c r="I145" i="5"/>
  <c r="G145" i="5"/>
  <c r="AK144" i="5"/>
  <c r="AI144" i="5"/>
  <c r="S144" i="5"/>
  <c r="R144" i="5"/>
  <c r="Q144" i="5"/>
  <c r="P144" i="5"/>
  <c r="O144" i="5"/>
  <c r="M144" i="5"/>
  <c r="L144" i="5"/>
  <c r="K144" i="5"/>
  <c r="J144" i="5"/>
  <c r="I144" i="5"/>
  <c r="G144" i="5"/>
  <c r="AK143" i="5"/>
  <c r="AI143" i="5"/>
  <c r="S143" i="5"/>
  <c r="R143" i="5"/>
  <c r="Q143" i="5"/>
  <c r="P143" i="5"/>
  <c r="O143" i="5"/>
  <c r="M143" i="5"/>
  <c r="L143" i="5"/>
  <c r="K143" i="5"/>
  <c r="J143" i="5"/>
  <c r="I143" i="5"/>
  <c r="G143" i="5"/>
  <c r="AK142" i="5"/>
  <c r="AI142" i="5"/>
  <c r="S142" i="5"/>
  <c r="R142" i="5"/>
  <c r="Q142" i="5"/>
  <c r="P142" i="5"/>
  <c r="O142" i="5"/>
  <c r="M142" i="5"/>
  <c r="L142" i="5"/>
  <c r="W142" i="5" s="1"/>
  <c r="K142" i="5"/>
  <c r="J142" i="5"/>
  <c r="I142" i="5"/>
  <c r="G142" i="5"/>
  <c r="AK141" i="5"/>
  <c r="AI141" i="5"/>
  <c r="AL141" i="5" s="1"/>
  <c r="S141" i="5"/>
  <c r="R141" i="5"/>
  <c r="Q141" i="5"/>
  <c r="P141" i="5"/>
  <c r="O141" i="5"/>
  <c r="M141" i="5"/>
  <c r="L141" i="5"/>
  <c r="K141" i="5"/>
  <c r="J141" i="5"/>
  <c r="I141" i="5"/>
  <c r="G141" i="5"/>
  <c r="AK140" i="5"/>
  <c r="AI140" i="5"/>
  <c r="S140" i="5"/>
  <c r="R140" i="5"/>
  <c r="Q140" i="5"/>
  <c r="P140" i="5"/>
  <c r="O140" i="5"/>
  <c r="M140" i="5"/>
  <c r="L140" i="5"/>
  <c r="K140" i="5"/>
  <c r="J140" i="5"/>
  <c r="I140" i="5"/>
  <c r="G140" i="5"/>
  <c r="AK139" i="5"/>
  <c r="AI139" i="5"/>
  <c r="S139" i="5"/>
  <c r="R139" i="5"/>
  <c r="Q139" i="5"/>
  <c r="P139" i="5"/>
  <c r="O139" i="5"/>
  <c r="M139" i="5"/>
  <c r="L139" i="5"/>
  <c r="K139" i="5"/>
  <c r="J139" i="5"/>
  <c r="I139" i="5"/>
  <c r="G139" i="5"/>
  <c r="AK138" i="5"/>
  <c r="AI138" i="5"/>
  <c r="S138" i="5"/>
  <c r="R138" i="5"/>
  <c r="Q138" i="5"/>
  <c r="P138" i="5"/>
  <c r="O138" i="5"/>
  <c r="M138" i="5"/>
  <c r="L138" i="5"/>
  <c r="W138" i="5" s="1"/>
  <c r="K138" i="5"/>
  <c r="J138" i="5"/>
  <c r="I138" i="5"/>
  <c r="G138" i="5"/>
  <c r="AK137" i="5"/>
  <c r="AI137" i="5"/>
  <c r="AL137" i="5" s="1"/>
  <c r="S137" i="5"/>
  <c r="R137" i="5"/>
  <c r="Q137" i="5"/>
  <c r="P137" i="5"/>
  <c r="O137" i="5"/>
  <c r="M137" i="5"/>
  <c r="L137" i="5"/>
  <c r="K137" i="5"/>
  <c r="J137" i="5"/>
  <c r="I137" i="5"/>
  <c r="G137" i="5"/>
  <c r="AK136" i="5"/>
  <c r="AI136" i="5"/>
  <c r="S136" i="5"/>
  <c r="R136" i="5"/>
  <c r="Q136" i="5"/>
  <c r="P136" i="5"/>
  <c r="O136" i="5"/>
  <c r="M136" i="5"/>
  <c r="L136" i="5"/>
  <c r="K136" i="5"/>
  <c r="J136" i="5"/>
  <c r="I136" i="5"/>
  <c r="G136" i="5"/>
  <c r="AK135" i="5"/>
  <c r="AI135" i="5"/>
  <c r="S135" i="5"/>
  <c r="R135" i="5"/>
  <c r="Q135" i="5"/>
  <c r="P135" i="5"/>
  <c r="O135" i="5"/>
  <c r="M135" i="5"/>
  <c r="L135" i="5"/>
  <c r="K135" i="5"/>
  <c r="J135" i="5"/>
  <c r="I135" i="5"/>
  <c r="G135" i="5"/>
  <c r="AK134" i="5"/>
  <c r="AI134" i="5"/>
  <c r="S134" i="5"/>
  <c r="R134" i="5"/>
  <c r="Q134" i="5"/>
  <c r="P134" i="5"/>
  <c r="O134" i="5"/>
  <c r="M134" i="5"/>
  <c r="L134" i="5"/>
  <c r="W134" i="5" s="1"/>
  <c r="K134" i="5"/>
  <c r="J134" i="5"/>
  <c r="I134" i="5"/>
  <c r="G134" i="5"/>
  <c r="AK133" i="5"/>
  <c r="AI133" i="5"/>
  <c r="AL133" i="5" s="1"/>
  <c r="S133" i="5"/>
  <c r="R133" i="5"/>
  <c r="Q133" i="5"/>
  <c r="P133" i="5"/>
  <c r="O133" i="5"/>
  <c r="M133" i="5"/>
  <c r="L133" i="5"/>
  <c r="K133" i="5"/>
  <c r="J133" i="5"/>
  <c r="I133" i="5"/>
  <c r="G133" i="5"/>
  <c r="AK132" i="5"/>
  <c r="AI132" i="5"/>
  <c r="S132" i="5"/>
  <c r="R132" i="5"/>
  <c r="Q132" i="5"/>
  <c r="P132" i="5"/>
  <c r="O132" i="5"/>
  <c r="M132" i="5"/>
  <c r="L132" i="5"/>
  <c r="K132" i="5"/>
  <c r="J132" i="5"/>
  <c r="I132" i="5"/>
  <c r="G132" i="5"/>
  <c r="AK131" i="5"/>
  <c r="AI131" i="5"/>
  <c r="S131" i="5"/>
  <c r="R131" i="5"/>
  <c r="Q131" i="5"/>
  <c r="P131" i="5"/>
  <c r="O131" i="5"/>
  <c r="M131" i="5"/>
  <c r="L131" i="5"/>
  <c r="K131" i="5"/>
  <c r="J131" i="5"/>
  <c r="I131" i="5"/>
  <c r="G131" i="5"/>
  <c r="AK130" i="5"/>
  <c r="AI130" i="5"/>
  <c r="S130" i="5"/>
  <c r="R130" i="5"/>
  <c r="Q130" i="5"/>
  <c r="P130" i="5"/>
  <c r="O130" i="5"/>
  <c r="M130" i="5"/>
  <c r="L130" i="5"/>
  <c r="W130" i="5" s="1"/>
  <c r="K130" i="5"/>
  <c r="J130" i="5"/>
  <c r="I130" i="5"/>
  <c r="G130" i="5"/>
  <c r="AK129" i="5"/>
  <c r="AI129" i="5"/>
  <c r="AL129" i="5" s="1"/>
  <c r="S129" i="5"/>
  <c r="R129" i="5"/>
  <c r="Q129" i="5"/>
  <c r="P129" i="5"/>
  <c r="O129" i="5"/>
  <c r="M129" i="5"/>
  <c r="L129" i="5"/>
  <c r="K129" i="5"/>
  <c r="J129" i="5"/>
  <c r="I129" i="5"/>
  <c r="G129" i="5"/>
  <c r="AK128" i="5"/>
  <c r="AI128" i="5"/>
  <c r="S128" i="5"/>
  <c r="R128" i="5"/>
  <c r="Q128" i="5"/>
  <c r="P128" i="5"/>
  <c r="O128" i="5"/>
  <c r="M128" i="5"/>
  <c r="L128" i="5"/>
  <c r="K128" i="5"/>
  <c r="J128" i="5"/>
  <c r="I128" i="5"/>
  <c r="G128" i="5"/>
  <c r="AK127" i="5"/>
  <c r="AI127" i="5"/>
  <c r="S127" i="5"/>
  <c r="R127" i="5"/>
  <c r="Q127" i="5"/>
  <c r="P127" i="5"/>
  <c r="O127" i="5"/>
  <c r="M127" i="5"/>
  <c r="L127" i="5"/>
  <c r="K127" i="5"/>
  <c r="J127" i="5"/>
  <c r="I127" i="5"/>
  <c r="G127" i="5"/>
  <c r="AK126" i="5"/>
  <c r="AI126" i="5"/>
  <c r="S126" i="5"/>
  <c r="R126" i="5"/>
  <c r="Q126" i="5"/>
  <c r="P126" i="5"/>
  <c r="O126" i="5"/>
  <c r="M126" i="5"/>
  <c r="L126" i="5"/>
  <c r="W126" i="5" s="1"/>
  <c r="K126" i="5"/>
  <c r="J126" i="5"/>
  <c r="I126" i="5"/>
  <c r="G126" i="5"/>
  <c r="AK125" i="5"/>
  <c r="AI125" i="5"/>
  <c r="AL125" i="5" s="1"/>
  <c r="S125" i="5"/>
  <c r="R125" i="5"/>
  <c r="Q125" i="5"/>
  <c r="P125" i="5"/>
  <c r="O125" i="5"/>
  <c r="M125" i="5"/>
  <c r="L125" i="5"/>
  <c r="K125" i="5"/>
  <c r="J125" i="5"/>
  <c r="I125" i="5"/>
  <c r="G125" i="5"/>
  <c r="AK124" i="5"/>
  <c r="AI124" i="5"/>
  <c r="S124" i="5"/>
  <c r="R124" i="5"/>
  <c r="Q124" i="5"/>
  <c r="P124" i="5"/>
  <c r="O124" i="5"/>
  <c r="M124" i="5"/>
  <c r="L124" i="5"/>
  <c r="K124" i="5"/>
  <c r="J124" i="5"/>
  <c r="I124" i="5"/>
  <c r="G124" i="5"/>
  <c r="AK123" i="5"/>
  <c r="AI123" i="5"/>
  <c r="S123" i="5"/>
  <c r="R123" i="5"/>
  <c r="Q123" i="5"/>
  <c r="P123" i="5"/>
  <c r="O123" i="5"/>
  <c r="M123" i="5"/>
  <c r="L123" i="5"/>
  <c r="K123" i="5"/>
  <c r="J123" i="5"/>
  <c r="I123" i="5"/>
  <c r="G123" i="5"/>
  <c r="AK122" i="5"/>
  <c r="AI122" i="5"/>
  <c r="S122" i="5"/>
  <c r="R122" i="5"/>
  <c r="Q122" i="5"/>
  <c r="P122" i="5"/>
  <c r="O122" i="5"/>
  <c r="M122" i="5"/>
  <c r="L122" i="5"/>
  <c r="W122" i="5" s="1"/>
  <c r="K122" i="5"/>
  <c r="J122" i="5"/>
  <c r="I122" i="5"/>
  <c r="G122" i="5"/>
  <c r="AK121" i="5"/>
  <c r="AI121" i="5"/>
  <c r="AL121" i="5" s="1"/>
  <c r="S121" i="5"/>
  <c r="R121" i="5"/>
  <c r="Q121" i="5"/>
  <c r="P121" i="5"/>
  <c r="O121" i="5"/>
  <c r="M121" i="5"/>
  <c r="L121" i="5"/>
  <c r="K121" i="5"/>
  <c r="J121" i="5"/>
  <c r="I121" i="5"/>
  <c r="G121" i="5"/>
  <c r="AK120" i="5"/>
  <c r="AI120" i="5"/>
  <c r="S120" i="5"/>
  <c r="R120" i="5"/>
  <c r="Q120" i="5"/>
  <c r="P120" i="5"/>
  <c r="O120" i="5"/>
  <c r="M120" i="5"/>
  <c r="L120" i="5"/>
  <c r="K120" i="5"/>
  <c r="J120" i="5"/>
  <c r="I120" i="5"/>
  <c r="G120" i="5"/>
  <c r="AK119" i="5"/>
  <c r="AI119" i="5"/>
  <c r="S119" i="5"/>
  <c r="R119" i="5"/>
  <c r="Q119" i="5"/>
  <c r="P119" i="5"/>
  <c r="O119" i="5"/>
  <c r="M119" i="5"/>
  <c r="L119" i="5"/>
  <c r="K119" i="5"/>
  <c r="J119" i="5"/>
  <c r="I119" i="5"/>
  <c r="G119" i="5"/>
  <c r="AK118" i="5"/>
  <c r="AI118" i="5"/>
  <c r="S118" i="5"/>
  <c r="R118" i="5"/>
  <c r="Q118" i="5"/>
  <c r="P118" i="5"/>
  <c r="O118" i="5"/>
  <c r="M118" i="5"/>
  <c r="L118" i="5"/>
  <c r="W118" i="5" s="1"/>
  <c r="K118" i="5"/>
  <c r="J118" i="5"/>
  <c r="I118" i="5"/>
  <c r="G118" i="5"/>
  <c r="AK117" i="5"/>
  <c r="AI117" i="5"/>
  <c r="AL117" i="5" s="1"/>
  <c r="S117" i="5"/>
  <c r="R117" i="5"/>
  <c r="Q117" i="5"/>
  <c r="P117" i="5"/>
  <c r="O117" i="5"/>
  <c r="M117" i="5"/>
  <c r="L117" i="5"/>
  <c r="K117" i="5"/>
  <c r="J117" i="5"/>
  <c r="I117" i="5"/>
  <c r="G117" i="5"/>
  <c r="AK116" i="5"/>
  <c r="AI116" i="5"/>
  <c r="S116" i="5"/>
  <c r="R116" i="5"/>
  <c r="Q116" i="5"/>
  <c r="P116" i="5"/>
  <c r="O116" i="5"/>
  <c r="M116" i="5"/>
  <c r="L116" i="5"/>
  <c r="K116" i="5"/>
  <c r="J116" i="5"/>
  <c r="I116" i="5"/>
  <c r="G116" i="5"/>
  <c r="AK115" i="5"/>
  <c r="AI115" i="5"/>
  <c r="S115" i="5"/>
  <c r="R115" i="5"/>
  <c r="Q115" i="5"/>
  <c r="P115" i="5"/>
  <c r="O115" i="5"/>
  <c r="M115" i="5"/>
  <c r="L115" i="5"/>
  <c r="K115" i="5"/>
  <c r="J115" i="5"/>
  <c r="I115" i="5"/>
  <c r="G115" i="5"/>
  <c r="AK114" i="5"/>
  <c r="AI114" i="5"/>
  <c r="S114" i="5"/>
  <c r="R114" i="5"/>
  <c r="Q114" i="5"/>
  <c r="P114" i="5"/>
  <c r="O114" i="5"/>
  <c r="M114" i="5"/>
  <c r="L114" i="5"/>
  <c r="W114" i="5" s="1"/>
  <c r="K114" i="5"/>
  <c r="J114" i="5"/>
  <c r="I114" i="5"/>
  <c r="G114" i="5"/>
  <c r="AK113" i="5"/>
  <c r="AI113" i="5"/>
  <c r="AL113" i="5" s="1"/>
  <c r="S113" i="5"/>
  <c r="R113" i="5"/>
  <c r="Q113" i="5"/>
  <c r="P113" i="5"/>
  <c r="O113" i="5"/>
  <c r="M113" i="5"/>
  <c r="L113" i="5"/>
  <c r="K113" i="5"/>
  <c r="J113" i="5"/>
  <c r="I113" i="5"/>
  <c r="G113" i="5"/>
  <c r="AK112" i="5"/>
  <c r="AI112" i="5"/>
  <c r="S112" i="5"/>
  <c r="R112" i="5"/>
  <c r="Q112" i="5"/>
  <c r="P112" i="5"/>
  <c r="O112" i="5"/>
  <c r="M112" i="5"/>
  <c r="L112" i="5"/>
  <c r="K112" i="5"/>
  <c r="J112" i="5"/>
  <c r="I112" i="5"/>
  <c r="G112" i="5"/>
  <c r="AK111" i="5"/>
  <c r="AI111" i="5"/>
  <c r="S111" i="5"/>
  <c r="R111" i="5"/>
  <c r="Q111" i="5"/>
  <c r="P111" i="5"/>
  <c r="O111" i="5"/>
  <c r="M111" i="5"/>
  <c r="L111" i="5"/>
  <c r="K111" i="5"/>
  <c r="J111" i="5"/>
  <c r="I111" i="5"/>
  <c r="G111" i="5"/>
  <c r="AK110" i="5"/>
  <c r="AI110" i="5"/>
  <c r="S110" i="5"/>
  <c r="R110" i="5"/>
  <c r="Q110" i="5"/>
  <c r="P110" i="5"/>
  <c r="O110" i="5"/>
  <c r="M110" i="5"/>
  <c r="L110" i="5"/>
  <c r="W110" i="5" s="1"/>
  <c r="K110" i="5"/>
  <c r="J110" i="5"/>
  <c r="I110" i="5"/>
  <c r="G110" i="5"/>
  <c r="AK109" i="5"/>
  <c r="AI109" i="5"/>
  <c r="S109" i="5"/>
  <c r="R109" i="5"/>
  <c r="Q109" i="5"/>
  <c r="P109" i="5"/>
  <c r="O109" i="5"/>
  <c r="M109" i="5"/>
  <c r="L109" i="5"/>
  <c r="K109" i="5"/>
  <c r="J109" i="5"/>
  <c r="I109" i="5"/>
  <c r="G109" i="5"/>
  <c r="AK108" i="5"/>
  <c r="AI108" i="5"/>
  <c r="S108" i="5"/>
  <c r="R108" i="5"/>
  <c r="Q108" i="5"/>
  <c r="P108" i="5"/>
  <c r="O108" i="5"/>
  <c r="M108" i="5"/>
  <c r="L108" i="5"/>
  <c r="K108" i="5"/>
  <c r="J108" i="5"/>
  <c r="I108" i="5"/>
  <c r="G108" i="5"/>
  <c r="AK107" i="5"/>
  <c r="AI107" i="5"/>
  <c r="S107" i="5"/>
  <c r="R107" i="5"/>
  <c r="Q107" i="5"/>
  <c r="P107" i="5"/>
  <c r="O107" i="5"/>
  <c r="M107" i="5"/>
  <c r="L107" i="5"/>
  <c r="K107" i="5"/>
  <c r="J107" i="5"/>
  <c r="I107" i="5"/>
  <c r="G107" i="5"/>
  <c r="AK106" i="5"/>
  <c r="AI106" i="5"/>
  <c r="S106" i="5"/>
  <c r="R106" i="5"/>
  <c r="Q106" i="5"/>
  <c r="P106" i="5"/>
  <c r="O106" i="5"/>
  <c r="M106" i="5"/>
  <c r="L106" i="5"/>
  <c r="W106" i="5" s="1"/>
  <c r="K106" i="5"/>
  <c r="J106" i="5"/>
  <c r="I106" i="5"/>
  <c r="G106" i="5"/>
  <c r="AK105" i="5"/>
  <c r="AI105" i="5"/>
  <c r="AL105" i="5" s="1"/>
  <c r="S105" i="5"/>
  <c r="R105" i="5"/>
  <c r="Q105" i="5"/>
  <c r="P105" i="5"/>
  <c r="O105" i="5"/>
  <c r="M105" i="5"/>
  <c r="L105" i="5"/>
  <c r="K105" i="5"/>
  <c r="J105" i="5"/>
  <c r="I105" i="5"/>
  <c r="G105" i="5"/>
  <c r="AK104" i="5"/>
  <c r="AI104" i="5"/>
  <c r="S104" i="5"/>
  <c r="R104" i="5"/>
  <c r="Q104" i="5"/>
  <c r="P104" i="5"/>
  <c r="O104" i="5"/>
  <c r="M104" i="5"/>
  <c r="L104" i="5"/>
  <c r="K104" i="5"/>
  <c r="J104" i="5"/>
  <c r="I104" i="5"/>
  <c r="G104" i="5"/>
  <c r="AK103" i="5"/>
  <c r="AI103" i="5"/>
  <c r="S103" i="5"/>
  <c r="R103" i="5"/>
  <c r="Q103" i="5"/>
  <c r="P103" i="5"/>
  <c r="O103" i="5"/>
  <c r="M103" i="5"/>
  <c r="L103" i="5"/>
  <c r="K103" i="5"/>
  <c r="J103" i="5"/>
  <c r="I103" i="5"/>
  <c r="G103" i="5"/>
  <c r="AK102" i="5"/>
  <c r="AI102" i="5"/>
  <c r="S102" i="5"/>
  <c r="R102" i="5"/>
  <c r="Q102" i="5"/>
  <c r="P102" i="5"/>
  <c r="O102" i="5"/>
  <c r="M102" i="5"/>
  <c r="L102" i="5"/>
  <c r="W102" i="5" s="1"/>
  <c r="K102" i="5"/>
  <c r="J102" i="5"/>
  <c r="I102" i="5"/>
  <c r="G102" i="5"/>
  <c r="AK101" i="5"/>
  <c r="AI101" i="5"/>
  <c r="AL101" i="5" s="1"/>
  <c r="S101" i="5"/>
  <c r="R101" i="5"/>
  <c r="Q101" i="5"/>
  <c r="P101" i="5"/>
  <c r="O101" i="5"/>
  <c r="M101" i="5"/>
  <c r="L101" i="5"/>
  <c r="K101" i="5"/>
  <c r="J101" i="5"/>
  <c r="I101" i="5"/>
  <c r="G101" i="5"/>
  <c r="AK100" i="5"/>
  <c r="AI100" i="5"/>
  <c r="S100" i="5"/>
  <c r="R100" i="5"/>
  <c r="Q100" i="5"/>
  <c r="P100" i="5"/>
  <c r="O100" i="5"/>
  <c r="M100" i="5"/>
  <c r="L100" i="5"/>
  <c r="K100" i="5"/>
  <c r="J100" i="5"/>
  <c r="I100" i="5"/>
  <c r="G100" i="5"/>
  <c r="AK99" i="5"/>
  <c r="AI99" i="5"/>
  <c r="S99" i="5"/>
  <c r="R99" i="5"/>
  <c r="Q99" i="5"/>
  <c r="P99" i="5"/>
  <c r="O99" i="5"/>
  <c r="M99" i="5"/>
  <c r="L99" i="5"/>
  <c r="K99" i="5"/>
  <c r="J99" i="5"/>
  <c r="I99" i="5"/>
  <c r="G99" i="5"/>
  <c r="AK98" i="5"/>
  <c r="AI98" i="5"/>
  <c r="S98" i="5"/>
  <c r="R98" i="5"/>
  <c r="Q98" i="5"/>
  <c r="P98" i="5"/>
  <c r="O98" i="5"/>
  <c r="M98" i="5"/>
  <c r="L98" i="5"/>
  <c r="W98" i="5" s="1"/>
  <c r="K98" i="5"/>
  <c r="J98" i="5"/>
  <c r="I98" i="5"/>
  <c r="G98" i="5"/>
  <c r="AK97" i="5"/>
  <c r="AI97" i="5"/>
  <c r="AL97" i="5" s="1"/>
  <c r="S97" i="5"/>
  <c r="R97" i="5"/>
  <c r="Q97" i="5"/>
  <c r="P97" i="5"/>
  <c r="O97" i="5"/>
  <c r="M97" i="5"/>
  <c r="L97" i="5"/>
  <c r="K97" i="5"/>
  <c r="J97" i="5"/>
  <c r="I97" i="5"/>
  <c r="G97" i="5"/>
  <c r="AK96" i="5"/>
  <c r="AI96" i="5"/>
  <c r="S96" i="5"/>
  <c r="R96" i="5"/>
  <c r="Q96" i="5"/>
  <c r="P96" i="5"/>
  <c r="O96" i="5"/>
  <c r="M96" i="5"/>
  <c r="L96" i="5"/>
  <c r="K96" i="5"/>
  <c r="J96" i="5"/>
  <c r="I96" i="5"/>
  <c r="G96" i="5"/>
  <c r="AK95" i="5"/>
  <c r="AI95" i="5"/>
  <c r="S95" i="5"/>
  <c r="R95" i="5"/>
  <c r="Q95" i="5"/>
  <c r="P95" i="5"/>
  <c r="O95" i="5"/>
  <c r="M95" i="5"/>
  <c r="L95" i="5"/>
  <c r="K95" i="5"/>
  <c r="J95" i="5"/>
  <c r="I95" i="5"/>
  <c r="G95" i="5"/>
  <c r="AK94" i="5"/>
  <c r="AI94" i="5"/>
  <c r="S94" i="5"/>
  <c r="R94" i="5"/>
  <c r="Q94" i="5"/>
  <c r="P94" i="5"/>
  <c r="O94" i="5"/>
  <c r="M94" i="5"/>
  <c r="L94" i="5"/>
  <c r="W94" i="5" s="1"/>
  <c r="K94" i="5"/>
  <c r="J94" i="5"/>
  <c r="I94" i="5"/>
  <c r="G94" i="5"/>
  <c r="AK93" i="5"/>
  <c r="AI93" i="5"/>
  <c r="AL93" i="5" s="1"/>
  <c r="S93" i="5"/>
  <c r="R93" i="5"/>
  <c r="Q93" i="5"/>
  <c r="P93" i="5"/>
  <c r="O93" i="5"/>
  <c r="M93" i="5"/>
  <c r="L93" i="5"/>
  <c r="K93" i="5"/>
  <c r="J93" i="5"/>
  <c r="I93" i="5"/>
  <c r="G93" i="5"/>
  <c r="AK92" i="5"/>
  <c r="AI92" i="5"/>
  <c r="S92" i="5"/>
  <c r="R92" i="5"/>
  <c r="Q92" i="5"/>
  <c r="P92" i="5"/>
  <c r="O92" i="5"/>
  <c r="M92" i="5"/>
  <c r="L92" i="5"/>
  <c r="K92" i="5"/>
  <c r="J92" i="5"/>
  <c r="I92" i="5"/>
  <c r="G92" i="5"/>
  <c r="AK91" i="5"/>
  <c r="AI91" i="5"/>
  <c r="S91" i="5"/>
  <c r="R91" i="5"/>
  <c r="Q91" i="5"/>
  <c r="P91" i="5"/>
  <c r="O91" i="5"/>
  <c r="M91" i="5"/>
  <c r="L91" i="5"/>
  <c r="K91" i="5"/>
  <c r="J91" i="5"/>
  <c r="I91" i="5"/>
  <c r="G91" i="5"/>
  <c r="AK90" i="5"/>
  <c r="AI90" i="5"/>
  <c r="S90" i="5"/>
  <c r="R90" i="5"/>
  <c r="Q90" i="5"/>
  <c r="P90" i="5"/>
  <c r="O90" i="5"/>
  <c r="M90" i="5"/>
  <c r="L90" i="5"/>
  <c r="W90" i="5" s="1"/>
  <c r="K90" i="5"/>
  <c r="J90" i="5"/>
  <c r="I90" i="5"/>
  <c r="G90" i="5"/>
  <c r="AK89" i="5"/>
  <c r="AI89" i="5"/>
  <c r="AL89" i="5" s="1"/>
  <c r="S89" i="5"/>
  <c r="R89" i="5"/>
  <c r="Q89" i="5"/>
  <c r="P89" i="5"/>
  <c r="O89" i="5"/>
  <c r="M89" i="5"/>
  <c r="L89" i="5"/>
  <c r="K89" i="5"/>
  <c r="J89" i="5"/>
  <c r="I89" i="5"/>
  <c r="G89" i="5"/>
  <c r="AK88" i="5"/>
  <c r="AI88" i="5"/>
  <c r="S88" i="5"/>
  <c r="R88" i="5"/>
  <c r="Q88" i="5"/>
  <c r="P88" i="5"/>
  <c r="O88" i="5"/>
  <c r="M88" i="5"/>
  <c r="L88" i="5"/>
  <c r="K88" i="5"/>
  <c r="J88" i="5"/>
  <c r="I88" i="5"/>
  <c r="G88" i="5"/>
  <c r="AK87" i="5"/>
  <c r="AI87" i="5"/>
  <c r="S87" i="5"/>
  <c r="R87" i="5"/>
  <c r="Q87" i="5"/>
  <c r="P87" i="5"/>
  <c r="O87" i="5"/>
  <c r="M87" i="5"/>
  <c r="L87" i="5"/>
  <c r="K87" i="5"/>
  <c r="J87" i="5"/>
  <c r="I87" i="5"/>
  <c r="G87" i="5"/>
  <c r="AK86" i="5"/>
  <c r="AI86" i="5"/>
  <c r="S86" i="5"/>
  <c r="R86" i="5"/>
  <c r="Q86" i="5"/>
  <c r="P86" i="5"/>
  <c r="O86" i="5"/>
  <c r="M86" i="5"/>
  <c r="L86" i="5"/>
  <c r="W86" i="5" s="1"/>
  <c r="K86" i="5"/>
  <c r="J86" i="5"/>
  <c r="I86" i="5"/>
  <c r="G86" i="5"/>
  <c r="AK85" i="5"/>
  <c r="AI85" i="5"/>
  <c r="AL85" i="5" s="1"/>
  <c r="S85" i="5"/>
  <c r="R85" i="5"/>
  <c r="Q85" i="5"/>
  <c r="P85" i="5"/>
  <c r="O85" i="5"/>
  <c r="M85" i="5"/>
  <c r="L85" i="5"/>
  <c r="K85" i="5"/>
  <c r="J85" i="5"/>
  <c r="I85" i="5"/>
  <c r="G85" i="5"/>
  <c r="AK84" i="5"/>
  <c r="AI84" i="5"/>
  <c r="S84" i="5"/>
  <c r="R84" i="5"/>
  <c r="Q84" i="5"/>
  <c r="P84" i="5"/>
  <c r="O84" i="5"/>
  <c r="M84" i="5"/>
  <c r="L84" i="5"/>
  <c r="K84" i="5"/>
  <c r="J84" i="5"/>
  <c r="I84" i="5"/>
  <c r="G84" i="5"/>
  <c r="AK83" i="5"/>
  <c r="AI83" i="5"/>
  <c r="S83" i="5"/>
  <c r="R83" i="5"/>
  <c r="Q83" i="5"/>
  <c r="P83" i="5"/>
  <c r="O83" i="5"/>
  <c r="M83" i="5"/>
  <c r="L83" i="5"/>
  <c r="K83" i="5"/>
  <c r="J83" i="5"/>
  <c r="I83" i="5"/>
  <c r="G83" i="5"/>
  <c r="AK82" i="5"/>
  <c r="AI82" i="5"/>
  <c r="S82" i="5"/>
  <c r="R82" i="5"/>
  <c r="Q82" i="5"/>
  <c r="P82" i="5"/>
  <c r="O82" i="5"/>
  <c r="M82" i="5"/>
  <c r="L82" i="5"/>
  <c r="W82" i="5" s="1"/>
  <c r="K82" i="5"/>
  <c r="J82" i="5"/>
  <c r="I82" i="5"/>
  <c r="G82" i="5"/>
  <c r="AK81" i="5"/>
  <c r="AI81" i="5"/>
  <c r="AL81" i="5" s="1"/>
  <c r="S81" i="5"/>
  <c r="R81" i="5"/>
  <c r="Q81" i="5"/>
  <c r="P81" i="5"/>
  <c r="O81" i="5"/>
  <c r="M81" i="5"/>
  <c r="L81" i="5"/>
  <c r="K81" i="5"/>
  <c r="J81" i="5"/>
  <c r="I81" i="5"/>
  <c r="G81" i="5"/>
  <c r="AK80" i="5"/>
  <c r="AI80" i="5"/>
  <c r="S80" i="5"/>
  <c r="R80" i="5"/>
  <c r="Q80" i="5"/>
  <c r="P80" i="5"/>
  <c r="O80" i="5"/>
  <c r="M80" i="5"/>
  <c r="L80" i="5"/>
  <c r="K80" i="5"/>
  <c r="J80" i="5"/>
  <c r="I80" i="5"/>
  <c r="G80" i="5"/>
  <c r="AK79" i="5"/>
  <c r="AI79" i="5"/>
  <c r="S79" i="5"/>
  <c r="R79" i="5"/>
  <c r="Q79" i="5"/>
  <c r="P79" i="5"/>
  <c r="O79" i="5"/>
  <c r="M79" i="5"/>
  <c r="L79" i="5"/>
  <c r="K79" i="5"/>
  <c r="J79" i="5"/>
  <c r="I79" i="5"/>
  <c r="G79" i="5"/>
  <c r="AK78" i="5"/>
  <c r="AI78" i="5"/>
  <c r="S78" i="5"/>
  <c r="R78" i="5"/>
  <c r="Q78" i="5"/>
  <c r="P78" i="5"/>
  <c r="O78" i="5"/>
  <c r="M78" i="5"/>
  <c r="L78" i="5"/>
  <c r="W78" i="5" s="1"/>
  <c r="K78" i="5"/>
  <c r="J78" i="5"/>
  <c r="I78" i="5"/>
  <c r="G78" i="5"/>
  <c r="AK77" i="5"/>
  <c r="AI77" i="5"/>
  <c r="AL77" i="5" s="1"/>
  <c r="S77" i="5"/>
  <c r="R77" i="5"/>
  <c r="Q77" i="5"/>
  <c r="P77" i="5"/>
  <c r="O77" i="5"/>
  <c r="M77" i="5"/>
  <c r="L77" i="5"/>
  <c r="K77" i="5"/>
  <c r="J77" i="5"/>
  <c r="I77" i="5"/>
  <c r="G77" i="5"/>
  <c r="AK76" i="5"/>
  <c r="AI76" i="5"/>
  <c r="S76" i="5"/>
  <c r="R76" i="5"/>
  <c r="Q76" i="5"/>
  <c r="P76" i="5"/>
  <c r="O76" i="5"/>
  <c r="M76" i="5"/>
  <c r="L76" i="5"/>
  <c r="K76" i="5"/>
  <c r="J76" i="5"/>
  <c r="I76" i="5"/>
  <c r="G76" i="5"/>
  <c r="AK75" i="5"/>
  <c r="AI75" i="5"/>
  <c r="S75" i="5"/>
  <c r="R75" i="5"/>
  <c r="Q75" i="5"/>
  <c r="P75" i="5"/>
  <c r="O75" i="5"/>
  <c r="M75" i="5"/>
  <c r="L75" i="5"/>
  <c r="K75" i="5"/>
  <c r="J75" i="5"/>
  <c r="I75" i="5"/>
  <c r="G75" i="5"/>
  <c r="AK74" i="5"/>
  <c r="AI74" i="5"/>
  <c r="S74" i="5"/>
  <c r="R74" i="5"/>
  <c r="Q74" i="5"/>
  <c r="P74" i="5"/>
  <c r="O74" i="5"/>
  <c r="M74" i="5"/>
  <c r="L74" i="5"/>
  <c r="W74" i="5" s="1"/>
  <c r="K74" i="5"/>
  <c r="J74" i="5"/>
  <c r="I74" i="5"/>
  <c r="G74" i="5"/>
  <c r="AK73" i="5"/>
  <c r="AI73" i="5"/>
  <c r="AL73" i="5" s="1"/>
  <c r="S73" i="5"/>
  <c r="R73" i="5"/>
  <c r="Q73" i="5"/>
  <c r="P73" i="5"/>
  <c r="O73" i="5"/>
  <c r="M73" i="5"/>
  <c r="L73" i="5"/>
  <c r="K73" i="5"/>
  <c r="J73" i="5"/>
  <c r="I73" i="5"/>
  <c r="G73" i="5"/>
  <c r="AK72" i="5"/>
  <c r="AI72" i="5"/>
  <c r="S72" i="5"/>
  <c r="R72" i="5"/>
  <c r="Q72" i="5"/>
  <c r="P72" i="5"/>
  <c r="O72" i="5"/>
  <c r="M72" i="5"/>
  <c r="L72" i="5"/>
  <c r="K72" i="5"/>
  <c r="J72" i="5"/>
  <c r="I72" i="5"/>
  <c r="G72" i="5"/>
  <c r="AK71" i="5"/>
  <c r="AI71" i="5"/>
  <c r="S71" i="5"/>
  <c r="R71" i="5"/>
  <c r="Q71" i="5"/>
  <c r="P71" i="5"/>
  <c r="O71" i="5"/>
  <c r="M71" i="5"/>
  <c r="L71" i="5"/>
  <c r="K71" i="5"/>
  <c r="J71" i="5"/>
  <c r="I71" i="5"/>
  <c r="G71" i="5"/>
  <c r="AK70" i="5"/>
  <c r="AI70" i="5"/>
  <c r="S70" i="5"/>
  <c r="R70" i="5"/>
  <c r="Q70" i="5"/>
  <c r="P70" i="5"/>
  <c r="O70" i="5"/>
  <c r="M70" i="5"/>
  <c r="L70" i="5"/>
  <c r="W70" i="5" s="1"/>
  <c r="K70" i="5"/>
  <c r="J70" i="5"/>
  <c r="I70" i="5"/>
  <c r="G70" i="5"/>
  <c r="AK69" i="5"/>
  <c r="AI69" i="5"/>
  <c r="AL69" i="5" s="1"/>
  <c r="S69" i="5"/>
  <c r="R69" i="5"/>
  <c r="Q69" i="5"/>
  <c r="P69" i="5"/>
  <c r="O69" i="5"/>
  <c r="M69" i="5"/>
  <c r="L69" i="5"/>
  <c r="K69" i="5"/>
  <c r="J69" i="5"/>
  <c r="I69" i="5"/>
  <c r="G69" i="5"/>
  <c r="AK68" i="5"/>
  <c r="AI68" i="5"/>
  <c r="S68" i="5"/>
  <c r="R68" i="5"/>
  <c r="Q68" i="5"/>
  <c r="P68" i="5"/>
  <c r="O68" i="5"/>
  <c r="M68" i="5"/>
  <c r="L68" i="5"/>
  <c r="K68" i="5"/>
  <c r="J68" i="5"/>
  <c r="I68" i="5"/>
  <c r="G68" i="5"/>
  <c r="AK67" i="5"/>
  <c r="AI67" i="5"/>
  <c r="S67" i="5"/>
  <c r="R67" i="5"/>
  <c r="Q67" i="5"/>
  <c r="P67" i="5"/>
  <c r="O67" i="5"/>
  <c r="M67" i="5"/>
  <c r="L67" i="5"/>
  <c r="K67" i="5"/>
  <c r="J67" i="5"/>
  <c r="I67" i="5"/>
  <c r="G67" i="5"/>
  <c r="AK66" i="5"/>
  <c r="AI66" i="5"/>
  <c r="S66" i="5"/>
  <c r="R66" i="5"/>
  <c r="Q66" i="5"/>
  <c r="P66" i="5"/>
  <c r="O66" i="5"/>
  <c r="M66" i="5"/>
  <c r="L66" i="5"/>
  <c r="W66" i="5" s="1"/>
  <c r="K66" i="5"/>
  <c r="J66" i="5"/>
  <c r="I66" i="5"/>
  <c r="G66" i="5"/>
  <c r="AK65" i="5"/>
  <c r="AI65" i="5"/>
  <c r="AL65" i="5" s="1"/>
  <c r="S65" i="5"/>
  <c r="R65" i="5"/>
  <c r="Q65" i="5"/>
  <c r="P65" i="5"/>
  <c r="O65" i="5"/>
  <c r="M65" i="5"/>
  <c r="L65" i="5"/>
  <c r="K65" i="5"/>
  <c r="J65" i="5"/>
  <c r="I65" i="5"/>
  <c r="G65" i="5"/>
  <c r="AK64" i="5"/>
  <c r="AI64" i="5"/>
  <c r="S64" i="5"/>
  <c r="R64" i="5"/>
  <c r="Q64" i="5"/>
  <c r="P64" i="5"/>
  <c r="O64" i="5"/>
  <c r="M64" i="5"/>
  <c r="L64" i="5"/>
  <c r="K64" i="5"/>
  <c r="J64" i="5"/>
  <c r="I64" i="5"/>
  <c r="G64" i="5"/>
  <c r="AK63" i="5"/>
  <c r="AI63" i="5"/>
  <c r="S63" i="5"/>
  <c r="R63" i="5"/>
  <c r="Q63" i="5"/>
  <c r="P63" i="5"/>
  <c r="O63" i="5"/>
  <c r="M63" i="5"/>
  <c r="L63" i="5"/>
  <c r="K63" i="5"/>
  <c r="J63" i="5"/>
  <c r="I63" i="5"/>
  <c r="G63" i="5"/>
  <c r="AK62" i="5"/>
  <c r="AI62" i="5"/>
  <c r="S62" i="5"/>
  <c r="R62" i="5"/>
  <c r="Q62" i="5"/>
  <c r="P62" i="5"/>
  <c r="O62" i="5"/>
  <c r="M62" i="5"/>
  <c r="L62" i="5"/>
  <c r="W62" i="5" s="1"/>
  <c r="K62" i="5"/>
  <c r="J62" i="5"/>
  <c r="I62" i="5"/>
  <c r="G62" i="5"/>
  <c r="AK61" i="5"/>
  <c r="AI61" i="5"/>
  <c r="AL61" i="5" s="1"/>
  <c r="S61" i="5"/>
  <c r="R61" i="5"/>
  <c r="Q61" i="5"/>
  <c r="P61" i="5"/>
  <c r="O61" i="5"/>
  <c r="M61" i="5"/>
  <c r="L61" i="5"/>
  <c r="K61" i="5"/>
  <c r="J61" i="5"/>
  <c r="I61" i="5"/>
  <c r="G61" i="5"/>
  <c r="AK60" i="5"/>
  <c r="AI60" i="5"/>
  <c r="S60" i="5"/>
  <c r="R60" i="5"/>
  <c r="Q60" i="5"/>
  <c r="P60" i="5"/>
  <c r="O60" i="5"/>
  <c r="M60" i="5"/>
  <c r="L60" i="5"/>
  <c r="K60" i="5"/>
  <c r="J60" i="5"/>
  <c r="I60" i="5"/>
  <c r="G60" i="5"/>
  <c r="AK59" i="5"/>
  <c r="AI59" i="5"/>
  <c r="S59" i="5"/>
  <c r="R59" i="5"/>
  <c r="Q59" i="5"/>
  <c r="P59" i="5"/>
  <c r="O59" i="5"/>
  <c r="M59" i="5"/>
  <c r="L59" i="5"/>
  <c r="K59" i="5"/>
  <c r="J59" i="5"/>
  <c r="I59" i="5"/>
  <c r="G59" i="5"/>
  <c r="AK58" i="5"/>
  <c r="AI58" i="5"/>
  <c r="S58" i="5"/>
  <c r="R58" i="5"/>
  <c r="Q58" i="5"/>
  <c r="P58" i="5"/>
  <c r="O58" i="5"/>
  <c r="M58" i="5"/>
  <c r="L58" i="5"/>
  <c r="W58" i="5" s="1"/>
  <c r="K58" i="5"/>
  <c r="J58" i="5"/>
  <c r="I58" i="5"/>
  <c r="G58" i="5"/>
  <c r="AK57" i="5"/>
  <c r="AI57" i="5"/>
  <c r="AL57" i="5" s="1"/>
  <c r="S57" i="5"/>
  <c r="R57" i="5"/>
  <c r="Q57" i="5"/>
  <c r="P57" i="5"/>
  <c r="O57" i="5"/>
  <c r="M57" i="5"/>
  <c r="L57" i="5"/>
  <c r="K57" i="5"/>
  <c r="J57" i="5"/>
  <c r="I57" i="5"/>
  <c r="G57" i="5"/>
  <c r="AK56" i="5"/>
  <c r="AI56" i="5"/>
  <c r="S56" i="5"/>
  <c r="R56" i="5"/>
  <c r="Q56" i="5"/>
  <c r="P56" i="5"/>
  <c r="O56" i="5"/>
  <c r="M56" i="5"/>
  <c r="L56" i="5"/>
  <c r="K56" i="5"/>
  <c r="J56" i="5"/>
  <c r="I56" i="5"/>
  <c r="G56" i="5"/>
  <c r="AK55" i="5"/>
  <c r="AI55" i="5"/>
  <c r="S55" i="5"/>
  <c r="R55" i="5"/>
  <c r="Q55" i="5"/>
  <c r="P55" i="5"/>
  <c r="O55" i="5"/>
  <c r="M55" i="5"/>
  <c r="L55" i="5"/>
  <c r="K55" i="5"/>
  <c r="J55" i="5"/>
  <c r="I55" i="5"/>
  <c r="G55" i="5"/>
  <c r="AK54" i="5"/>
  <c r="AI54" i="5"/>
  <c r="S54" i="5"/>
  <c r="R54" i="5"/>
  <c r="Q54" i="5"/>
  <c r="P54" i="5"/>
  <c r="O54" i="5"/>
  <c r="M54" i="5"/>
  <c r="L54" i="5"/>
  <c r="W54" i="5" s="1"/>
  <c r="K54" i="5"/>
  <c r="J54" i="5"/>
  <c r="I54" i="5"/>
  <c r="G54" i="5"/>
  <c r="AK53" i="5"/>
  <c r="AI53" i="5"/>
  <c r="AL53" i="5" s="1"/>
  <c r="S53" i="5"/>
  <c r="R53" i="5"/>
  <c r="Q53" i="5"/>
  <c r="P53" i="5"/>
  <c r="O53" i="5"/>
  <c r="M53" i="5"/>
  <c r="L53" i="5"/>
  <c r="K53" i="5"/>
  <c r="J53" i="5"/>
  <c r="I53" i="5"/>
  <c r="G53" i="5"/>
  <c r="AK52" i="5"/>
  <c r="AI52" i="5"/>
  <c r="S52" i="5"/>
  <c r="R52" i="5"/>
  <c r="Q52" i="5"/>
  <c r="P52" i="5"/>
  <c r="O52" i="5"/>
  <c r="M52" i="5"/>
  <c r="L52" i="5"/>
  <c r="K52" i="5"/>
  <c r="J52" i="5"/>
  <c r="I52" i="5"/>
  <c r="G52" i="5"/>
  <c r="AK51" i="5"/>
  <c r="AI51" i="5"/>
  <c r="S51" i="5"/>
  <c r="R51" i="5"/>
  <c r="Q51" i="5"/>
  <c r="P51" i="5"/>
  <c r="O51" i="5"/>
  <c r="M51" i="5"/>
  <c r="L51" i="5"/>
  <c r="K51" i="5"/>
  <c r="J51" i="5"/>
  <c r="I51" i="5"/>
  <c r="G51" i="5"/>
  <c r="AK50" i="5"/>
  <c r="AI50" i="5"/>
  <c r="S50" i="5"/>
  <c r="R50" i="5"/>
  <c r="Q50" i="5"/>
  <c r="P50" i="5"/>
  <c r="O50" i="5"/>
  <c r="M50" i="5"/>
  <c r="L50" i="5"/>
  <c r="W50" i="5" s="1"/>
  <c r="K50" i="5"/>
  <c r="J50" i="5"/>
  <c r="I50" i="5"/>
  <c r="G50" i="5"/>
  <c r="AK49" i="5"/>
  <c r="AI49" i="5"/>
  <c r="AL49" i="5" s="1"/>
  <c r="S49" i="5"/>
  <c r="R49" i="5"/>
  <c r="Q49" i="5"/>
  <c r="P49" i="5"/>
  <c r="O49" i="5"/>
  <c r="M49" i="5"/>
  <c r="L49" i="5"/>
  <c r="K49" i="5"/>
  <c r="J49" i="5"/>
  <c r="I49" i="5"/>
  <c r="G49" i="5"/>
  <c r="AK48" i="5"/>
  <c r="AI48" i="5"/>
  <c r="S48" i="5"/>
  <c r="R48" i="5"/>
  <c r="Q48" i="5"/>
  <c r="P48" i="5"/>
  <c r="O48" i="5"/>
  <c r="M48" i="5"/>
  <c r="L48" i="5"/>
  <c r="K48" i="5"/>
  <c r="J48" i="5"/>
  <c r="I48" i="5"/>
  <c r="G48" i="5"/>
  <c r="AK47" i="5"/>
  <c r="AI47" i="5"/>
  <c r="S47" i="5"/>
  <c r="R47" i="5"/>
  <c r="Q47" i="5"/>
  <c r="P47" i="5"/>
  <c r="O47" i="5"/>
  <c r="M47" i="5"/>
  <c r="L47" i="5"/>
  <c r="K47" i="5"/>
  <c r="J47" i="5"/>
  <c r="I47" i="5"/>
  <c r="G47" i="5"/>
  <c r="AK46" i="5"/>
  <c r="AI46" i="5"/>
  <c r="S46" i="5"/>
  <c r="R46" i="5"/>
  <c r="Q46" i="5"/>
  <c r="P46" i="5"/>
  <c r="O46" i="5"/>
  <c r="M46" i="5"/>
  <c r="L46" i="5"/>
  <c r="W46" i="5" s="1"/>
  <c r="K46" i="5"/>
  <c r="J46" i="5"/>
  <c r="I46" i="5"/>
  <c r="G46" i="5"/>
  <c r="AK45" i="5"/>
  <c r="AI45" i="5"/>
  <c r="AL45" i="5" s="1"/>
  <c r="S45" i="5"/>
  <c r="R45" i="5"/>
  <c r="Q45" i="5"/>
  <c r="P45" i="5"/>
  <c r="O45" i="5"/>
  <c r="M45" i="5"/>
  <c r="L45" i="5"/>
  <c r="K45" i="5"/>
  <c r="J45" i="5"/>
  <c r="I45" i="5"/>
  <c r="G45" i="5"/>
  <c r="AK44" i="5"/>
  <c r="AI44" i="5"/>
  <c r="S44" i="5"/>
  <c r="R44" i="5"/>
  <c r="Q44" i="5"/>
  <c r="P44" i="5"/>
  <c r="O44" i="5"/>
  <c r="M44" i="5"/>
  <c r="L44" i="5"/>
  <c r="K44" i="5"/>
  <c r="J44" i="5"/>
  <c r="I44" i="5"/>
  <c r="G44" i="5"/>
  <c r="AK43" i="5"/>
  <c r="AI43" i="5"/>
  <c r="S43" i="5"/>
  <c r="R43" i="5"/>
  <c r="Q43" i="5"/>
  <c r="P43" i="5"/>
  <c r="O43" i="5"/>
  <c r="M43" i="5"/>
  <c r="L43" i="5"/>
  <c r="K43" i="5"/>
  <c r="J43" i="5"/>
  <c r="I43" i="5"/>
  <c r="G43" i="5"/>
  <c r="AK42" i="5"/>
  <c r="AI42" i="5"/>
  <c r="S42" i="5"/>
  <c r="R42" i="5"/>
  <c r="Q42" i="5"/>
  <c r="P42" i="5"/>
  <c r="O42" i="5"/>
  <c r="M42" i="5"/>
  <c r="L42" i="5"/>
  <c r="W42" i="5" s="1"/>
  <c r="K42" i="5"/>
  <c r="J42" i="5"/>
  <c r="I42" i="5"/>
  <c r="G42" i="5"/>
  <c r="AK41" i="5"/>
  <c r="AI41" i="5"/>
  <c r="AL41" i="5" s="1"/>
  <c r="S41" i="5"/>
  <c r="R41" i="5"/>
  <c r="Q41" i="5"/>
  <c r="P41" i="5"/>
  <c r="O41" i="5"/>
  <c r="M41" i="5"/>
  <c r="L41" i="5"/>
  <c r="K41" i="5"/>
  <c r="J41" i="5"/>
  <c r="I41" i="5"/>
  <c r="G41" i="5"/>
  <c r="AK40" i="5"/>
  <c r="AI40" i="5"/>
  <c r="S40" i="5"/>
  <c r="R40" i="5"/>
  <c r="Q40" i="5"/>
  <c r="P40" i="5"/>
  <c r="O40" i="5"/>
  <c r="M40" i="5"/>
  <c r="L40" i="5"/>
  <c r="K40" i="5"/>
  <c r="J40" i="5"/>
  <c r="I40" i="5"/>
  <c r="G40" i="5"/>
  <c r="AK39" i="5"/>
  <c r="AI39" i="5"/>
  <c r="AL39" i="5" s="1"/>
  <c r="S39" i="5"/>
  <c r="R39" i="5"/>
  <c r="Q39" i="5"/>
  <c r="P39" i="5"/>
  <c r="O39" i="5"/>
  <c r="M39" i="5"/>
  <c r="L39" i="5"/>
  <c r="K39" i="5"/>
  <c r="J39" i="5"/>
  <c r="I39" i="5"/>
  <c r="G39" i="5"/>
  <c r="AK38" i="5"/>
  <c r="AI38" i="5"/>
  <c r="S38" i="5"/>
  <c r="R38" i="5"/>
  <c r="Q38" i="5"/>
  <c r="P38" i="5"/>
  <c r="O38" i="5"/>
  <c r="M38" i="5"/>
  <c r="L38" i="5"/>
  <c r="W38" i="5" s="1"/>
  <c r="K38" i="5"/>
  <c r="J38" i="5"/>
  <c r="I38" i="5"/>
  <c r="G38" i="5"/>
  <c r="AK37" i="5"/>
  <c r="AI37" i="5"/>
  <c r="AL37" i="5" s="1"/>
  <c r="S37" i="5"/>
  <c r="R37" i="5"/>
  <c r="Q37" i="5"/>
  <c r="P37" i="5"/>
  <c r="O37" i="5"/>
  <c r="M37" i="5"/>
  <c r="L37" i="5"/>
  <c r="K37" i="5"/>
  <c r="J37" i="5"/>
  <c r="I37" i="5"/>
  <c r="G37" i="5"/>
  <c r="AK36" i="5"/>
  <c r="AI36" i="5"/>
  <c r="S36" i="5"/>
  <c r="R36" i="5"/>
  <c r="Q36" i="5"/>
  <c r="P36" i="5"/>
  <c r="O36" i="5"/>
  <c r="M36" i="5"/>
  <c r="L36" i="5"/>
  <c r="K36" i="5"/>
  <c r="J36" i="5"/>
  <c r="I36" i="5"/>
  <c r="G36" i="5"/>
  <c r="AK35" i="5"/>
  <c r="AI35" i="5"/>
  <c r="AL35" i="5" s="1"/>
  <c r="S35" i="5"/>
  <c r="R35" i="5"/>
  <c r="Q35" i="5"/>
  <c r="P35" i="5"/>
  <c r="O35" i="5"/>
  <c r="M35" i="5"/>
  <c r="L35" i="5"/>
  <c r="K35" i="5"/>
  <c r="J35" i="5"/>
  <c r="I35" i="5"/>
  <c r="G35" i="5"/>
  <c r="AK34" i="5"/>
  <c r="AI34" i="5"/>
  <c r="S34" i="5"/>
  <c r="R34" i="5"/>
  <c r="Q34" i="5"/>
  <c r="P34" i="5"/>
  <c r="O34" i="5"/>
  <c r="M34" i="5"/>
  <c r="L34" i="5"/>
  <c r="W34" i="5" s="1"/>
  <c r="K34" i="5"/>
  <c r="J34" i="5"/>
  <c r="I34" i="5"/>
  <c r="G34" i="5"/>
  <c r="AK33" i="5"/>
  <c r="AI33" i="5"/>
  <c r="AL33" i="5" s="1"/>
  <c r="S33" i="5"/>
  <c r="R33" i="5"/>
  <c r="Q33" i="5"/>
  <c r="P33" i="5"/>
  <c r="O33" i="5"/>
  <c r="M33" i="5"/>
  <c r="L33" i="5"/>
  <c r="K33" i="5"/>
  <c r="J33" i="5"/>
  <c r="I33" i="5"/>
  <c r="G33" i="5"/>
  <c r="AK32" i="5"/>
  <c r="AI32" i="5"/>
  <c r="S32" i="5"/>
  <c r="R32" i="5"/>
  <c r="Q32" i="5"/>
  <c r="P32" i="5"/>
  <c r="O32" i="5"/>
  <c r="M32" i="5"/>
  <c r="L32" i="5"/>
  <c r="K32" i="5"/>
  <c r="J32" i="5"/>
  <c r="I32" i="5"/>
  <c r="G32" i="5"/>
  <c r="AK31" i="5"/>
  <c r="AI31" i="5"/>
  <c r="AL31" i="5" s="1"/>
  <c r="S31" i="5"/>
  <c r="R31" i="5"/>
  <c r="Q31" i="5"/>
  <c r="P31" i="5"/>
  <c r="O31" i="5"/>
  <c r="M31" i="5"/>
  <c r="L31" i="5"/>
  <c r="K31" i="5"/>
  <c r="J31" i="5"/>
  <c r="I31" i="5"/>
  <c r="G31" i="5"/>
  <c r="AK30" i="5"/>
  <c r="AI30" i="5"/>
  <c r="S30" i="5"/>
  <c r="R30" i="5"/>
  <c r="Q30" i="5"/>
  <c r="P30" i="5"/>
  <c r="O30" i="5"/>
  <c r="M30" i="5"/>
  <c r="L30" i="5"/>
  <c r="W30" i="5" s="1"/>
  <c r="K30" i="5"/>
  <c r="J30" i="5"/>
  <c r="I30" i="5"/>
  <c r="G30" i="5"/>
  <c r="AK29" i="5"/>
  <c r="AI29" i="5"/>
  <c r="AL29" i="5" s="1"/>
  <c r="S29" i="5"/>
  <c r="R29" i="5"/>
  <c r="Q29" i="5"/>
  <c r="P29" i="5"/>
  <c r="O29" i="5"/>
  <c r="M29" i="5"/>
  <c r="L29" i="5"/>
  <c r="K29" i="5"/>
  <c r="J29" i="5"/>
  <c r="I29" i="5"/>
  <c r="G29" i="5"/>
  <c r="AK28" i="5"/>
  <c r="AI28" i="5"/>
  <c r="S28" i="5"/>
  <c r="R28" i="5"/>
  <c r="Q28" i="5"/>
  <c r="P28" i="5"/>
  <c r="O28" i="5"/>
  <c r="M28" i="5"/>
  <c r="L28" i="5"/>
  <c r="K28" i="5"/>
  <c r="J28" i="5"/>
  <c r="I28" i="5"/>
  <c r="G28" i="5"/>
  <c r="AK27" i="5"/>
  <c r="AI27" i="5"/>
  <c r="AL27" i="5" s="1"/>
  <c r="S27" i="5"/>
  <c r="R27" i="5"/>
  <c r="Q27" i="5"/>
  <c r="P27" i="5"/>
  <c r="O27" i="5"/>
  <c r="M27" i="5"/>
  <c r="L27" i="5"/>
  <c r="K27" i="5"/>
  <c r="J27" i="5"/>
  <c r="I27" i="5"/>
  <c r="G27" i="5"/>
  <c r="AK26" i="5"/>
  <c r="AI26" i="5"/>
  <c r="S26" i="5"/>
  <c r="R26" i="5"/>
  <c r="Q26" i="5"/>
  <c r="P26" i="5"/>
  <c r="O26" i="5"/>
  <c r="M26" i="5"/>
  <c r="L26" i="5"/>
  <c r="W26" i="5" s="1"/>
  <c r="K26" i="5"/>
  <c r="J26" i="5"/>
  <c r="I26" i="5"/>
  <c r="G26" i="5"/>
  <c r="AK25" i="5"/>
  <c r="AI25" i="5"/>
  <c r="AL25" i="5" s="1"/>
  <c r="S25" i="5"/>
  <c r="R25" i="5"/>
  <c r="Q25" i="5"/>
  <c r="P25" i="5"/>
  <c r="O25" i="5"/>
  <c r="M25" i="5"/>
  <c r="L25" i="5"/>
  <c r="K25" i="5"/>
  <c r="J25" i="5"/>
  <c r="I25" i="5"/>
  <c r="G25" i="5"/>
  <c r="AK24" i="5"/>
  <c r="AI24" i="5"/>
  <c r="S24" i="5"/>
  <c r="R24" i="5"/>
  <c r="Q24" i="5"/>
  <c r="P24" i="5"/>
  <c r="O24" i="5"/>
  <c r="M24" i="5"/>
  <c r="L24" i="5"/>
  <c r="K24" i="5"/>
  <c r="J24" i="5"/>
  <c r="I24" i="5"/>
  <c r="G24" i="5"/>
  <c r="AK23" i="5"/>
  <c r="AI23" i="5"/>
  <c r="AL23" i="5" s="1"/>
  <c r="S23" i="5"/>
  <c r="R23" i="5"/>
  <c r="Q23" i="5"/>
  <c r="P23" i="5"/>
  <c r="O23" i="5"/>
  <c r="M23" i="5"/>
  <c r="L23" i="5"/>
  <c r="K23" i="5"/>
  <c r="J23" i="5"/>
  <c r="I23" i="5"/>
  <c r="G23" i="5"/>
  <c r="AK22" i="5"/>
  <c r="AI22" i="5"/>
  <c r="S22" i="5"/>
  <c r="R22" i="5"/>
  <c r="Q22" i="5"/>
  <c r="P22" i="5"/>
  <c r="O22" i="5"/>
  <c r="M22" i="5"/>
  <c r="L22" i="5"/>
  <c r="W22" i="5" s="1"/>
  <c r="K22" i="5"/>
  <c r="J22" i="5"/>
  <c r="I22" i="5"/>
  <c r="G22" i="5"/>
  <c r="AV21" i="5"/>
  <c r="AK21" i="5"/>
  <c r="AI21" i="5"/>
  <c r="S21" i="5"/>
  <c r="R21" i="5"/>
  <c r="Q21" i="5"/>
  <c r="P21" i="5"/>
  <c r="O21" i="5"/>
  <c r="M21" i="5"/>
  <c r="L21" i="5"/>
  <c r="K21" i="5"/>
  <c r="J21" i="5"/>
  <c r="I21" i="5"/>
  <c r="G21" i="5"/>
  <c r="AK20" i="5"/>
  <c r="AI20" i="5"/>
  <c r="AL20" i="5" s="1"/>
  <c r="S20" i="5"/>
  <c r="R20" i="5"/>
  <c r="Q20" i="5"/>
  <c r="P20" i="5"/>
  <c r="O20" i="5"/>
  <c r="M20" i="5"/>
  <c r="L20" i="5"/>
  <c r="K20" i="5"/>
  <c r="J20" i="5"/>
  <c r="I20" i="5"/>
  <c r="G20" i="5"/>
  <c r="AK19" i="5"/>
  <c r="AI19" i="5"/>
  <c r="S19" i="5"/>
  <c r="R19" i="5"/>
  <c r="Q19" i="5"/>
  <c r="P19" i="5"/>
  <c r="O19" i="5"/>
  <c r="M19" i="5"/>
  <c r="L19" i="5"/>
  <c r="K19" i="5"/>
  <c r="J19" i="5"/>
  <c r="I19" i="5"/>
  <c r="G19" i="5"/>
  <c r="AK18" i="5"/>
  <c r="AI18" i="5"/>
  <c r="AL18" i="5" s="1"/>
  <c r="S18" i="5"/>
  <c r="R18" i="5"/>
  <c r="Q18" i="5"/>
  <c r="P18" i="5"/>
  <c r="O18" i="5"/>
  <c r="M18" i="5"/>
  <c r="L18" i="5"/>
  <c r="K18" i="5"/>
  <c r="J18" i="5"/>
  <c r="I18" i="5"/>
  <c r="G18" i="5"/>
  <c r="AK17" i="5"/>
  <c r="AI17" i="5"/>
  <c r="S17" i="5"/>
  <c r="R17" i="5"/>
  <c r="Q17" i="5"/>
  <c r="P17" i="5"/>
  <c r="O17" i="5"/>
  <c r="M17" i="5"/>
  <c r="L17" i="5"/>
  <c r="K17" i="5"/>
  <c r="J17" i="5"/>
  <c r="I17" i="5"/>
  <c r="G17" i="5"/>
  <c r="AK16" i="5"/>
  <c r="AI16" i="5"/>
  <c r="AL16" i="5" s="1"/>
  <c r="S16" i="5"/>
  <c r="R16" i="5"/>
  <c r="Q16" i="5"/>
  <c r="P16" i="5"/>
  <c r="O16" i="5"/>
  <c r="M16" i="5"/>
  <c r="L16" i="5"/>
  <c r="K16" i="5"/>
  <c r="J16" i="5"/>
  <c r="I16" i="5"/>
  <c r="G16" i="5"/>
  <c r="AK15" i="5"/>
  <c r="AI15" i="5"/>
  <c r="S15" i="5"/>
  <c r="R15" i="5"/>
  <c r="Q15" i="5"/>
  <c r="P15" i="5"/>
  <c r="O15" i="5"/>
  <c r="M15" i="5"/>
  <c r="L15" i="5"/>
  <c r="K15" i="5"/>
  <c r="J15" i="5"/>
  <c r="I15" i="5"/>
  <c r="G15" i="5"/>
  <c r="AK14" i="5"/>
  <c r="AI14" i="5"/>
  <c r="AL14" i="5" s="1"/>
  <c r="S14" i="5"/>
  <c r="R14" i="5"/>
  <c r="Q14" i="5"/>
  <c r="P14" i="5"/>
  <c r="O14" i="5"/>
  <c r="M14" i="5"/>
  <c r="L14" i="5"/>
  <c r="K14" i="5"/>
  <c r="J14" i="5"/>
  <c r="I14" i="5"/>
  <c r="G14" i="5"/>
  <c r="AK13" i="5"/>
  <c r="AI13" i="5"/>
  <c r="S13" i="5"/>
  <c r="R13" i="5"/>
  <c r="Q13" i="5"/>
  <c r="P13" i="5"/>
  <c r="O13" i="5"/>
  <c r="M13" i="5"/>
  <c r="L13" i="5"/>
  <c r="K13" i="5"/>
  <c r="J13" i="5"/>
  <c r="I13" i="5"/>
  <c r="G13" i="5"/>
  <c r="AK12" i="5"/>
  <c r="AI12" i="5"/>
  <c r="AL12" i="5" s="1"/>
  <c r="S12" i="5"/>
  <c r="R12" i="5"/>
  <c r="Q12" i="5"/>
  <c r="P12" i="5"/>
  <c r="O12" i="5"/>
  <c r="M12" i="5"/>
  <c r="L12" i="5"/>
  <c r="K12" i="5"/>
  <c r="J12" i="5"/>
  <c r="I12" i="5"/>
  <c r="G12" i="5"/>
  <c r="AK11" i="5"/>
  <c r="AI11" i="5"/>
  <c r="S11" i="5"/>
  <c r="R11" i="5"/>
  <c r="Q11" i="5"/>
  <c r="P11" i="5"/>
  <c r="O11" i="5"/>
  <c r="M11" i="5"/>
  <c r="L11" i="5"/>
  <c r="K11" i="5"/>
  <c r="J11" i="5"/>
  <c r="I11" i="5"/>
  <c r="G11" i="5"/>
  <c r="AK10" i="5"/>
  <c r="AI10" i="5"/>
  <c r="AL10" i="5" s="1"/>
  <c r="S10" i="5"/>
  <c r="R10" i="5"/>
  <c r="Q10" i="5"/>
  <c r="P10" i="5"/>
  <c r="O10" i="5"/>
  <c r="M10" i="5"/>
  <c r="L10" i="5"/>
  <c r="K10" i="5"/>
  <c r="J10" i="5"/>
  <c r="I10" i="5"/>
  <c r="G10" i="5"/>
  <c r="AK9" i="5"/>
  <c r="AI9" i="5"/>
  <c r="S9" i="5"/>
  <c r="R9" i="5"/>
  <c r="Q9" i="5"/>
  <c r="P9" i="5"/>
  <c r="O9" i="5"/>
  <c r="M9" i="5"/>
  <c r="L9" i="5"/>
  <c r="K9" i="5"/>
  <c r="J9" i="5"/>
  <c r="I9" i="5"/>
  <c r="G9" i="5"/>
  <c r="AK8" i="5"/>
  <c r="AI8" i="5"/>
  <c r="AL8" i="5" s="1"/>
  <c r="S8" i="5"/>
  <c r="R8" i="5"/>
  <c r="Q8" i="5"/>
  <c r="P8" i="5"/>
  <c r="O8" i="5"/>
  <c r="M8" i="5"/>
  <c r="L8" i="5"/>
  <c r="K8" i="5"/>
  <c r="J8" i="5"/>
  <c r="I8" i="5"/>
  <c r="G8" i="5"/>
  <c r="AK7" i="5"/>
  <c r="AI7" i="5"/>
  <c r="S7" i="5"/>
  <c r="R7" i="5"/>
  <c r="Q7" i="5"/>
  <c r="P7" i="5"/>
  <c r="O7" i="5"/>
  <c r="M7" i="5"/>
  <c r="L7" i="5"/>
  <c r="K7" i="5"/>
  <c r="J7" i="5"/>
  <c r="I7" i="5"/>
  <c r="G7" i="5"/>
  <c r="AK6" i="5"/>
  <c r="AI6" i="5"/>
  <c r="AL6" i="5" s="1"/>
  <c r="S6" i="5"/>
  <c r="R6" i="5"/>
  <c r="Q6" i="5"/>
  <c r="P6" i="5"/>
  <c r="O6" i="5"/>
  <c r="M6" i="5"/>
  <c r="L6" i="5"/>
  <c r="K6" i="5"/>
  <c r="J6" i="5"/>
  <c r="I6" i="5"/>
  <c r="G6" i="5"/>
  <c r="AK5" i="5"/>
  <c r="AI5" i="5"/>
  <c r="S5" i="5"/>
  <c r="R5" i="5"/>
  <c r="Q5" i="5"/>
  <c r="P5" i="5"/>
  <c r="O5" i="5"/>
  <c r="M5" i="5"/>
  <c r="L5" i="5"/>
  <c r="K5" i="5"/>
  <c r="J5" i="5"/>
  <c r="I5" i="5"/>
  <c r="G5" i="5"/>
  <c r="AK4" i="5"/>
  <c r="AI4" i="5"/>
  <c r="AL4" i="5" s="1"/>
  <c r="S4" i="5"/>
  <c r="R4" i="5"/>
  <c r="Q4" i="5"/>
  <c r="P4" i="5"/>
  <c r="O4" i="5"/>
  <c r="M4" i="5"/>
  <c r="L4" i="5"/>
  <c r="K4" i="5"/>
  <c r="J4" i="5"/>
  <c r="I4" i="5"/>
  <c r="G4" i="5"/>
  <c r="AK3" i="5"/>
  <c r="AI3" i="5"/>
  <c r="S3" i="5"/>
  <c r="R3" i="5"/>
  <c r="Q3" i="5"/>
  <c r="P3" i="5"/>
  <c r="O3" i="5"/>
  <c r="M3" i="5"/>
  <c r="L3" i="5"/>
  <c r="K3" i="5"/>
  <c r="J3" i="5"/>
  <c r="I3" i="5"/>
  <c r="G3" i="5"/>
  <c r="AK2" i="5"/>
  <c r="AI2" i="5"/>
  <c r="S2" i="5"/>
  <c r="R2" i="5"/>
  <c r="Q2" i="5"/>
  <c r="P2" i="5"/>
  <c r="O2" i="5"/>
  <c r="M2" i="5"/>
  <c r="L2" i="5"/>
  <c r="K2" i="5"/>
  <c r="J2" i="5"/>
  <c r="I2" i="5"/>
  <c r="G2" i="5"/>
  <c r="S396" i="2"/>
  <c r="R396" i="2"/>
  <c r="Q396" i="2"/>
  <c r="P396" i="2"/>
  <c r="O396" i="2"/>
  <c r="S395" i="2"/>
  <c r="R395" i="2"/>
  <c r="Q395" i="2"/>
  <c r="P395" i="2"/>
  <c r="O395" i="2"/>
  <c r="S394" i="2"/>
  <c r="R394" i="2"/>
  <c r="Q394" i="2"/>
  <c r="P394" i="2"/>
  <c r="O394" i="2"/>
  <c r="S393" i="2"/>
  <c r="R393" i="2"/>
  <c r="Q393" i="2"/>
  <c r="P393" i="2"/>
  <c r="O393" i="2"/>
  <c r="S392" i="2"/>
  <c r="R392" i="2"/>
  <c r="Q392" i="2"/>
  <c r="P392" i="2"/>
  <c r="O392" i="2"/>
  <c r="S391" i="2"/>
  <c r="R391" i="2"/>
  <c r="Q391" i="2"/>
  <c r="P391" i="2"/>
  <c r="O391" i="2"/>
  <c r="S390" i="2"/>
  <c r="R390" i="2"/>
  <c r="Q390" i="2"/>
  <c r="P390" i="2"/>
  <c r="O390" i="2"/>
  <c r="S389" i="2"/>
  <c r="R389" i="2"/>
  <c r="Q389" i="2"/>
  <c r="P389" i="2"/>
  <c r="O389" i="2"/>
  <c r="S388" i="2"/>
  <c r="R388" i="2"/>
  <c r="Q388" i="2"/>
  <c r="P388" i="2"/>
  <c r="O388" i="2"/>
  <c r="S387" i="2"/>
  <c r="R387" i="2"/>
  <c r="Q387" i="2"/>
  <c r="P387" i="2"/>
  <c r="O387" i="2"/>
  <c r="S386" i="2"/>
  <c r="R386" i="2"/>
  <c r="Q386" i="2"/>
  <c r="P386" i="2"/>
  <c r="O386" i="2"/>
  <c r="S385" i="2"/>
  <c r="R385" i="2"/>
  <c r="Q385" i="2"/>
  <c r="P385" i="2"/>
  <c r="O385" i="2"/>
  <c r="S384" i="2"/>
  <c r="R384" i="2"/>
  <c r="Q384" i="2"/>
  <c r="P384" i="2"/>
  <c r="O384" i="2"/>
  <c r="S383" i="2"/>
  <c r="R383" i="2"/>
  <c r="Q383" i="2"/>
  <c r="P383" i="2"/>
  <c r="O383" i="2"/>
  <c r="S382" i="2"/>
  <c r="R382" i="2"/>
  <c r="Q382" i="2"/>
  <c r="P382" i="2"/>
  <c r="O382" i="2"/>
  <c r="S381" i="2"/>
  <c r="R381" i="2"/>
  <c r="Q381" i="2"/>
  <c r="P381" i="2"/>
  <c r="O381" i="2"/>
  <c r="S380" i="2"/>
  <c r="R380" i="2"/>
  <c r="Q380" i="2"/>
  <c r="P380" i="2"/>
  <c r="O380" i="2"/>
  <c r="S379" i="2"/>
  <c r="R379" i="2"/>
  <c r="Q379" i="2"/>
  <c r="P379" i="2"/>
  <c r="O379" i="2"/>
  <c r="S378" i="2"/>
  <c r="R378" i="2"/>
  <c r="Q378" i="2"/>
  <c r="P378" i="2"/>
  <c r="O378" i="2"/>
  <c r="S377" i="2"/>
  <c r="R377" i="2"/>
  <c r="Q377" i="2"/>
  <c r="P377" i="2"/>
  <c r="O377" i="2"/>
  <c r="S376" i="2"/>
  <c r="R376" i="2"/>
  <c r="Q376" i="2"/>
  <c r="P376" i="2"/>
  <c r="O376" i="2"/>
  <c r="S375" i="2"/>
  <c r="R375" i="2"/>
  <c r="Q375" i="2"/>
  <c r="P375" i="2"/>
  <c r="O375" i="2"/>
  <c r="S374" i="2"/>
  <c r="R374" i="2"/>
  <c r="Q374" i="2"/>
  <c r="P374" i="2"/>
  <c r="O374" i="2"/>
  <c r="S373" i="2"/>
  <c r="R373" i="2"/>
  <c r="Q373" i="2"/>
  <c r="P373" i="2"/>
  <c r="O373" i="2"/>
  <c r="S372" i="2"/>
  <c r="R372" i="2"/>
  <c r="Q372" i="2"/>
  <c r="P372" i="2"/>
  <c r="O372" i="2"/>
  <c r="S371" i="2"/>
  <c r="R371" i="2"/>
  <c r="Q371" i="2"/>
  <c r="P371" i="2"/>
  <c r="O371" i="2"/>
  <c r="S370" i="2"/>
  <c r="R370" i="2"/>
  <c r="Q370" i="2"/>
  <c r="P370" i="2"/>
  <c r="O370" i="2"/>
  <c r="S369" i="2"/>
  <c r="R369" i="2"/>
  <c r="Q369" i="2"/>
  <c r="P369" i="2"/>
  <c r="O369" i="2"/>
  <c r="S368" i="2"/>
  <c r="R368" i="2"/>
  <c r="Q368" i="2"/>
  <c r="P368" i="2"/>
  <c r="O368" i="2"/>
  <c r="S367" i="2"/>
  <c r="R367" i="2"/>
  <c r="Q367" i="2"/>
  <c r="P367" i="2"/>
  <c r="O367" i="2"/>
  <c r="S366" i="2"/>
  <c r="R366" i="2"/>
  <c r="Q366" i="2"/>
  <c r="P366" i="2"/>
  <c r="O366" i="2"/>
  <c r="S365" i="2"/>
  <c r="R365" i="2"/>
  <c r="Q365" i="2"/>
  <c r="P365" i="2"/>
  <c r="O365" i="2"/>
  <c r="S364" i="2"/>
  <c r="R364" i="2"/>
  <c r="Q364" i="2"/>
  <c r="P364" i="2"/>
  <c r="O364" i="2"/>
  <c r="S363" i="2"/>
  <c r="R363" i="2"/>
  <c r="Q363" i="2"/>
  <c r="P363" i="2"/>
  <c r="O363" i="2"/>
  <c r="S362" i="2"/>
  <c r="R362" i="2"/>
  <c r="Q362" i="2"/>
  <c r="P362" i="2"/>
  <c r="O362" i="2"/>
  <c r="S361" i="2"/>
  <c r="R361" i="2"/>
  <c r="Q361" i="2"/>
  <c r="P361" i="2"/>
  <c r="O361" i="2"/>
  <c r="S360" i="2"/>
  <c r="R360" i="2"/>
  <c r="Q360" i="2"/>
  <c r="P360" i="2"/>
  <c r="O360" i="2"/>
  <c r="S359" i="2"/>
  <c r="R359" i="2"/>
  <c r="Q359" i="2"/>
  <c r="P359" i="2"/>
  <c r="O359" i="2"/>
  <c r="S358" i="2"/>
  <c r="R358" i="2"/>
  <c r="Q358" i="2"/>
  <c r="P358" i="2"/>
  <c r="O358" i="2"/>
  <c r="S357" i="2"/>
  <c r="R357" i="2"/>
  <c r="Q357" i="2"/>
  <c r="P357" i="2"/>
  <c r="O357" i="2"/>
  <c r="S356" i="2"/>
  <c r="R356" i="2"/>
  <c r="Q356" i="2"/>
  <c r="P356" i="2"/>
  <c r="O356" i="2"/>
  <c r="S355" i="2"/>
  <c r="R355" i="2"/>
  <c r="Q355" i="2"/>
  <c r="P355" i="2"/>
  <c r="O355" i="2"/>
  <c r="S354" i="2"/>
  <c r="R354" i="2"/>
  <c r="Q354" i="2"/>
  <c r="P354" i="2"/>
  <c r="O354" i="2"/>
  <c r="S353" i="2"/>
  <c r="R353" i="2"/>
  <c r="Q353" i="2"/>
  <c r="P353" i="2"/>
  <c r="O353" i="2"/>
  <c r="S352" i="2"/>
  <c r="R352" i="2"/>
  <c r="Q352" i="2"/>
  <c r="P352" i="2"/>
  <c r="O352" i="2"/>
  <c r="S351" i="2"/>
  <c r="R351" i="2"/>
  <c r="Q351" i="2"/>
  <c r="P351" i="2"/>
  <c r="O351" i="2"/>
  <c r="S350" i="2"/>
  <c r="R350" i="2"/>
  <c r="Q350" i="2"/>
  <c r="P350" i="2"/>
  <c r="O350" i="2"/>
  <c r="S349" i="2"/>
  <c r="R349" i="2"/>
  <c r="Q349" i="2"/>
  <c r="P349" i="2"/>
  <c r="O349" i="2"/>
  <c r="S348" i="2"/>
  <c r="R348" i="2"/>
  <c r="Q348" i="2"/>
  <c r="P348" i="2"/>
  <c r="O348" i="2"/>
  <c r="S347" i="2"/>
  <c r="R347" i="2"/>
  <c r="Q347" i="2"/>
  <c r="P347" i="2"/>
  <c r="O347" i="2"/>
  <c r="S346" i="2"/>
  <c r="R346" i="2"/>
  <c r="Q346" i="2"/>
  <c r="P346" i="2"/>
  <c r="O346" i="2"/>
  <c r="S345" i="2"/>
  <c r="R345" i="2"/>
  <c r="Q345" i="2"/>
  <c r="P345" i="2"/>
  <c r="O345" i="2"/>
  <c r="S344" i="2"/>
  <c r="R344" i="2"/>
  <c r="Q344" i="2"/>
  <c r="P344" i="2"/>
  <c r="O344" i="2"/>
  <c r="S343" i="2"/>
  <c r="R343" i="2"/>
  <c r="Q343" i="2"/>
  <c r="P343" i="2"/>
  <c r="O343" i="2"/>
  <c r="S342" i="2"/>
  <c r="R342" i="2"/>
  <c r="Q342" i="2"/>
  <c r="P342" i="2"/>
  <c r="O342" i="2"/>
  <c r="S341" i="2"/>
  <c r="R341" i="2"/>
  <c r="Q341" i="2"/>
  <c r="P341" i="2"/>
  <c r="O341" i="2"/>
  <c r="S340" i="2"/>
  <c r="R340" i="2"/>
  <c r="Q340" i="2"/>
  <c r="P340" i="2"/>
  <c r="O340" i="2"/>
  <c r="S339" i="2"/>
  <c r="R339" i="2"/>
  <c r="Q339" i="2"/>
  <c r="P339" i="2"/>
  <c r="O339" i="2"/>
  <c r="S338" i="2"/>
  <c r="R338" i="2"/>
  <c r="Q338" i="2"/>
  <c r="P338" i="2"/>
  <c r="O338" i="2"/>
  <c r="S337" i="2"/>
  <c r="R337" i="2"/>
  <c r="Q337" i="2"/>
  <c r="P337" i="2"/>
  <c r="O337" i="2"/>
  <c r="S336" i="2"/>
  <c r="R336" i="2"/>
  <c r="Q336" i="2"/>
  <c r="P336" i="2"/>
  <c r="O336" i="2"/>
  <c r="S335" i="2"/>
  <c r="R335" i="2"/>
  <c r="Q335" i="2"/>
  <c r="P335" i="2"/>
  <c r="O335" i="2"/>
  <c r="S334" i="2"/>
  <c r="R334" i="2"/>
  <c r="Q334" i="2"/>
  <c r="P334" i="2"/>
  <c r="O334" i="2"/>
  <c r="S333" i="2"/>
  <c r="R333" i="2"/>
  <c r="Q333" i="2"/>
  <c r="P333" i="2"/>
  <c r="O333" i="2"/>
  <c r="S332" i="2"/>
  <c r="R332" i="2"/>
  <c r="Q332" i="2"/>
  <c r="P332" i="2"/>
  <c r="O332" i="2"/>
  <c r="S331" i="2"/>
  <c r="R331" i="2"/>
  <c r="Q331" i="2"/>
  <c r="P331" i="2"/>
  <c r="O331" i="2"/>
  <c r="S330" i="2"/>
  <c r="R330" i="2"/>
  <c r="Q330" i="2"/>
  <c r="P330" i="2"/>
  <c r="O330" i="2"/>
  <c r="S329" i="2"/>
  <c r="R329" i="2"/>
  <c r="Q329" i="2"/>
  <c r="P329" i="2"/>
  <c r="O329" i="2"/>
  <c r="S328" i="2"/>
  <c r="R328" i="2"/>
  <c r="Q328" i="2"/>
  <c r="P328" i="2"/>
  <c r="O328" i="2"/>
  <c r="S327" i="2"/>
  <c r="R327" i="2"/>
  <c r="Q327" i="2"/>
  <c r="P327" i="2"/>
  <c r="O327" i="2"/>
  <c r="S326" i="2"/>
  <c r="R326" i="2"/>
  <c r="Q326" i="2"/>
  <c r="P326" i="2"/>
  <c r="O326" i="2"/>
  <c r="S325" i="2"/>
  <c r="R325" i="2"/>
  <c r="Q325" i="2"/>
  <c r="P325" i="2"/>
  <c r="O325" i="2"/>
  <c r="S324" i="2"/>
  <c r="R324" i="2"/>
  <c r="Q324" i="2"/>
  <c r="P324" i="2"/>
  <c r="O324" i="2"/>
  <c r="S323" i="2"/>
  <c r="R323" i="2"/>
  <c r="Q323" i="2"/>
  <c r="P323" i="2"/>
  <c r="O323" i="2"/>
  <c r="S322" i="2"/>
  <c r="R322" i="2"/>
  <c r="Q322" i="2"/>
  <c r="P322" i="2"/>
  <c r="O322" i="2"/>
  <c r="S321" i="2"/>
  <c r="R321" i="2"/>
  <c r="Q321" i="2"/>
  <c r="P321" i="2"/>
  <c r="O321" i="2"/>
  <c r="S320" i="2"/>
  <c r="R320" i="2"/>
  <c r="Q320" i="2"/>
  <c r="P320" i="2"/>
  <c r="O320" i="2"/>
  <c r="S319" i="2"/>
  <c r="R319" i="2"/>
  <c r="Q319" i="2"/>
  <c r="P319" i="2"/>
  <c r="O319" i="2"/>
  <c r="S318" i="2"/>
  <c r="R318" i="2"/>
  <c r="Q318" i="2"/>
  <c r="P318" i="2"/>
  <c r="O318" i="2"/>
  <c r="S317" i="2"/>
  <c r="R317" i="2"/>
  <c r="Q317" i="2"/>
  <c r="P317" i="2"/>
  <c r="O317" i="2"/>
  <c r="S316" i="2"/>
  <c r="R316" i="2"/>
  <c r="Q316" i="2"/>
  <c r="P316" i="2"/>
  <c r="O316" i="2"/>
  <c r="S315" i="2"/>
  <c r="R315" i="2"/>
  <c r="Q315" i="2"/>
  <c r="P315" i="2"/>
  <c r="O315" i="2"/>
  <c r="S314" i="2"/>
  <c r="R314" i="2"/>
  <c r="Q314" i="2"/>
  <c r="P314" i="2"/>
  <c r="O314" i="2"/>
  <c r="S313" i="2"/>
  <c r="R313" i="2"/>
  <c r="Q313" i="2"/>
  <c r="P313" i="2"/>
  <c r="O313" i="2"/>
  <c r="S312" i="2"/>
  <c r="R312" i="2"/>
  <c r="Q312" i="2"/>
  <c r="P312" i="2"/>
  <c r="O312" i="2"/>
  <c r="S311" i="2"/>
  <c r="R311" i="2"/>
  <c r="Q311" i="2"/>
  <c r="P311" i="2"/>
  <c r="O311" i="2"/>
  <c r="S310" i="2"/>
  <c r="R310" i="2"/>
  <c r="Q310" i="2"/>
  <c r="P310" i="2"/>
  <c r="O310" i="2"/>
  <c r="S309" i="2"/>
  <c r="R309" i="2"/>
  <c r="Q309" i="2"/>
  <c r="P309" i="2"/>
  <c r="O309" i="2"/>
  <c r="S308" i="2"/>
  <c r="R308" i="2"/>
  <c r="Q308" i="2"/>
  <c r="P308" i="2"/>
  <c r="O308" i="2"/>
  <c r="S307" i="2"/>
  <c r="R307" i="2"/>
  <c r="Q307" i="2"/>
  <c r="P307" i="2"/>
  <c r="O307" i="2"/>
  <c r="S306" i="2"/>
  <c r="R306" i="2"/>
  <c r="Q306" i="2"/>
  <c r="P306" i="2"/>
  <c r="O306" i="2"/>
  <c r="S305" i="2"/>
  <c r="R305" i="2"/>
  <c r="Q305" i="2"/>
  <c r="P305" i="2"/>
  <c r="O305" i="2"/>
  <c r="S304" i="2"/>
  <c r="R304" i="2"/>
  <c r="Q304" i="2"/>
  <c r="P304" i="2"/>
  <c r="O304" i="2"/>
  <c r="S303" i="2"/>
  <c r="R303" i="2"/>
  <c r="Q303" i="2"/>
  <c r="P303" i="2"/>
  <c r="O303" i="2"/>
  <c r="S302" i="2"/>
  <c r="R302" i="2"/>
  <c r="Q302" i="2"/>
  <c r="P302" i="2"/>
  <c r="O302" i="2"/>
  <c r="S301" i="2"/>
  <c r="R301" i="2"/>
  <c r="Q301" i="2"/>
  <c r="P301" i="2"/>
  <c r="O301" i="2"/>
  <c r="S300" i="2"/>
  <c r="R300" i="2"/>
  <c r="Q300" i="2"/>
  <c r="P300" i="2"/>
  <c r="O300" i="2"/>
  <c r="S299" i="2"/>
  <c r="R299" i="2"/>
  <c r="Q299" i="2"/>
  <c r="P299" i="2"/>
  <c r="O299" i="2"/>
  <c r="S298" i="2"/>
  <c r="R298" i="2"/>
  <c r="Q298" i="2"/>
  <c r="P298" i="2"/>
  <c r="O298" i="2"/>
  <c r="S297" i="2"/>
  <c r="R297" i="2"/>
  <c r="Q297" i="2"/>
  <c r="P297" i="2"/>
  <c r="O297" i="2"/>
  <c r="S296" i="2"/>
  <c r="R296" i="2"/>
  <c r="Q296" i="2"/>
  <c r="P296" i="2"/>
  <c r="O296" i="2"/>
  <c r="S295" i="2"/>
  <c r="R295" i="2"/>
  <c r="Q295" i="2"/>
  <c r="P295" i="2"/>
  <c r="O295" i="2"/>
  <c r="S294" i="2"/>
  <c r="R294" i="2"/>
  <c r="Q294" i="2"/>
  <c r="P294" i="2"/>
  <c r="O294" i="2"/>
  <c r="S293" i="2"/>
  <c r="R293" i="2"/>
  <c r="Q293" i="2"/>
  <c r="P293" i="2"/>
  <c r="O293" i="2"/>
  <c r="S292" i="2"/>
  <c r="R292" i="2"/>
  <c r="Q292" i="2"/>
  <c r="P292" i="2"/>
  <c r="O292" i="2"/>
  <c r="S291" i="2"/>
  <c r="R291" i="2"/>
  <c r="Q291" i="2"/>
  <c r="P291" i="2"/>
  <c r="O291" i="2"/>
  <c r="S290" i="2"/>
  <c r="R290" i="2"/>
  <c r="Q290" i="2"/>
  <c r="P290" i="2"/>
  <c r="O290" i="2"/>
  <c r="S289" i="2"/>
  <c r="R289" i="2"/>
  <c r="Q289" i="2"/>
  <c r="P289" i="2"/>
  <c r="O289" i="2"/>
  <c r="S288" i="2"/>
  <c r="R288" i="2"/>
  <c r="Q288" i="2"/>
  <c r="P288" i="2"/>
  <c r="O288" i="2"/>
  <c r="S287" i="2"/>
  <c r="R287" i="2"/>
  <c r="Q287" i="2"/>
  <c r="P287" i="2"/>
  <c r="O287" i="2"/>
  <c r="S286" i="2"/>
  <c r="R286" i="2"/>
  <c r="Q286" i="2"/>
  <c r="P286" i="2"/>
  <c r="O286" i="2"/>
  <c r="S285" i="2"/>
  <c r="R285" i="2"/>
  <c r="Q285" i="2"/>
  <c r="P285" i="2"/>
  <c r="O285" i="2"/>
  <c r="S284" i="2"/>
  <c r="R284" i="2"/>
  <c r="Q284" i="2"/>
  <c r="P284" i="2"/>
  <c r="O284" i="2"/>
  <c r="S283" i="2"/>
  <c r="R283" i="2"/>
  <c r="Q283" i="2"/>
  <c r="P283" i="2"/>
  <c r="O283" i="2"/>
  <c r="S282" i="2"/>
  <c r="R282" i="2"/>
  <c r="Q282" i="2"/>
  <c r="P282" i="2"/>
  <c r="O282" i="2"/>
  <c r="S281" i="2"/>
  <c r="R281" i="2"/>
  <c r="Q281" i="2"/>
  <c r="P281" i="2"/>
  <c r="O281" i="2"/>
  <c r="S280" i="2"/>
  <c r="R280" i="2"/>
  <c r="Q280" i="2"/>
  <c r="P280" i="2"/>
  <c r="O280" i="2"/>
  <c r="S279" i="2"/>
  <c r="R279" i="2"/>
  <c r="Q279" i="2"/>
  <c r="P279" i="2"/>
  <c r="O279" i="2"/>
  <c r="S278" i="2"/>
  <c r="R278" i="2"/>
  <c r="Q278" i="2"/>
  <c r="P278" i="2"/>
  <c r="O278" i="2"/>
  <c r="S277" i="2"/>
  <c r="R277" i="2"/>
  <c r="Q277" i="2"/>
  <c r="P277" i="2"/>
  <c r="O277" i="2"/>
  <c r="S276" i="2"/>
  <c r="R276" i="2"/>
  <c r="Q276" i="2"/>
  <c r="P276" i="2"/>
  <c r="O276" i="2"/>
  <c r="S275" i="2"/>
  <c r="R275" i="2"/>
  <c r="Q275" i="2"/>
  <c r="P275" i="2"/>
  <c r="O275" i="2"/>
  <c r="S274" i="2"/>
  <c r="R274" i="2"/>
  <c r="Q274" i="2"/>
  <c r="P274" i="2"/>
  <c r="O274" i="2"/>
  <c r="S273" i="2"/>
  <c r="R273" i="2"/>
  <c r="Q273" i="2"/>
  <c r="P273" i="2"/>
  <c r="O273" i="2"/>
  <c r="S272" i="2"/>
  <c r="R272" i="2"/>
  <c r="Q272" i="2"/>
  <c r="P272" i="2"/>
  <c r="O272" i="2"/>
  <c r="S271" i="2"/>
  <c r="R271" i="2"/>
  <c r="Q271" i="2"/>
  <c r="P271" i="2"/>
  <c r="O271" i="2"/>
  <c r="S270" i="2"/>
  <c r="R270" i="2"/>
  <c r="Q270" i="2"/>
  <c r="P270" i="2"/>
  <c r="O270" i="2"/>
  <c r="S269" i="2"/>
  <c r="R269" i="2"/>
  <c r="Q269" i="2"/>
  <c r="P269" i="2"/>
  <c r="O269" i="2"/>
  <c r="S268" i="2"/>
  <c r="R268" i="2"/>
  <c r="Q268" i="2"/>
  <c r="P268" i="2"/>
  <c r="O268" i="2"/>
  <c r="S267" i="2"/>
  <c r="R267" i="2"/>
  <c r="Q267" i="2"/>
  <c r="P267" i="2"/>
  <c r="O267" i="2"/>
  <c r="S266" i="2"/>
  <c r="R266" i="2"/>
  <c r="Q266" i="2"/>
  <c r="P266" i="2"/>
  <c r="O266" i="2"/>
  <c r="S265" i="2"/>
  <c r="R265" i="2"/>
  <c r="Q265" i="2"/>
  <c r="P265" i="2"/>
  <c r="O265" i="2"/>
  <c r="S264" i="2"/>
  <c r="R264" i="2"/>
  <c r="Q264" i="2"/>
  <c r="P264" i="2"/>
  <c r="O264" i="2"/>
  <c r="S263" i="2"/>
  <c r="R263" i="2"/>
  <c r="Q263" i="2"/>
  <c r="P263" i="2"/>
  <c r="O263" i="2"/>
  <c r="S262" i="2"/>
  <c r="R262" i="2"/>
  <c r="Q262" i="2"/>
  <c r="P262" i="2"/>
  <c r="O262" i="2"/>
  <c r="S261" i="2"/>
  <c r="R261" i="2"/>
  <c r="Q261" i="2"/>
  <c r="P261" i="2"/>
  <c r="O261" i="2"/>
  <c r="S260" i="2"/>
  <c r="R260" i="2"/>
  <c r="Q260" i="2"/>
  <c r="P260" i="2"/>
  <c r="O260" i="2"/>
  <c r="S259" i="2"/>
  <c r="R259" i="2"/>
  <c r="Q259" i="2"/>
  <c r="P259" i="2"/>
  <c r="O259" i="2"/>
  <c r="S258" i="2"/>
  <c r="R258" i="2"/>
  <c r="Q258" i="2"/>
  <c r="P258" i="2"/>
  <c r="O258" i="2"/>
  <c r="S257" i="2"/>
  <c r="R257" i="2"/>
  <c r="Q257" i="2"/>
  <c r="P257" i="2"/>
  <c r="O257" i="2"/>
  <c r="S256" i="2"/>
  <c r="R256" i="2"/>
  <c r="Q256" i="2"/>
  <c r="P256" i="2"/>
  <c r="O256" i="2"/>
  <c r="S255" i="2"/>
  <c r="R255" i="2"/>
  <c r="Q255" i="2"/>
  <c r="P255" i="2"/>
  <c r="O255" i="2"/>
  <c r="S254" i="2"/>
  <c r="R254" i="2"/>
  <c r="Q254" i="2"/>
  <c r="P254" i="2"/>
  <c r="O254" i="2"/>
  <c r="S253" i="2"/>
  <c r="R253" i="2"/>
  <c r="Q253" i="2"/>
  <c r="P253" i="2"/>
  <c r="O253" i="2"/>
  <c r="S252" i="2"/>
  <c r="R252" i="2"/>
  <c r="Q252" i="2"/>
  <c r="P252" i="2"/>
  <c r="O252" i="2"/>
  <c r="S251" i="2"/>
  <c r="R251" i="2"/>
  <c r="Q251" i="2"/>
  <c r="P251" i="2"/>
  <c r="O251" i="2"/>
  <c r="S250" i="2"/>
  <c r="R250" i="2"/>
  <c r="Q250" i="2"/>
  <c r="P250" i="2"/>
  <c r="O250" i="2"/>
  <c r="S249" i="2"/>
  <c r="R249" i="2"/>
  <c r="Q249" i="2"/>
  <c r="P249" i="2"/>
  <c r="O249" i="2"/>
  <c r="S248" i="2"/>
  <c r="R248" i="2"/>
  <c r="Q248" i="2"/>
  <c r="P248" i="2"/>
  <c r="O248" i="2"/>
  <c r="S247" i="2"/>
  <c r="R247" i="2"/>
  <c r="Q247" i="2"/>
  <c r="P247" i="2"/>
  <c r="O247" i="2"/>
  <c r="S246" i="2"/>
  <c r="R246" i="2"/>
  <c r="Q246" i="2"/>
  <c r="P246" i="2"/>
  <c r="O246" i="2"/>
  <c r="S245" i="2"/>
  <c r="R245" i="2"/>
  <c r="Q245" i="2"/>
  <c r="P245" i="2"/>
  <c r="O245" i="2"/>
  <c r="S244" i="2"/>
  <c r="R244" i="2"/>
  <c r="Q244" i="2"/>
  <c r="P244" i="2"/>
  <c r="O244" i="2"/>
  <c r="S243" i="2"/>
  <c r="R243" i="2"/>
  <c r="Q243" i="2"/>
  <c r="P243" i="2"/>
  <c r="O243" i="2"/>
  <c r="S242" i="2"/>
  <c r="R242" i="2"/>
  <c r="Q242" i="2"/>
  <c r="P242" i="2"/>
  <c r="O242" i="2"/>
  <c r="S241" i="2"/>
  <c r="R241" i="2"/>
  <c r="Q241" i="2"/>
  <c r="P241" i="2"/>
  <c r="O241" i="2"/>
  <c r="S240" i="2"/>
  <c r="R240" i="2"/>
  <c r="Q240" i="2"/>
  <c r="P240" i="2"/>
  <c r="O240" i="2"/>
  <c r="S239" i="2"/>
  <c r="R239" i="2"/>
  <c r="Q239" i="2"/>
  <c r="P239" i="2"/>
  <c r="O239" i="2"/>
  <c r="S238" i="2"/>
  <c r="R238" i="2"/>
  <c r="Q238" i="2"/>
  <c r="P238" i="2"/>
  <c r="O238" i="2"/>
  <c r="S237" i="2"/>
  <c r="R237" i="2"/>
  <c r="Q237" i="2"/>
  <c r="P237" i="2"/>
  <c r="O237" i="2"/>
  <c r="S236" i="2"/>
  <c r="R236" i="2"/>
  <c r="Q236" i="2"/>
  <c r="P236" i="2"/>
  <c r="O236" i="2"/>
  <c r="S235" i="2"/>
  <c r="R235" i="2"/>
  <c r="Q235" i="2"/>
  <c r="P235" i="2"/>
  <c r="O235" i="2"/>
  <c r="S234" i="2"/>
  <c r="R234" i="2"/>
  <c r="Q234" i="2"/>
  <c r="P234" i="2"/>
  <c r="O234" i="2"/>
  <c r="S233" i="2"/>
  <c r="R233" i="2"/>
  <c r="Q233" i="2"/>
  <c r="P233" i="2"/>
  <c r="O233" i="2"/>
  <c r="S232" i="2"/>
  <c r="R232" i="2"/>
  <c r="Q232" i="2"/>
  <c r="P232" i="2"/>
  <c r="O232" i="2"/>
  <c r="S231" i="2"/>
  <c r="R231" i="2"/>
  <c r="Q231" i="2"/>
  <c r="P231" i="2"/>
  <c r="O231" i="2"/>
  <c r="S230" i="2"/>
  <c r="R230" i="2"/>
  <c r="Q230" i="2"/>
  <c r="P230" i="2"/>
  <c r="O230" i="2"/>
  <c r="S229" i="2"/>
  <c r="R229" i="2"/>
  <c r="Q229" i="2"/>
  <c r="P229" i="2"/>
  <c r="O229" i="2"/>
  <c r="S228" i="2"/>
  <c r="R228" i="2"/>
  <c r="Q228" i="2"/>
  <c r="P228" i="2"/>
  <c r="O228" i="2"/>
  <c r="S227" i="2"/>
  <c r="R227" i="2"/>
  <c r="Q227" i="2"/>
  <c r="P227" i="2"/>
  <c r="O227" i="2"/>
  <c r="S226" i="2"/>
  <c r="R226" i="2"/>
  <c r="Q226" i="2"/>
  <c r="P226" i="2"/>
  <c r="O226" i="2"/>
  <c r="S225" i="2"/>
  <c r="R225" i="2"/>
  <c r="Q225" i="2"/>
  <c r="P225" i="2"/>
  <c r="O225" i="2"/>
  <c r="S224" i="2"/>
  <c r="R224" i="2"/>
  <c r="Q224" i="2"/>
  <c r="P224" i="2"/>
  <c r="O224" i="2"/>
  <c r="S223" i="2"/>
  <c r="R223" i="2"/>
  <c r="Q223" i="2"/>
  <c r="P223" i="2"/>
  <c r="O223" i="2"/>
  <c r="S222" i="2"/>
  <c r="R222" i="2"/>
  <c r="Q222" i="2"/>
  <c r="P222" i="2"/>
  <c r="O222" i="2"/>
  <c r="S221" i="2"/>
  <c r="R221" i="2"/>
  <c r="Q221" i="2"/>
  <c r="P221" i="2"/>
  <c r="O221" i="2"/>
  <c r="S220" i="2"/>
  <c r="R220" i="2"/>
  <c r="Q220" i="2"/>
  <c r="P220" i="2"/>
  <c r="O220" i="2"/>
  <c r="S219" i="2"/>
  <c r="R219" i="2"/>
  <c r="Q219" i="2"/>
  <c r="P219" i="2"/>
  <c r="O219" i="2"/>
  <c r="S218" i="2"/>
  <c r="R218" i="2"/>
  <c r="Q218" i="2"/>
  <c r="P218" i="2"/>
  <c r="O218" i="2"/>
  <c r="S217" i="2"/>
  <c r="R217" i="2"/>
  <c r="Q217" i="2"/>
  <c r="P217" i="2"/>
  <c r="O217" i="2"/>
  <c r="S216" i="2"/>
  <c r="R216" i="2"/>
  <c r="Q216" i="2"/>
  <c r="P216" i="2"/>
  <c r="O216" i="2"/>
  <c r="S215" i="2"/>
  <c r="R215" i="2"/>
  <c r="Q215" i="2"/>
  <c r="P215" i="2"/>
  <c r="O215" i="2"/>
  <c r="S214" i="2"/>
  <c r="R214" i="2"/>
  <c r="Q214" i="2"/>
  <c r="P214" i="2"/>
  <c r="O214" i="2"/>
  <c r="S213" i="2"/>
  <c r="R213" i="2"/>
  <c r="Q213" i="2"/>
  <c r="P213" i="2"/>
  <c r="O213" i="2"/>
  <c r="S212" i="2"/>
  <c r="R212" i="2"/>
  <c r="Q212" i="2"/>
  <c r="P212" i="2"/>
  <c r="O212" i="2"/>
  <c r="S211" i="2"/>
  <c r="R211" i="2"/>
  <c r="Q211" i="2"/>
  <c r="P211" i="2"/>
  <c r="O211" i="2"/>
  <c r="S210" i="2"/>
  <c r="R210" i="2"/>
  <c r="Q210" i="2"/>
  <c r="P210" i="2"/>
  <c r="O210" i="2"/>
  <c r="S209" i="2"/>
  <c r="R209" i="2"/>
  <c r="Q209" i="2"/>
  <c r="P209" i="2"/>
  <c r="O209" i="2"/>
  <c r="S208" i="2"/>
  <c r="R208" i="2"/>
  <c r="Q208" i="2"/>
  <c r="P208" i="2"/>
  <c r="O208" i="2"/>
  <c r="S207" i="2"/>
  <c r="R207" i="2"/>
  <c r="Q207" i="2"/>
  <c r="P207" i="2"/>
  <c r="O207" i="2"/>
  <c r="S206" i="2"/>
  <c r="R206" i="2"/>
  <c r="Q206" i="2"/>
  <c r="P206" i="2"/>
  <c r="O206" i="2"/>
  <c r="S205" i="2"/>
  <c r="R205" i="2"/>
  <c r="Q205" i="2"/>
  <c r="P205" i="2"/>
  <c r="O205" i="2"/>
  <c r="S204" i="2"/>
  <c r="R204" i="2"/>
  <c r="Q204" i="2"/>
  <c r="P204" i="2"/>
  <c r="O204" i="2"/>
  <c r="S203" i="2"/>
  <c r="R203" i="2"/>
  <c r="Q203" i="2"/>
  <c r="P203" i="2"/>
  <c r="O203" i="2"/>
  <c r="S202" i="2"/>
  <c r="R202" i="2"/>
  <c r="Q202" i="2"/>
  <c r="P202" i="2"/>
  <c r="O202" i="2"/>
  <c r="S201" i="2"/>
  <c r="R201" i="2"/>
  <c r="Q201" i="2"/>
  <c r="P201" i="2"/>
  <c r="O201" i="2"/>
  <c r="S200" i="2"/>
  <c r="R200" i="2"/>
  <c r="Q200" i="2"/>
  <c r="P200" i="2"/>
  <c r="O200" i="2"/>
  <c r="S199" i="2"/>
  <c r="R199" i="2"/>
  <c r="Q199" i="2"/>
  <c r="P199" i="2"/>
  <c r="O199" i="2"/>
  <c r="S198" i="2"/>
  <c r="R198" i="2"/>
  <c r="Q198" i="2"/>
  <c r="P198" i="2"/>
  <c r="O198" i="2"/>
  <c r="S197" i="2"/>
  <c r="R197" i="2"/>
  <c r="Q197" i="2"/>
  <c r="P197" i="2"/>
  <c r="O197" i="2"/>
  <c r="S196" i="2"/>
  <c r="R196" i="2"/>
  <c r="Q196" i="2"/>
  <c r="P196" i="2"/>
  <c r="O196" i="2"/>
  <c r="S195" i="2"/>
  <c r="R195" i="2"/>
  <c r="Q195" i="2"/>
  <c r="P195" i="2"/>
  <c r="O195" i="2"/>
  <c r="S194" i="2"/>
  <c r="R194" i="2"/>
  <c r="Q194" i="2"/>
  <c r="P194" i="2"/>
  <c r="O194" i="2"/>
  <c r="S193" i="2"/>
  <c r="R193" i="2"/>
  <c r="Q193" i="2"/>
  <c r="P193" i="2"/>
  <c r="O193" i="2"/>
  <c r="S192" i="2"/>
  <c r="R192" i="2"/>
  <c r="Q192" i="2"/>
  <c r="P192" i="2"/>
  <c r="O192" i="2"/>
  <c r="S191" i="2"/>
  <c r="R191" i="2"/>
  <c r="Q191" i="2"/>
  <c r="P191" i="2"/>
  <c r="O191" i="2"/>
  <c r="S190" i="2"/>
  <c r="R190" i="2"/>
  <c r="Q190" i="2"/>
  <c r="P190" i="2"/>
  <c r="O190" i="2"/>
  <c r="S189" i="2"/>
  <c r="R189" i="2"/>
  <c r="Q189" i="2"/>
  <c r="P189" i="2"/>
  <c r="O189" i="2"/>
  <c r="S188" i="2"/>
  <c r="R188" i="2"/>
  <c r="Q188" i="2"/>
  <c r="P188" i="2"/>
  <c r="O188" i="2"/>
  <c r="S187" i="2"/>
  <c r="R187" i="2"/>
  <c r="Q187" i="2"/>
  <c r="P187" i="2"/>
  <c r="O187" i="2"/>
  <c r="S186" i="2"/>
  <c r="R186" i="2"/>
  <c r="Q186" i="2"/>
  <c r="P186" i="2"/>
  <c r="O186" i="2"/>
  <c r="S185" i="2"/>
  <c r="R185" i="2"/>
  <c r="Q185" i="2"/>
  <c r="P185" i="2"/>
  <c r="O185" i="2"/>
  <c r="S184" i="2"/>
  <c r="R184" i="2"/>
  <c r="Q184" i="2"/>
  <c r="P184" i="2"/>
  <c r="O184" i="2"/>
  <c r="S183" i="2"/>
  <c r="R183" i="2"/>
  <c r="Q183" i="2"/>
  <c r="P183" i="2"/>
  <c r="O183" i="2"/>
  <c r="S182" i="2"/>
  <c r="R182" i="2"/>
  <c r="Q182" i="2"/>
  <c r="P182" i="2"/>
  <c r="O182" i="2"/>
  <c r="S181" i="2"/>
  <c r="R181" i="2"/>
  <c r="Q181" i="2"/>
  <c r="P181" i="2"/>
  <c r="O181" i="2"/>
  <c r="S180" i="2"/>
  <c r="R180" i="2"/>
  <c r="Q180" i="2"/>
  <c r="P180" i="2"/>
  <c r="O180" i="2"/>
  <c r="S179" i="2"/>
  <c r="R179" i="2"/>
  <c r="Q179" i="2"/>
  <c r="P179" i="2"/>
  <c r="O179" i="2"/>
  <c r="S178" i="2"/>
  <c r="R178" i="2"/>
  <c r="Q178" i="2"/>
  <c r="P178" i="2"/>
  <c r="O178" i="2"/>
  <c r="S177" i="2"/>
  <c r="R177" i="2"/>
  <c r="Q177" i="2"/>
  <c r="P177" i="2"/>
  <c r="O177" i="2"/>
  <c r="S176" i="2"/>
  <c r="R176" i="2"/>
  <c r="Q176" i="2"/>
  <c r="P176" i="2"/>
  <c r="O176" i="2"/>
  <c r="S175" i="2"/>
  <c r="R175" i="2"/>
  <c r="Q175" i="2"/>
  <c r="P175" i="2"/>
  <c r="O175" i="2"/>
  <c r="S174" i="2"/>
  <c r="R174" i="2"/>
  <c r="Q174" i="2"/>
  <c r="P174" i="2"/>
  <c r="O174" i="2"/>
  <c r="S173" i="2"/>
  <c r="R173" i="2"/>
  <c r="Q173" i="2"/>
  <c r="P173" i="2"/>
  <c r="O173" i="2"/>
  <c r="S172" i="2"/>
  <c r="R172" i="2"/>
  <c r="Q172" i="2"/>
  <c r="P172" i="2"/>
  <c r="O172" i="2"/>
  <c r="S171" i="2"/>
  <c r="R171" i="2"/>
  <c r="Q171" i="2"/>
  <c r="P171" i="2"/>
  <c r="O171" i="2"/>
  <c r="S170" i="2"/>
  <c r="R170" i="2"/>
  <c r="Q170" i="2"/>
  <c r="P170" i="2"/>
  <c r="O170" i="2"/>
  <c r="S169" i="2"/>
  <c r="R169" i="2"/>
  <c r="Q169" i="2"/>
  <c r="P169" i="2"/>
  <c r="O169" i="2"/>
  <c r="S168" i="2"/>
  <c r="R168" i="2"/>
  <c r="Q168" i="2"/>
  <c r="P168" i="2"/>
  <c r="O168" i="2"/>
  <c r="S167" i="2"/>
  <c r="R167" i="2"/>
  <c r="Q167" i="2"/>
  <c r="P167" i="2"/>
  <c r="O167" i="2"/>
  <c r="S166" i="2"/>
  <c r="R166" i="2"/>
  <c r="Q166" i="2"/>
  <c r="P166" i="2"/>
  <c r="O166" i="2"/>
  <c r="S165" i="2"/>
  <c r="R165" i="2"/>
  <c r="Q165" i="2"/>
  <c r="P165" i="2"/>
  <c r="O165" i="2"/>
  <c r="S164" i="2"/>
  <c r="R164" i="2"/>
  <c r="Q164" i="2"/>
  <c r="P164" i="2"/>
  <c r="O164" i="2"/>
  <c r="S163" i="2"/>
  <c r="R163" i="2"/>
  <c r="Q163" i="2"/>
  <c r="P163" i="2"/>
  <c r="O163" i="2"/>
  <c r="S162" i="2"/>
  <c r="R162" i="2"/>
  <c r="Q162" i="2"/>
  <c r="P162" i="2"/>
  <c r="O162" i="2"/>
  <c r="S161" i="2"/>
  <c r="R161" i="2"/>
  <c r="Q161" i="2"/>
  <c r="P161" i="2"/>
  <c r="O161" i="2"/>
  <c r="S160" i="2"/>
  <c r="R160" i="2"/>
  <c r="Q160" i="2"/>
  <c r="P160" i="2"/>
  <c r="O160" i="2"/>
  <c r="S159" i="2"/>
  <c r="R159" i="2"/>
  <c r="Q159" i="2"/>
  <c r="P159" i="2"/>
  <c r="O159" i="2"/>
  <c r="S158" i="2"/>
  <c r="R158" i="2"/>
  <c r="Q158" i="2"/>
  <c r="P158" i="2"/>
  <c r="O158" i="2"/>
  <c r="S157" i="2"/>
  <c r="R157" i="2"/>
  <c r="Q157" i="2"/>
  <c r="P157" i="2"/>
  <c r="O157" i="2"/>
  <c r="S156" i="2"/>
  <c r="R156" i="2"/>
  <c r="Q156" i="2"/>
  <c r="P156" i="2"/>
  <c r="O156" i="2"/>
  <c r="S155" i="2"/>
  <c r="R155" i="2"/>
  <c r="Q155" i="2"/>
  <c r="P155" i="2"/>
  <c r="O155" i="2"/>
  <c r="S154" i="2"/>
  <c r="R154" i="2"/>
  <c r="Q154" i="2"/>
  <c r="P154" i="2"/>
  <c r="O154" i="2"/>
  <c r="S153" i="2"/>
  <c r="R153" i="2"/>
  <c r="Q153" i="2"/>
  <c r="P153" i="2"/>
  <c r="O153" i="2"/>
  <c r="S152" i="2"/>
  <c r="R152" i="2"/>
  <c r="Q152" i="2"/>
  <c r="P152" i="2"/>
  <c r="O152" i="2"/>
  <c r="S151" i="2"/>
  <c r="R151" i="2"/>
  <c r="Q151" i="2"/>
  <c r="P151" i="2"/>
  <c r="O151" i="2"/>
  <c r="S150" i="2"/>
  <c r="R150" i="2"/>
  <c r="Q150" i="2"/>
  <c r="P150" i="2"/>
  <c r="O150" i="2"/>
  <c r="S149" i="2"/>
  <c r="R149" i="2"/>
  <c r="Q149" i="2"/>
  <c r="P149" i="2"/>
  <c r="O149" i="2"/>
  <c r="S148" i="2"/>
  <c r="R148" i="2"/>
  <c r="Q148" i="2"/>
  <c r="P148" i="2"/>
  <c r="O148" i="2"/>
  <c r="S147" i="2"/>
  <c r="R147" i="2"/>
  <c r="Q147" i="2"/>
  <c r="P147" i="2"/>
  <c r="O147" i="2"/>
  <c r="S146" i="2"/>
  <c r="R146" i="2"/>
  <c r="Q146" i="2"/>
  <c r="P146" i="2"/>
  <c r="O146" i="2"/>
  <c r="S145" i="2"/>
  <c r="R145" i="2"/>
  <c r="Q145" i="2"/>
  <c r="P145" i="2"/>
  <c r="O145" i="2"/>
  <c r="S144" i="2"/>
  <c r="R144" i="2"/>
  <c r="Q144" i="2"/>
  <c r="P144" i="2"/>
  <c r="O144" i="2"/>
  <c r="S143" i="2"/>
  <c r="R143" i="2"/>
  <c r="Q143" i="2"/>
  <c r="P143" i="2"/>
  <c r="O143" i="2"/>
  <c r="S142" i="2"/>
  <c r="R142" i="2"/>
  <c r="Q142" i="2"/>
  <c r="P142" i="2"/>
  <c r="O142" i="2"/>
  <c r="S141" i="2"/>
  <c r="R141" i="2"/>
  <c r="Q141" i="2"/>
  <c r="P141" i="2"/>
  <c r="O141" i="2"/>
  <c r="S140" i="2"/>
  <c r="R140" i="2"/>
  <c r="Q140" i="2"/>
  <c r="P140" i="2"/>
  <c r="O140" i="2"/>
  <c r="S139" i="2"/>
  <c r="R139" i="2"/>
  <c r="Q139" i="2"/>
  <c r="P139" i="2"/>
  <c r="O139" i="2"/>
  <c r="S138" i="2"/>
  <c r="R138" i="2"/>
  <c r="Q138" i="2"/>
  <c r="P138" i="2"/>
  <c r="O138" i="2"/>
  <c r="S137" i="2"/>
  <c r="R137" i="2"/>
  <c r="Q137" i="2"/>
  <c r="P137" i="2"/>
  <c r="O137" i="2"/>
  <c r="S136" i="2"/>
  <c r="R136" i="2"/>
  <c r="Q136" i="2"/>
  <c r="P136" i="2"/>
  <c r="O136" i="2"/>
  <c r="S135" i="2"/>
  <c r="R135" i="2"/>
  <c r="Q135" i="2"/>
  <c r="P135" i="2"/>
  <c r="O135" i="2"/>
  <c r="S134" i="2"/>
  <c r="R134" i="2"/>
  <c r="Q134" i="2"/>
  <c r="P134" i="2"/>
  <c r="O134" i="2"/>
  <c r="S133" i="2"/>
  <c r="R133" i="2"/>
  <c r="Q133" i="2"/>
  <c r="P133" i="2"/>
  <c r="O133" i="2"/>
  <c r="S132" i="2"/>
  <c r="R132" i="2"/>
  <c r="Q132" i="2"/>
  <c r="P132" i="2"/>
  <c r="O132" i="2"/>
  <c r="S131" i="2"/>
  <c r="R131" i="2"/>
  <c r="Q131" i="2"/>
  <c r="P131" i="2"/>
  <c r="O131" i="2"/>
  <c r="S130" i="2"/>
  <c r="R130" i="2"/>
  <c r="Q130" i="2"/>
  <c r="P130" i="2"/>
  <c r="O130" i="2"/>
  <c r="S129" i="2"/>
  <c r="R129" i="2"/>
  <c r="Q129" i="2"/>
  <c r="P129" i="2"/>
  <c r="O129" i="2"/>
  <c r="S128" i="2"/>
  <c r="R128" i="2"/>
  <c r="Q128" i="2"/>
  <c r="P128" i="2"/>
  <c r="O128" i="2"/>
  <c r="S127" i="2"/>
  <c r="R127" i="2"/>
  <c r="Q127" i="2"/>
  <c r="P127" i="2"/>
  <c r="O127" i="2"/>
  <c r="S126" i="2"/>
  <c r="R126" i="2"/>
  <c r="Q126" i="2"/>
  <c r="P126" i="2"/>
  <c r="O126" i="2"/>
  <c r="S125" i="2"/>
  <c r="R125" i="2"/>
  <c r="Q125" i="2"/>
  <c r="P125" i="2"/>
  <c r="O125" i="2"/>
  <c r="S124" i="2"/>
  <c r="R124" i="2"/>
  <c r="Q124" i="2"/>
  <c r="P124" i="2"/>
  <c r="O124" i="2"/>
  <c r="S123" i="2"/>
  <c r="R123" i="2"/>
  <c r="Q123" i="2"/>
  <c r="P123" i="2"/>
  <c r="O123" i="2"/>
  <c r="S122" i="2"/>
  <c r="R122" i="2"/>
  <c r="Q122" i="2"/>
  <c r="P122" i="2"/>
  <c r="O122" i="2"/>
  <c r="S121" i="2"/>
  <c r="R121" i="2"/>
  <c r="Q121" i="2"/>
  <c r="P121" i="2"/>
  <c r="O121" i="2"/>
  <c r="S120" i="2"/>
  <c r="R120" i="2"/>
  <c r="Q120" i="2"/>
  <c r="P120" i="2"/>
  <c r="O120" i="2"/>
  <c r="S119" i="2"/>
  <c r="R119" i="2"/>
  <c r="Q119" i="2"/>
  <c r="P119" i="2"/>
  <c r="O119" i="2"/>
  <c r="S118" i="2"/>
  <c r="R118" i="2"/>
  <c r="Q118" i="2"/>
  <c r="P118" i="2"/>
  <c r="O118" i="2"/>
  <c r="S117" i="2"/>
  <c r="R117" i="2"/>
  <c r="Q117" i="2"/>
  <c r="P117" i="2"/>
  <c r="O117" i="2"/>
  <c r="S116" i="2"/>
  <c r="R116" i="2"/>
  <c r="Q116" i="2"/>
  <c r="P116" i="2"/>
  <c r="O116" i="2"/>
  <c r="S115" i="2"/>
  <c r="R115" i="2"/>
  <c r="Q115" i="2"/>
  <c r="P115" i="2"/>
  <c r="O115" i="2"/>
  <c r="S114" i="2"/>
  <c r="R114" i="2"/>
  <c r="Q114" i="2"/>
  <c r="P114" i="2"/>
  <c r="O114" i="2"/>
  <c r="S113" i="2"/>
  <c r="R113" i="2"/>
  <c r="Q113" i="2"/>
  <c r="P113" i="2"/>
  <c r="O113" i="2"/>
  <c r="S112" i="2"/>
  <c r="R112" i="2"/>
  <c r="Q112" i="2"/>
  <c r="P112" i="2"/>
  <c r="O112" i="2"/>
  <c r="S111" i="2"/>
  <c r="R111" i="2"/>
  <c r="Q111" i="2"/>
  <c r="P111" i="2"/>
  <c r="O111" i="2"/>
  <c r="S110" i="2"/>
  <c r="R110" i="2"/>
  <c r="Q110" i="2"/>
  <c r="P110" i="2"/>
  <c r="O110" i="2"/>
  <c r="S109" i="2"/>
  <c r="R109" i="2"/>
  <c r="Q109" i="2"/>
  <c r="P109" i="2"/>
  <c r="O109" i="2"/>
  <c r="S108" i="2"/>
  <c r="R108" i="2"/>
  <c r="Q108" i="2"/>
  <c r="P108" i="2"/>
  <c r="O108" i="2"/>
  <c r="S107" i="2"/>
  <c r="R107" i="2"/>
  <c r="Q107" i="2"/>
  <c r="P107" i="2"/>
  <c r="O107" i="2"/>
  <c r="S106" i="2"/>
  <c r="R106" i="2"/>
  <c r="Q106" i="2"/>
  <c r="P106" i="2"/>
  <c r="O106" i="2"/>
  <c r="S105" i="2"/>
  <c r="R105" i="2"/>
  <c r="Q105" i="2"/>
  <c r="P105" i="2"/>
  <c r="O105" i="2"/>
  <c r="S104" i="2"/>
  <c r="R104" i="2"/>
  <c r="Q104" i="2"/>
  <c r="P104" i="2"/>
  <c r="O104" i="2"/>
  <c r="S103" i="2"/>
  <c r="R103" i="2"/>
  <c r="Q103" i="2"/>
  <c r="P103" i="2"/>
  <c r="O103" i="2"/>
  <c r="S102" i="2"/>
  <c r="R102" i="2"/>
  <c r="Q102" i="2"/>
  <c r="P102" i="2"/>
  <c r="O102" i="2"/>
  <c r="S101" i="2"/>
  <c r="R101" i="2"/>
  <c r="Q101" i="2"/>
  <c r="P101" i="2"/>
  <c r="O101" i="2"/>
  <c r="S100" i="2"/>
  <c r="R100" i="2"/>
  <c r="Q100" i="2"/>
  <c r="P100" i="2"/>
  <c r="O100" i="2"/>
  <c r="S99" i="2"/>
  <c r="R99" i="2"/>
  <c r="Q99" i="2"/>
  <c r="P99" i="2"/>
  <c r="O99" i="2"/>
  <c r="S98" i="2"/>
  <c r="R98" i="2"/>
  <c r="Q98" i="2"/>
  <c r="P98" i="2"/>
  <c r="O98" i="2"/>
  <c r="S97" i="2"/>
  <c r="R97" i="2"/>
  <c r="Q97" i="2"/>
  <c r="P97" i="2"/>
  <c r="O97" i="2"/>
  <c r="S96" i="2"/>
  <c r="R96" i="2"/>
  <c r="Q96" i="2"/>
  <c r="P96" i="2"/>
  <c r="O96" i="2"/>
  <c r="S95" i="2"/>
  <c r="R95" i="2"/>
  <c r="Q95" i="2"/>
  <c r="P95" i="2"/>
  <c r="O95" i="2"/>
  <c r="S94" i="2"/>
  <c r="R94" i="2"/>
  <c r="Q94" i="2"/>
  <c r="P94" i="2"/>
  <c r="O94" i="2"/>
  <c r="S93" i="2"/>
  <c r="R93" i="2"/>
  <c r="Q93" i="2"/>
  <c r="P93" i="2"/>
  <c r="O93" i="2"/>
  <c r="S92" i="2"/>
  <c r="R92" i="2"/>
  <c r="Q92" i="2"/>
  <c r="P92" i="2"/>
  <c r="O92" i="2"/>
  <c r="S91" i="2"/>
  <c r="R91" i="2"/>
  <c r="Q91" i="2"/>
  <c r="P91" i="2"/>
  <c r="O91" i="2"/>
  <c r="S90" i="2"/>
  <c r="R90" i="2"/>
  <c r="Q90" i="2"/>
  <c r="P90" i="2"/>
  <c r="O90" i="2"/>
  <c r="S89" i="2"/>
  <c r="R89" i="2"/>
  <c r="Q89" i="2"/>
  <c r="P89" i="2"/>
  <c r="O89" i="2"/>
  <c r="S88" i="2"/>
  <c r="R88" i="2"/>
  <c r="Q88" i="2"/>
  <c r="P88" i="2"/>
  <c r="O88" i="2"/>
  <c r="S87" i="2"/>
  <c r="R87" i="2"/>
  <c r="Q87" i="2"/>
  <c r="P87" i="2"/>
  <c r="O87" i="2"/>
  <c r="S86" i="2"/>
  <c r="R86" i="2"/>
  <c r="Q86" i="2"/>
  <c r="P86" i="2"/>
  <c r="O86" i="2"/>
  <c r="S85" i="2"/>
  <c r="R85" i="2"/>
  <c r="Q85" i="2"/>
  <c r="P85" i="2"/>
  <c r="O85" i="2"/>
  <c r="S84" i="2"/>
  <c r="R84" i="2"/>
  <c r="Q84" i="2"/>
  <c r="P84" i="2"/>
  <c r="O84" i="2"/>
  <c r="S83" i="2"/>
  <c r="R83" i="2"/>
  <c r="Q83" i="2"/>
  <c r="P83" i="2"/>
  <c r="O83" i="2"/>
  <c r="S82" i="2"/>
  <c r="R82" i="2"/>
  <c r="Q82" i="2"/>
  <c r="P82" i="2"/>
  <c r="O82" i="2"/>
  <c r="S81" i="2"/>
  <c r="R81" i="2"/>
  <c r="Q81" i="2"/>
  <c r="P81" i="2"/>
  <c r="O81" i="2"/>
  <c r="S80" i="2"/>
  <c r="R80" i="2"/>
  <c r="Q80" i="2"/>
  <c r="P80" i="2"/>
  <c r="O80" i="2"/>
  <c r="S79" i="2"/>
  <c r="R79" i="2"/>
  <c r="Q79" i="2"/>
  <c r="P79" i="2"/>
  <c r="O79" i="2"/>
  <c r="S78" i="2"/>
  <c r="R78" i="2"/>
  <c r="Q78" i="2"/>
  <c r="P78" i="2"/>
  <c r="O78" i="2"/>
  <c r="S77" i="2"/>
  <c r="R77" i="2"/>
  <c r="Q77" i="2"/>
  <c r="P77" i="2"/>
  <c r="O77" i="2"/>
  <c r="S76" i="2"/>
  <c r="R76" i="2"/>
  <c r="Q76" i="2"/>
  <c r="P76" i="2"/>
  <c r="O76" i="2"/>
  <c r="S75" i="2"/>
  <c r="R75" i="2"/>
  <c r="Q75" i="2"/>
  <c r="P75" i="2"/>
  <c r="O75" i="2"/>
  <c r="S74" i="2"/>
  <c r="R74" i="2"/>
  <c r="Q74" i="2"/>
  <c r="P74" i="2"/>
  <c r="O74" i="2"/>
  <c r="S73" i="2"/>
  <c r="R73" i="2"/>
  <c r="Q73" i="2"/>
  <c r="P73" i="2"/>
  <c r="O73" i="2"/>
  <c r="S72" i="2"/>
  <c r="R72" i="2"/>
  <c r="Q72" i="2"/>
  <c r="P72" i="2"/>
  <c r="O72" i="2"/>
  <c r="S71" i="2"/>
  <c r="R71" i="2"/>
  <c r="Q71" i="2"/>
  <c r="P71" i="2"/>
  <c r="O71" i="2"/>
  <c r="S70" i="2"/>
  <c r="R70" i="2"/>
  <c r="Q70" i="2"/>
  <c r="P70" i="2"/>
  <c r="O70" i="2"/>
  <c r="S69" i="2"/>
  <c r="R69" i="2"/>
  <c r="Q69" i="2"/>
  <c r="P69" i="2"/>
  <c r="O69" i="2"/>
  <c r="S68" i="2"/>
  <c r="R68" i="2"/>
  <c r="Q68" i="2"/>
  <c r="P68" i="2"/>
  <c r="O68" i="2"/>
  <c r="S67" i="2"/>
  <c r="R67" i="2"/>
  <c r="Q67" i="2"/>
  <c r="P67" i="2"/>
  <c r="O67" i="2"/>
  <c r="S66" i="2"/>
  <c r="R66" i="2"/>
  <c r="Q66" i="2"/>
  <c r="P66" i="2"/>
  <c r="O66" i="2"/>
  <c r="S65" i="2"/>
  <c r="R65" i="2"/>
  <c r="Q65" i="2"/>
  <c r="P65" i="2"/>
  <c r="O65" i="2"/>
  <c r="S64" i="2"/>
  <c r="R64" i="2"/>
  <c r="Q64" i="2"/>
  <c r="P64" i="2"/>
  <c r="O64" i="2"/>
  <c r="S63" i="2"/>
  <c r="R63" i="2"/>
  <c r="Q63" i="2"/>
  <c r="P63" i="2"/>
  <c r="O63" i="2"/>
  <c r="S62" i="2"/>
  <c r="R62" i="2"/>
  <c r="Q62" i="2"/>
  <c r="P62" i="2"/>
  <c r="O62" i="2"/>
  <c r="S61" i="2"/>
  <c r="R61" i="2"/>
  <c r="Q61" i="2"/>
  <c r="P61" i="2"/>
  <c r="O61" i="2"/>
  <c r="S60" i="2"/>
  <c r="R60" i="2"/>
  <c r="Q60" i="2"/>
  <c r="P60" i="2"/>
  <c r="O60" i="2"/>
  <c r="S59" i="2"/>
  <c r="R59" i="2"/>
  <c r="Q59" i="2"/>
  <c r="P59" i="2"/>
  <c r="O59" i="2"/>
  <c r="S58" i="2"/>
  <c r="R58" i="2"/>
  <c r="Q58" i="2"/>
  <c r="P58" i="2"/>
  <c r="O58" i="2"/>
  <c r="S57" i="2"/>
  <c r="R57" i="2"/>
  <c r="Q57" i="2"/>
  <c r="P57" i="2"/>
  <c r="O57" i="2"/>
  <c r="S56" i="2"/>
  <c r="R56" i="2"/>
  <c r="Q56" i="2"/>
  <c r="P56" i="2"/>
  <c r="O56" i="2"/>
  <c r="S55" i="2"/>
  <c r="R55" i="2"/>
  <c r="Q55" i="2"/>
  <c r="P55" i="2"/>
  <c r="O55" i="2"/>
  <c r="S54" i="2"/>
  <c r="R54" i="2"/>
  <c r="Q54" i="2"/>
  <c r="P54" i="2"/>
  <c r="O54" i="2"/>
  <c r="S53" i="2"/>
  <c r="R53" i="2"/>
  <c r="Q53" i="2"/>
  <c r="P53" i="2"/>
  <c r="O53" i="2"/>
  <c r="S52" i="2"/>
  <c r="R52" i="2"/>
  <c r="Q52" i="2"/>
  <c r="P52" i="2"/>
  <c r="O52" i="2"/>
  <c r="S51" i="2"/>
  <c r="R51" i="2"/>
  <c r="Q51" i="2"/>
  <c r="P51" i="2"/>
  <c r="O51" i="2"/>
  <c r="S50" i="2"/>
  <c r="R50" i="2"/>
  <c r="Q50" i="2"/>
  <c r="P50" i="2"/>
  <c r="O50" i="2"/>
  <c r="S49" i="2"/>
  <c r="R49" i="2"/>
  <c r="Q49" i="2"/>
  <c r="P49" i="2"/>
  <c r="O49" i="2"/>
  <c r="S48" i="2"/>
  <c r="R48" i="2"/>
  <c r="Q48" i="2"/>
  <c r="P48" i="2"/>
  <c r="O48" i="2"/>
  <c r="S47" i="2"/>
  <c r="R47" i="2"/>
  <c r="Q47" i="2"/>
  <c r="P47" i="2"/>
  <c r="O47" i="2"/>
  <c r="S46" i="2"/>
  <c r="R46" i="2"/>
  <c r="Q46" i="2"/>
  <c r="P46" i="2"/>
  <c r="O46" i="2"/>
  <c r="S45" i="2"/>
  <c r="R45" i="2"/>
  <c r="Q45" i="2"/>
  <c r="P45" i="2"/>
  <c r="O45" i="2"/>
  <c r="S44" i="2"/>
  <c r="R44" i="2"/>
  <c r="Q44" i="2"/>
  <c r="P44" i="2"/>
  <c r="O44" i="2"/>
  <c r="S43" i="2"/>
  <c r="R43" i="2"/>
  <c r="Q43" i="2"/>
  <c r="P43" i="2"/>
  <c r="O43" i="2"/>
  <c r="S42" i="2"/>
  <c r="R42" i="2"/>
  <c r="Q42" i="2"/>
  <c r="P42" i="2"/>
  <c r="O42" i="2"/>
  <c r="S41" i="2"/>
  <c r="R41" i="2"/>
  <c r="Q41" i="2"/>
  <c r="P41" i="2"/>
  <c r="O41" i="2"/>
  <c r="S40" i="2"/>
  <c r="R40" i="2"/>
  <c r="Q40" i="2"/>
  <c r="P40" i="2"/>
  <c r="O40" i="2"/>
  <c r="S39" i="2"/>
  <c r="R39" i="2"/>
  <c r="Q39" i="2"/>
  <c r="P39" i="2"/>
  <c r="O39" i="2"/>
  <c r="S38" i="2"/>
  <c r="R38" i="2"/>
  <c r="Q38" i="2"/>
  <c r="P38" i="2"/>
  <c r="O38" i="2"/>
  <c r="S37" i="2"/>
  <c r="R37" i="2"/>
  <c r="Q37" i="2"/>
  <c r="P37" i="2"/>
  <c r="O37" i="2"/>
  <c r="S36" i="2"/>
  <c r="R36" i="2"/>
  <c r="Q36" i="2"/>
  <c r="P36" i="2"/>
  <c r="O36" i="2"/>
  <c r="S35" i="2"/>
  <c r="R35" i="2"/>
  <c r="Q35" i="2"/>
  <c r="P35" i="2"/>
  <c r="O35" i="2"/>
  <c r="S34" i="2"/>
  <c r="R34" i="2"/>
  <c r="Q34" i="2"/>
  <c r="P34" i="2"/>
  <c r="O34" i="2"/>
  <c r="S33" i="2"/>
  <c r="R33" i="2"/>
  <c r="Q33" i="2"/>
  <c r="P33" i="2"/>
  <c r="O33" i="2"/>
  <c r="S32" i="2"/>
  <c r="R32" i="2"/>
  <c r="Q32" i="2"/>
  <c r="P32" i="2"/>
  <c r="O32" i="2"/>
  <c r="S31" i="2"/>
  <c r="R31" i="2"/>
  <c r="Q31" i="2"/>
  <c r="P31" i="2"/>
  <c r="O31" i="2"/>
  <c r="S30" i="2"/>
  <c r="R30" i="2"/>
  <c r="Q30" i="2"/>
  <c r="P30" i="2"/>
  <c r="O30" i="2"/>
  <c r="S29" i="2"/>
  <c r="R29" i="2"/>
  <c r="Q29" i="2"/>
  <c r="P29" i="2"/>
  <c r="O29" i="2"/>
  <c r="S28" i="2"/>
  <c r="R28" i="2"/>
  <c r="Q28" i="2"/>
  <c r="P28" i="2"/>
  <c r="O28" i="2"/>
  <c r="S27" i="2"/>
  <c r="R27" i="2"/>
  <c r="Q27" i="2"/>
  <c r="P27" i="2"/>
  <c r="O27" i="2"/>
  <c r="S26" i="2"/>
  <c r="R26" i="2"/>
  <c r="Q26" i="2"/>
  <c r="P26" i="2"/>
  <c r="O26" i="2"/>
  <c r="S25" i="2"/>
  <c r="R25" i="2"/>
  <c r="Q25" i="2"/>
  <c r="P25" i="2"/>
  <c r="O25" i="2"/>
  <c r="S24" i="2"/>
  <c r="R24" i="2"/>
  <c r="Q24" i="2"/>
  <c r="P24" i="2"/>
  <c r="O24" i="2"/>
  <c r="S23" i="2"/>
  <c r="R23" i="2"/>
  <c r="Q23" i="2"/>
  <c r="P23" i="2"/>
  <c r="O23" i="2"/>
  <c r="S22" i="2"/>
  <c r="R22" i="2"/>
  <c r="Q22" i="2"/>
  <c r="P22" i="2"/>
  <c r="O22" i="2"/>
  <c r="S21" i="2"/>
  <c r="R21" i="2"/>
  <c r="Q21" i="2"/>
  <c r="P21" i="2"/>
  <c r="O21" i="2"/>
  <c r="S20" i="2"/>
  <c r="R20" i="2"/>
  <c r="Q20" i="2"/>
  <c r="P20" i="2"/>
  <c r="O20" i="2"/>
  <c r="S19" i="2"/>
  <c r="R19" i="2"/>
  <c r="Q19" i="2"/>
  <c r="P19" i="2"/>
  <c r="O19" i="2"/>
  <c r="S18" i="2"/>
  <c r="R18" i="2"/>
  <c r="Q18" i="2"/>
  <c r="P18" i="2"/>
  <c r="O18" i="2"/>
  <c r="S17" i="2"/>
  <c r="R17" i="2"/>
  <c r="Q17" i="2"/>
  <c r="P17" i="2"/>
  <c r="O17" i="2"/>
  <c r="S16" i="2"/>
  <c r="R16" i="2"/>
  <c r="Q16" i="2"/>
  <c r="P16" i="2"/>
  <c r="O16" i="2"/>
  <c r="S15" i="2"/>
  <c r="R15" i="2"/>
  <c r="Q15" i="2"/>
  <c r="P15" i="2"/>
  <c r="O15" i="2"/>
  <c r="S14" i="2"/>
  <c r="R14" i="2"/>
  <c r="Q14" i="2"/>
  <c r="P14" i="2"/>
  <c r="O14" i="2"/>
  <c r="S13" i="2"/>
  <c r="R13" i="2"/>
  <c r="Q13" i="2"/>
  <c r="P13" i="2"/>
  <c r="O13" i="2"/>
  <c r="S12" i="2"/>
  <c r="R12" i="2"/>
  <c r="Q12" i="2"/>
  <c r="P12" i="2"/>
  <c r="O12" i="2"/>
  <c r="S11" i="2"/>
  <c r="R11" i="2"/>
  <c r="Q11" i="2"/>
  <c r="P11" i="2"/>
  <c r="O11" i="2"/>
  <c r="S10" i="2"/>
  <c r="R10" i="2"/>
  <c r="Q10" i="2"/>
  <c r="P10" i="2"/>
  <c r="O10" i="2"/>
  <c r="S9" i="2"/>
  <c r="R9" i="2"/>
  <c r="Q9" i="2"/>
  <c r="P9" i="2"/>
  <c r="O9" i="2"/>
  <c r="S8" i="2"/>
  <c r="R8" i="2"/>
  <c r="Q8" i="2"/>
  <c r="P8" i="2"/>
  <c r="O8" i="2"/>
  <c r="S7" i="2"/>
  <c r="R7" i="2"/>
  <c r="Q7" i="2"/>
  <c r="P7" i="2"/>
  <c r="O7" i="2"/>
  <c r="S6" i="2"/>
  <c r="R6" i="2"/>
  <c r="Q6" i="2"/>
  <c r="P6" i="2"/>
  <c r="O6" i="2"/>
  <c r="S5" i="2"/>
  <c r="R5" i="2"/>
  <c r="Q5" i="2"/>
  <c r="P5" i="2"/>
  <c r="O5" i="2"/>
  <c r="S4" i="2"/>
  <c r="R4" i="2"/>
  <c r="Q4" i="2"/>
  <c r="P4" i="2"/>
  <c r="O4" i="2"/>
  <c r="S3" i="2"/>
  <c r="R3" i="2"/>
  <c r="Q3" i="2"/>
  <c r="P3" i="2"/>
  <c r="O3" i="2"/>
  <c r="S2" i="2"/>
  <c r="R2" i="2"/>
  <c r="Q2" i="2"/>
  <c r="P2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2" i="2"/>
  <c r="M3" i="2"/>
  <c r="T3" i="2" s="1"/>
  <c r="M4" i="2"/>
  <c r="T4" i="2" s="1"/>
  <c r="M5" i="2"/>
  <c r="M6" i="2"/>
  <c r="T6" i="2" s="1"/>
  <c r="M7" i="2"/>
  <c r="T7" i="2" s="1"/>
  <c r="M8" i="2"/>
  <c r="T8" i="2" s="1"/>
  <c r="M9" i="2"/>
  <c r="M10" i="2"/>
  <c r="T10" i="2" s="1"/>
  <c r="M11" i="2"/>
  <c r="T11" i="2" s="1"/>
  <c r="M12" i="2"/>
  <c r="T12" i="2" s="1"/>
  <c r="M13" i="2"/>
  <c r="M14" i="2"/>
  <c r="T14" i="2" s="1"/>
  <c r="M15" i="2"/>
  <c r="T15" i="2" s="1"/>
  <c r="M16" i="2"/>
  <c r="T16" i="2" s="1"/>
  <c r="M17" i="2"/>
  <c r="M18" i="2"/>
  <c r="T18" i="2" s="1"/>
  <c r="M19" i="2"/>
  <c r="T19" i="2" s="1"/>
  <c r="M20" i="2"/>
  <c r="T20" i="2" s="1"/>
  <c r="M21" i="2"/>
  <c r="M22" i="2"/>
  <c r="T22" i="2" s="1"/>
  <c r="M23" i="2"/>
  <c r="T23" i="2" s="1"/>
  <c r="M24" i="2"/>
  <c r="T24" i="2" s="1"/>
  <c r="M25" i="2"/>
  <c r="M26" i="2"/>
  <c r="T26" i="2" s="1"/>
  <c r="M27" i="2"/>
  <c r="T27" i="2" s="1"/>
  <c r="M28" i="2"/>
  <c r="T28" i="2" s="1"/>
  <c r="M29" i="2"/>
  <c r="M30" i="2"/>
  <c r="T30" i="2" s="1"/>
  <c r="M31" i="2"/>
  <c r="T31" i="2" s="1"/>
  <c r="M32" i="2"/>
  <c r="T32" i="2" s="1"/>
  <c r="M33" i="2"/>
  <c r="M34" i="2"/>
  <c r="T34" i="2" s="1"/>
  <c r="M35" i="2"/>
  <c r="T35" i="2" s="1"/>
  <c r="M36" i="2"/>
  <c r="T36" i="2" s="1"/>
  <c r="M37" i="2"/>
  <c r="M38" i="2"/>
  <c r="T38" i="2" s="1"/>
  <c r="M39" i="2"/>
  <c r="T39" i="2" s="1"/>
  <c r="M40" i="2"/>
  <c r="T40" i="2" s="1"/>
  <c r="M41" i="2"/>
  <c r="M42" i="2"/>
  <c r="T42" i="2" s="1"/>
  <c r="M43" i="2"/>
  <c r="T43" i="2" s="1"/>
  <c r="M44" i="2"/>
  <c r="T44" i="2" s="1"/>
  <c r="M45" i="2"/>
  <c r="M46" i="2"/>
  <c r="T46" i="2" s="1"/>
  <c r="M47" i="2"/>
  <c r="T47" i="2" s="1"/>
  <c r="M48" i="2"/>
  <c r="T48" i="2" s="1"/>
  <c r="M49" i="2"/>
  <c r="M50" i="2"/>
  <c r="T50" i="2" s="1"/>
  <c r="M51" i="2"/>
  <c r="T51" i="2" s="1"/>
  <c r="M52" i="2"/>
  <c r="T52" i="2" s="1"/>
  <c r="M53" i="2"/>
  <c r="M54" i="2"/>
  <c r="T54" i="2" s="1"/>
  <c r="M55" i="2"/>
  <c r="T55" i="2" s="1"/>
  <c r="M56" i="2"/>
  <c r="T56" i="2" s="1"/>
  <c r="M57" i="2"/>
  <c r="M58" i="2"/>
  <c r="T58" i="2" s="1"/>
  <c r="M59" i="2"/>
  <c r="T59" i="2" s="1"/>
  <c r="M60" i="2"/>
  <c r="T60" i="2" s="1"/>
  <c r="M61" i="2"/>
  <c r="M62" i="2"/>
  <c r="T62" i="2" s="1"/>
  <c r="M63" i="2"/>
  <c r="T63" i="2" s="1"/>
  <c r="M64" i="2"/>
  <c r="T64" i="2" s="1"/>
  <c r="M65" i="2"/>
  <c r="M66" i="2"/>
  <c r="T66" i="2" s="1"/>
  <c r="M67" i="2"/>
  <c r="T67" i="2" s="1"/>
  <c r="M68" i="2"/>
  <c r="T68" i="2" s="1"/>
  <c r="M69" i="2"/>
  <c r="M70" i="2"/>
  <c r="T70" i="2" s="1"/>
  <c r="M71" i="2"/>
  <c r="T71" i="2" s="1"/>
  <c r="M72" i="2"/>
  <c r="T72" i="2" s="1"/>
  <c r="M73" i="2"/>
  <c r="M74" i="2"/>
  <c r="T74" i="2" s="1"/>
  <c r="M75" i="2"/>
  <c r="T75" i="2" s="1"/>
  <c r="M76" i="2"/>
  <c r="T76" i="2" s="1"/>
  <c r="M77" i="2"/>
  <c r="M78" i="2"/>
  <c r="T78" i="2" s="1"/>
  <c r="M79" i="2"/>
  <c r="T79" i="2" s="1"/>
  <c r="M80" i="2"/>
  <c r="T80" i="2" s="1"/>
  <c r="M81" i="2"/>
  <c r="M82" i="2"/>
  <c r="T82" i="2" s="1"/>
  <c r="M83" i="2"/>
  <c r="T83" i="2" s="1"/>
  <c r="M84" i="2"/>
  <c r="T84" i="2" s="1"/>
  <c r="M85" i="2"/>
  <c r="M86" i="2"/>
  <c r="T86" i="2" s="1"/>
  <c r="M87" i="2"/>
  <c r="T87" i="2" s="1"/>
  <c r="M88" i="2"/>
  <c r="T88" i="2" s="1"/>
  <c r="M89" i="2"/>
  <c r="M90" i="2"/>
  <c r="T90" i="2" s="1"/>
  <c r="M91" i="2"/>
  <c r="T91" i="2" s="1"/>
  <c r="M92" i="2"/>
  <c r="T92" i="2" s="1"/>
  <c r="M93" i="2"/>
  <c r="M94" i="2"/>
  <c r="T94" i="2" s="1"/>
  <c r="M95" i="2"/>
  <c r="T95" i="2" s="1"/>
  <c r="M96" i="2"/>
  <c r="T96" i="2" s="1"/>
  <c r="M97" i="2"/>
  <c r="M98" i="2"/>
  <c r="T98" i="2" s="1"/>
  <c r="M99" i="2"/>
  <c r="T99" i="2" s="1"/>
  <c r="M100" i="2"/>
  <c r="T100" i="2" s="1"/>
  <c r="M101" i="2"/>
  <c r="M102" i="2"/>
  <c r="T102" i="2" s="1"/>
  <c r="M103" i="2"/>
  <c r="T103" i="2" s="1"/>
  <c r="M104" i="2"/>
  <c r="T104" i="2" s="1"/>
  <c r="M105" i="2"/>
  <c r="M106" i="2"/>
  <c r="T106" i="2" s="1"/>
  <c r="M107" i="2"/>
  <c r="T107" i="2" s="1"/>
  <c r="M108" i="2"/>
  <c r="T108" i="2" s="1"/>
  <c r="M109" i="2"/>
  <c r="M110" i="2"/>
  <c r="T110" i="2" s="1"/>
  <c r="M111" i="2"/>
  <c r="T111" i="2" s="1"/>
  <c r="M112" i="2"/>
  <c r="T112" i="2" s="1"/>
  <c r="M113" i="2"/>
  <c r="M114" i="2"/>
  <c r="T114" i="2" s="1"/>
  <c r="M115" i="2"/>
  <c r="T115" i="2" s="1"/>
  <c r="M116" i="2"/>
  <c r="T116" i="2" s="1"/>
  <c r="M117" i="2"/>
  <c r="M118" i="2"/>
  <c r="T118" i="2" s="1"/>
  <c r="M119" i="2"/>
  <c r="T119" i="2" s="1"/>
  <c r="M120" i="2"/>
  <c r="T120" i="2" s="1"/>
  <c r="M121" i="2"/>
  <c r="M122" i="2"/>
  <c r="T122" i="2" s="1"/>
  <c r="M123" i="2"/>
  <c r="T123" i="2" s="1"/>
  <c r="M124" i="2"/>
  <c r="T124" i="2" s="1"/>
  <c r="M125" i="2"/>
  <c r="M126" i="2"/>
  <c r="T126" i="2" s="1"/>
  <c r="M127" i="2"/>
  <c r="T127" i="2" s="1"/>
  <c r="M128" i="2"/>
  <c r="T128" i="2" s="1"/>
  <c r="M129" i="2"/>
  <c r="M130" i="2"/>
  <c r="T130" i="2" s="1"/>
  <c r="M131" i="2"/>
  <c r="T131" i="2" s="1"/>
  <c r="M132" i="2"/>
  <c r="T132" i="2" s="1"/>
  <c r="M133" i="2"/>
  <c r="M134" i="2"/>
  <c r="T134" i="2" s="1"/>
  <c r="M135" i="2"/>
  <c r="T135" i="2" s="1"/>
  <c r="M136" i="2"/>
  <c r="T136" i="2" s="1"/>
  <c r="M137" i="2"/>
  <c r="M138" i="2"/>
  <c r="T138" i="2" s="1"/>
  <c r="M139" i="2"/>
  <c r="T139" i="2" s="1"/>
  <c r="M140" i="2"/>
  <c r="T140" i="2" s="1"/>
  <c r="M141" i="2"/>
  <c r="M142" i="2"/>
  <c r="T142" i="2" s="1"/>
  <c r="M143" i="2"/>
  <c r="T143" i="2" s="1"/>
  <c r="M144" i="2"/>
  <c r="T144" i="2" s="1"/>
  <c r="M145" i="2"/>
  <c r="M146" i="2"/>
  <c r="T146" i="2" s="1"/>
  <c r="M147" i="2"/>
  <c r="T147" i="2" s="1"/>
  <c r="M148" i="2"/>
  <c r="T148" i="2" s="1"/>
  <c r="M149" i="2"/>
  <c r="M150" i="2"/>
  <c r="T150" i="2" s="1"/>
  <c r="M151" i="2"/>
  <c r="T151" i="2" s="1"/>
  <c r="M152" i="2"/>
  <c r="T152" i="2" s="1"/>
  <c r="M153" i="2"/>
  <c r="M154" i="2"/>
  <c r="T154" i="2" s="1"/>
  <c r="M155" i="2"/>
  <c r="T155" i="2" s="1"/>
  <c r="M156" i="2"/>
  <c r="T156" i="2" s="1"/>
  <c r="M157" i="2"/>
  <c r="M158" i="2"/>
  <c r="T158" i="2" s="1"/>
  <c r="M159" i="2"/>
  <c r="T159" i="2" s="1"/>
  <c r="M160" i="2"/>
  <c r="T160" i="2" s="1"/>
  <c r="M161" i="2"/>
  <c r="M162" i="2"/>
  <c r="T162" i="2" s="1"/>
  <c r="M163" i="2"/>
  <c r="T163" i="2" s="1"/>
  <c r="M164" i="2"/>
  <c r="T164" i="2" s="1"/>
  <c r="M165" i="2"/>
  <c r="M166" i="2"/>
  <c r="T166" i="2" s="1"/>
  <c r="M167" i="2"/>
  <c r="T167" i="2" s="1"/>
  <c r="M168" i="2"/>
  <c r="T168" i="2" s="1"/>
  <c r="M169" i="2"/>
  <c r="M170" i="2"/>
  <c r="T170" i="2" s="1"/>
  <c r="M171" i="2"/>
  <c r="T171" i="2" s="1"/>
  <c r="M172" i="2"/>
  <c r="T172" i="2" s="1"/>
  <c r="M173" i="2"/>
  <c r="M174" i="2"/>
  <c r="T174" i="2" s="1"/>
  <c r="M175" i="2"/>
  <c r="T175" i="2" s="1"/>
  <c r="M176" i="2"/>
  <c r="T176" i="2" s="1"/>
  <c r="M177" i="2"/>
  <c r="M178" i="2"/>
  <c r="T178" i="2" s="1"/>
  <c r="M179" i="2"/>
  <c r="T179" i="2" s="1"/>
  <c r="M180" i="2"/>
  <c r="T180" i="2" s="1"/>
  <c r="M181" i="2"/>
  <c r="M182" i="2"/>
  <c r="T182" i="2" s="1"/>
  <c r="M183" i="2"/>
  <c r="T183" i="2" s="1"/>
  <c r="M184" i="2"/>
  <c r="T184" i="2" s="1"/>
  <c r="M185" i="2"/>
  <c r="M186" i="2"/>
  <c r="T186" i="2" s="1"/>
  <c r="M187" i="2"/>
  <c r="T187" i="2" s="1"/>
  <c r="M188" i="2"/>
  <c r="T188" i="2" s="1"/>
  <c r="M189" i="2"/>
  <c r="M190" i="2"/>
  <c r="T190" i="2" s="1"/>
  <c r="M191" i="2"/>
  <c r="T191" i="2" s="1"/>
  <c r="M192" i="2"/>
  <c r="T192" i="2" s="1"/>
  <c r="M193" i="2"/>
  <c r="M194" i="2"/>
  <c r="T194" i="2" s="1"/>
  <c r="M195" i="2"/>
  <c r="T195" i="2" s="1"/>
  <c r="M196" i="2"/>
  <c r="T196" i="2" s="1"/>
  <c r="M197" i="2"/>
  <c r="M198" i="2"/>
  <c r="T198" i="2" s="1"/>
  <c r="M199" i="2"/>
  <c r="T199" i="2" s="1"/>
  <c r="M200" i="2"/>
  <c r="T200" i="2" s="1"/>
  <c r="M201" i="2"/>
  <c r="M202" i="2"/>
  <c r="T202" i="2" s="1"/>
  <c r="M203" i="2"/>
  <c r="T203" i="2" s="1"/>
  <c r="M204" i="2"/>
  <c r="T204" i="2" s="1"/>
  <c r="M205" i="2"/>
  <c r="M206" i="2"/>
  <c r="T206" i="2" s="1"/>
  <c r="M207" i="2"/>
  <c r="T207" i="2" s="1"/>
  <c r="M208" i="2"/>
  <c r="T208" i="2" s="1"/>
  <c r="M209" i="2"/>
  <c r="M210" i="2"/>
  <c r="T210" i="2" s="1"/>
  <c r="M211" i="2"/>
  <c r="T211" i="2" s="1"/>
  <c r="M212" i="2"/>
  <c r="T212" i="2" s="1"/>
  <c r="M213" i="2"/>
  <c r="M214" i="2"/>
  <c r="T214" i="2" s="1"/>
  <c r="M215" i="2"/>
  <c r="T215" i="2" s="1"/>
  <c r="M216" i="2"/>
  <c r="T216" i="2" s="1"/>
  <c r="M217" i="2"/>
  <c r="M218" i="2"/>
  <c r="T218" i="2" s="1"/>
  <c r="M219" i="2"/>
  <c r="T219" i="2" s="1"/>
  <c r="M220" i="2"/>
  <c r="T220" i="2" s="1"/>
  <c r="M221" i="2"/>
  <c r="M222" i="2"/>
  <c r="T222" i="2" s="1"/>
  <c r="M223" i="2"/>
  <c r="T223" i="2" s="1"/>
  <c r="M224" i="2"/>
  <c r="T224" i="2" s="1"/>
  <c r="M225" i="2"/>
  <c r="M226" i="2"/>
  <c r="T226" i="2" s="1"/>
  <c r="M227" i="2"/>
  <c r="T227" i="2" s="1"/>
  <c r="M228" i="2"/>
  <c r="T228" i="2" s="1"/>
  <c r="M229" i="2"/>
  <c r="M230" i="2"/>
  <c r="T230" i="2" s="1"/>
  <c r="M231" i="2"/>
  <c r="T231" i="2" s="1"/>
  <c r="M232" i="2"/>
  <c r="T232" i="2" s="1"/>
  <c r="M233" i="2"/>
  <c r="M234" i="2"/>
  <c r="T234" i="2" s="1"/>
  <c r="M235" i="2"/>
  <c r="T235" i="2" s="1"/>
  <c r="M236" i="2"/>
  <c r="T236" i="2" s="1"/>
  <c r="M237" i="2"/>
  <c r="M238" i="2"/>
  <c r="T238" i="2" s="1"/>
  <c r="M239" i="2"/>
  <c r="T239" i="2" s="1"/>
  <c r="M240" i="2"/>
  <c r="T240" i="2" s="1"/>
  <c r="M241" i="2"/>
  <c r="M242" i="2"/>
  <c r="T242" i="2" s="1"/>
  <c r="M243" i="2"/>
  <c r="T243" i="2" s="1"/>
  <c r="M244" i="2"/>
  <c r="T244" i="2" s="1"/>
  <c r="M245" i="2"/>
  <c r="M246" i="2"/>
  <c r="T246" i="2" s="1"/>
  <c r="M247" i="2"/>
  <c r="T247" i="2" s="1"/>
  <c r="M248" i="2"/>
  <c r="T248" i="2" s="1"/>
  <c r="M249" i="2"/>
  <c r="M250" i="2"/>
  <c r="T250" i="2" s="1"/>
  <c r="M251" i="2"/>
  <c r="T251" i="2" s="1"/>
  <c r="M252" i="2"/>
  <c r="T252" i="2" s="1"/>
  <c r="M253" i="2"/>
  <c r="M254" i="2"/>
  <c r="T254" i="2" s="1"/>
  <c r="M255" i="2"/>
  <c r="T255" i="2" s="1"/>
  <c r="M256" i="2"/>
  <c r="T256" i="2" s="1"/>
  <c r="M257" i="2"/>
  <c r="M258" i="2"/>
  <c r="T258" i="2" s="1"/>
  <c r="M259" i="2"/>
  <c r="T259" i="2" s="1"/>
  <c r="M260" i="2"/>
  <c r="T260" i="2" s="1"/>
  <c r="M261" i="2"/>
  <c r="M262" i="2"/>
  <c r="T262" i="2" s="1"/>
  <c r="M263" i="2"/>
  <c r="T263" i="2" s="1"/>
  <c r="M264" i="2"/>
  <c r="T264" i="2" s="1"/>
  <c r="M265" i="2"/>
  <c r="M266" i="2"/>
  <c r="T266" i="2" s="1"/>
  <c r="M267" i="2"/>
  <c r="T267" i="2" s="1"/>
  <c r="M268" i="2"/>
  <c r="T268" i="2" s="1"/>
  <c r="M269" i="2"/>
  <c r="M270" i="2"/>
  <c r="T270" i="2" s="1"/>
  <c r="M271" i="2"/>
  <c r="T271" i="2" s="1"/>
  <c r="M272" i="2"/>
  <c r="T272" i="2" s="1"/>
  <c r="M273" i="2"/>
  <c r="M274" i="2"/>
  <c r="T274" i="2" s="1"/>
  <c r="M275" i="2"/>
  <c r="T275" i="2" s="1"/>
  <c r="M276" i="2"/>
  <c r="T276" i="2" s="1"/>
  <c r="M277" i="2"/>
  <c r="M278" i="2"/>
  <c r="T278" i="2" s="1"/>
  <c r="M279" i="2"/>
  <c r="T279" i="2" s="1"/>
  <c r="M280" i="2"/>
  <c r="T280" i="2" s="1"/>
  <c r="M281" i="2"/>
  <c r="M282" i="2"/>
  <c r="T282" i="2" s="1"/>
  <c r="M283" i="2"/>
  <c r="T283" i="2" s="1"/>
  <c r="M284" i="2"/>
  <c r="T284" i="2" s="1"/>
  <c r="M285" i="2"/>
  <c r="M286" i="2"/>
  <c r="T286" i="2" s="1"/>
  <c r="M287" i="2"/>
  <c r="T287" i="2" s="1"/>
  <c r="M288" i="2"/>
  <c r="T288" i="2" s="1"/>
  <c r="M289" i="2"/>
  <c r="M290" i="2"/>
  <c r="T290" i="2" s="1"/>
  <c r="M291" i="2"/>
  <c r="T291" i="2" s="1"/>
  <c r="M292" i="2"/>
  <c r="T292" i="2" s="1"/>
  <c r="M293" i="2"/>
  <c r="M294" i="2"/>
  <c r="T294" i="2" s="1"/>
  <c r="M295" i="2"/>
  <c r="T295" i="2" s="1"/>
  <c r="M296" i="2"/>
  <c r="T296" i="2" s="1"/>
  <c r="M297" i="2"/>
  <c r="M298" i="2"/>
  <c r="T298" i="2" s="1"/>
  <c r="M299" i="2"/>
  <c r="T299" i="2" s="1"/>
  <c r="M300" i="2"/>
  <c r="T300" i="2" s="1"/>
  <c r="M301" i="2"/>
  <c r="M302" i="2"/>
  <c r="T302" i="2" s="1"/>
  <c r="M303" i="2"/>
  <c r="T303" i="2" s="1"/>
  <c r="M304" i="2"/>
  <c r="T304" i="2" s="1"/>
  <c r="M305" i="2"/>
  <c r="M306" i="2"/>
  <c r="T306" i="2" s="1"/>
  <c r="M307" i="2"/>
  <c r="T307" i="2" s="1"/>
  <c r="M308" i="2"/>
  <c r="T308" i="2" s="1"/>
  <c r="M309" i="2"/>
  <c r="M310" i="2"/>
  <c r="T310" i="2" s="1"/>
  <c r="M311" i="2"/>
  <c r="T311" i="2" s="1"/>
  <c r="M312" i="2"/>
  <c r="T312" i="2" s="1"/>
  <c r="M313" i="2"/>
  <c r="M314" i="2"/>
  <c r="T314" i="2" s="1"/>
  <c r="M315" i="2"/>
  <c r="T315" i="2" s="1"/>
  <c r="M316" i="2"/>
  <c r="T316" i="2" s="1"/>
  <c r="M317" i="2"/>
  <c r="M318" i="2"/>
  <c r="T318" i="2" s="1"/>
  <c r="M319" i="2"/>
  <c r="T319" i="2" s="1"/>
  <c r="M320" i="2"/>
  <c r="T320" i="2" s="1"/>
  <c r="M321" i="2"/>
  <c r="M322" i="2"/>
  <c r="T322" i="2" s="1"/>
  <c r="M323" i="2"/>
  <c r="T323" i="2" s="1"/>
  <c r="M324" i="2"/>
  <c r="T324" i="2" s="1"/>
  <c r="M325" i="2"/>
  <c r="M326" i="2"/>
  <c r="T326" i="2" s="1"/>
  <c r="M327" i="2"/>
  <c r="T327" i="2" s="1"/>
  <c r="M328" i="2"/>
  <c r="T328" i="2" s="1"/>
  <c r="M329" i="2"/>
  <c r="M330" i="2"/>
  <c r="T330" i="2" s="1"/>
  <c r="M331" i="2"/>
  <c r="T331" i="2" s="1"/>
  <c r="M332" i="2"/>
  <c r="T332" i="2" s="1"/>
  <c r="M333" i="2"/>
  <c r="M334" i="2"/>
  <c r="T334" i="2" s="1"/>
  <c r="M335" i="2"/>
  <c r="T335" i="2" s="1"/>
  <c r="M336" i="2"/>
  <c r="T336" i="2" s="1"/>
  <c r="M337" i="2"/>
  <c r="M338" i="2"/>
  <c r="T338" i="2" s="1"/>
  <c r="M339" i="2"/>
  <c r="T339" i="2" s="1"/>
  <c r="M340" i="2"/>
  <c r="T340" i="2" s="1"/>
  <c r="M341" i="2"/>
  <c r="M342" i="2"/>
  <c r="T342" i="2" s="1"/>
  <c r="M343" i="2"/>
  <c r="T343" i="2" s="1"/>
  <c r="M344" i="2"/>
  <c r="T344" i="2" s="1"/>
  <c r="M345" i="2"/>
  <c r="M346" i="2"/>
  <c r="T346" i="2" s="1"/>
  <c r="M347" i="2"/>
  <c r="T347" i="2" s="1"/>
  <c r="M348" i="2"/>
  <c r="T348" i="2" s="1"/>
  <c r="M349" i="2"/>
  <c r="M350" i="2"/>
  <c r="T350" i="2" s="1"/>
  <c r="M351" i="2"/>
  <c r="T351" i="2" s="1"/>
  <c r="M352" i="2"/>
  <c r="T352" i="2" s="1"/>
  <c r="M353" i="2"/>
  <c r="M354" i="2"/>
  <c r="T354" i="2" s="1"/>
  <c r="M355" i="2"/>
  <c r="T355" i="2" s="1"/>
  <c r="M356" i="2"/>
  <c r="T356" i="2" s="1"/>
  <c r="M357" i="2"/>
  <c r="M358" i="2"/>
  <c r="T358" i="2" s="1"/>
  <c r="M359" i="2"/>
  <c r="T359" i="2" s="1"/>
  <c r="M360" i="2"/>
  <c r="T360" i="2" s="1"/>
  <c r="M361" i="2"/>
  <c r="M362" i="2"/>
  <c r="T362" i="2" s="1"/>
  <c r="M363" i="2"/>
  <c r="T363" i="2" s="1"/>
  <c r="M364" i="2"/>
  <c r="T364" i="2" s="1"/>
  <c r="M365" i="2"/>
  <c r="M366" i="2"/>
  <c r="T366" i="2" s="1"/>
  <c r="M367" i="2"/>
  <c r="T367" i="2" s="1"/>
  <c r="M368" i="2"/>
  <c r="T368" i="2" s="1"/>
  <c r="M369" i="2"/>
  <c r="M370" i="2"/>
  <c r="T370" i="2" s="1"/>
  <c r="M371" i="2"/>
  <c r="T371" i="2" s="1"/>
  <c r="M372" i="2"/>
  <c r="T372" i="2" s="1"/>
  <c r="M373" i="2"/>
  <c r="M374" i="2"/>
  <c r="T374" i="2" s="1"/>
  <c r="M375" i="2"/>
  <c r="T375" i="2" s="1"/>
  <c r="M376" i="2"/>
  <c r="T376" i="2" s="1"/>
  <c r="M377" i="2"/>
  <c r="M378" i="2"/>
  <c r="T378" i="2" s="1"/>
  <c r="M379" i="2"/>
  <c r="T379" i="2" s="1"/>
  <c r="M380" i="2"/>
  <c r="T380" i="2" s="1"/>
  <c r="M381" i="2"/>
  <c r="M382" i="2"/>
  <c r="T382" i="2" s="1"/>
  <c r="M383" i="2"/>
  <c r="T383" i="2" s="1"/>
  <c r="M384" i="2"/>
  <c r="T384" i="2" s="1"/>
  <c r="M385" i="2"/>
  <c r="M386" i="2"/>
  <c r="T386" i="2" s="1"/>
  <c r="M387" i="2"/>
  <c r="T387" i="2" s="1"/>
  <c r="M388" i="2"/>
  <c r="T388" i="2" s="1"/>
  <c r="M389" i="2"/>
  <c r="M390" i="2"/>
  <c r="T390" i="2" s="1"/>
  <c r="M391" i="2"/>
  <c r="T391" i="2" s="1"/>
  <c r="M392" i="2"/>
  <c r="T392" i="2" s="1"/>
  <c r="M393" i="2"/>
  <c r="M394" i="2"/>
  <c r="T394" i="2" s="1"/>
  <c r="M395" i="2"/>
  <c r="T395" i="2" s="1"/>
  <c r="M396" i="2"/>
  <c r="T396" i="2" s="1"/>
  <c r="M2" i="2"/>
  <c r="BA11" i="2"/>
  <c r="BA10" i="2"/>
  <c r="BA8" i="2"/>
  <c r="BA7" i="2"/>
  <c r="BA5" i="2"/>
  <c r="BA2" i="2"/>
  <c r="BA3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2" i="2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2" i="4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2" i="2"/>
  <c r="AN6" i="5" l="1"/>
  <c r="AN10" i="5"/>
  <c r="AN14" i="5"/>
  <c r="AN18" i="5"/>
  <c r="AN25" i="5"/>
  <c r="AN29" i="5"/>
  <c r="AN33" i="5"/>
  <c r="AN37" i="5"/>
  <c r="AN41" i="5"/>
  <c r="AN45" i="5"/>
  <c r="AN49" i="5"/>
  <c r="AN53" i="5"/>
  <c r="AN57" i="5"/>
  <c r="AN61" i="5"/>
  <c r="AN65" i="5"/>
  <c r="AN69" i="5"/>
  <c r="AN73" i="5"/>
  <c r="AN77" i="5"/>
  <c r="AN81" i="5"/>
  <c r="AN85" i="5"/>
  <c r="AN89" i="5"/>
  <c r="AN93" i="5"/>
  <c r="AN97" i="5"/>
  <c r="AN101" i="5"/>
  <c r="AN105" i="5"/>
  <c r="AN109" i="5"/>
  <c r="AN113" i="5"/>
  <c r="AN117" i="5"/>
  <c r="AN121" i="5"/>
  <c r="AN125" i="5"/>
  <c r="AN129" i="5"/>
  <c r="AN133" i="5"/>
  <c r="AN137" i="5"/>
  <c r="AN141" i="5"/>
  <c r="AN145" i="5"/>
  <c r="AN149" i="5"/>
  <c r="AN153" i="5"/>
  <c r="AN157" i="5"/>
  <c r="AN161" i="5"/>
  <c r="AN165" i="5"/>
  <c r="AN169" i="5"/>
  <c r="AN173" i="5"/>
  <c r="AN177" i="5"/>
  <c r="AN181" i="5"/>
  <c r="AN185" i="5"/>
  <c r="AN189" i="5"/>
  <c r="AN193" i="5"/>
  <c r="AN197" i="5"/>
  <c r="AN201" i="5"/>
  <c r="AN205" i="5"/>
  <c r="AN209" i="5"/>
  <c r="AN213" i="5"/>
  <c r="AN217" i="5"/>
  <c r="AN221" i="5"/>
  <c r="AN225" i="5"/>
  <c r="AN229" i="5"/>
  <c r="AN233" i="5"/>
  <c r="AN237" i="5"/>
  <c r="AN241" i="5"/>
  <c r="AN245" i="5"/>
  <c r="AW16" i="5"/>
  <c r="AL5" i="5"/>
  <c r="AL9" i="5"/>
  <c r="AL13" i="5"/>
  <c r="AL17" i="5"/>
  <c r="AL21" i="5"/>
  <c r="AN46" i="5"/>
  <c r="AN50" i="5"/>
  <c r="AN54" i="5"/>
  <c r="AN58" i="5"/>
  <c r="AN62" i="5"/>
  <c r="AN66" i="5"/>
  <c r="AN70" i="5"/>
  <c r="AN74" i="5"/>
  <c r="AN78" i="5"/>
  <c r="AN82" i="5"/>
  <c r="AN86" i="5"/>
  <c r="AN90" i="5"/>
  <c r="AN94" i="5"/>
  <c r="AN98" i="5"/>
  <c r="AN102" i="5"/>
  <c r="AN106" i="5"/>
  <c r="AL248" i="5"/>
  <c r="AL252" i="5"/>
  <c r="AL256" i="5"/>
  <c r="AN260" i="5"/>
  <c r="AN264" i="5"/>
  <c r="AN268" i="5"/>
  <c r="AN272" i="5"/>
  <c r="AN276" i="5"/>
  <c r="AN280" i="5"/>
  <c r="AN284" i="5"/>
  <c r="AN299" i="5"/>
  <c r="AN303" i="5"/>
  <c r="AN307" i="5"/>
  <c r="AN311" i="5"/>
  <c r="AN315" i="5"/>
  <c r="AN319" i="5"/>
  <c r="AN323" i="5"/>
  <c r="AN327" i="5"/>
  <c r="AN331" i="5"/>
  <c r="AN335" i="5"/>
  <c r="AN339" i="5"/>
  <c r="AN324" i="5"/>
  <c r="AL276" i="5"/>
  <c r="AL280" i="5"/>
  <c r="AL284" i="5"/>
  <c r="AL288" i="5"/>
  <c r="AL292" i="5"/>
  <c r="AL296" i="5"/>
  <c r="U298" i="5"/>
  <c r="AL300" i="5"/>
  <c r="U302" i="5"/>
  <c r="AL304" i="5"/>
  <c r="U306" i="5"/>
  <c r="AL308" i="5"/>
  <c r="U310" i="5"/>
  <c r="AL312" i="5"/>
  <c r="U314" i="5"/>
  <c r="AL316" i="5"/>
  <c r="U318" i="5"/>
  <c r="AL320" i="5"/>
  <c r="U322" i="5"/>
  <c r="AL324" i="5"/>
  <c r="U326" i="5"/>
  <c r="AL328" i="5"/>
  <c r="U330" i="5"/>
  <c r="AL332" i="5"/>
  <c r="U334" i="5"/>
  <c r="AL336" i="5"/>
  <c r="U338" i="5"/>
  <c r="AL340" i="5"/>
  <c r="AL344" i="5"/>
  <c r="AL348" i="5"/>
  <c r="AL352" i="5"/>
  <c r="AL356" i="5"/>
  <c r="AL360" i="5"/>
  <c r="AL364" i="5"/>
  <c r="AL368" i="5"/>
  <c r="AN370" i="5"/>
  <c r="AN386" i="5"/>
  <c r="AN394" i="5"/>
  <c r="AG398" i="5"/>
  <c r="U2" i="5"/>
  <c r="AN2" i="5"/>
  <c r="AL43" i="5"/>
  <c r="W146" i="5"/>
  <c r="W150" i="5"/>
  <c r="W154" i="5"/>
  <c r="W158" i="5"/>
  <c r="W162" i="5"/>
  <c r="W166" i="5"/>
  <c r="W170" i="5"/>
  <c r="W174" i="5"/>
  <c r="W178" i="5"/>
  <c r="W182" i="5"/>
  <c r="W186" i="5"/>
  <c r="W190" i="5"/>
  <c r="W194" i="5"/>
  <c r="W198" i="5"/>
  <c r="W202" i="5"/>
  <c r="W206" i="5"/>
  <c r="W210" i="5"/>
  <c r="W214" i="5"/>
  <c r="W218" i="5"/>
  <c r="W222" i="5"/>
  <c r="W226" i="5"/>
  <c r="W230" i="5"/>
  <c r="W234" i="5"/>
  <c r="W238" i="5"/>
  <c r="W242" i="5"/>
  <c r="W246" i="5"/>
  <c r="U249" i="5"/>
  <c r="AN249" i="5"/>
  <c r="AN3" i="5"/>
  <c r="AN7" i="5"/>
  <c r="AN11" i="5"/>
  <c r="AN15" i="5"/>
  <c r="AN19" i="5"/>
  <c r="AN22" i="5"/>
  <c r="AN26" i="5"/>
  <c r="AN30" i="5"/>
  <c r="AN34" i="5"/>
  <c r="AN38" i="5"/>
  <c r="AN42" i="5"/>
  <c r="U110" i="5"/>
  <c r="AN110" i="5"/>
  <c r="U114" i="5"/>
  <c r="AN114" i="5"/>
  <c r="U118" i="5"/>
  <c r="AN118" i="5"/>
  <c r="U122" i="5"/>
  <c r="AN122" i="5"/>
  <c r="U126" i="5"/>
  <c r="AN126" i="5"/>
  <c r="U130" i="5"/>
  <c r="AN130" i="5"/>
  <c r="U134" i="5"/>
  <c r="AN134" i="5"/>
  <c r="U138" i="5"/>
  <c r="AN138" i="5"/>
  <c r="U142" i="5"/>
  <c r="AN142" i="5"/>
  <c r="U146" i="5"/>
  <c r="AN146" i="5"/>
  <c r="U150" i="5"/>
  <c r="AN150" i="5"/>
  <c r="U154" i="5"/>
  <c r="AN154" i="5"/>
  <c r="U158" i="5"/>
  <c r="AN158" i="5"/>
  <c r="U162" i="5"/>
  <c r="AN162" i="5"/>
  <c r="U166" i="5"/>
  <c r="AN166" i="5"/>
  <c r="U170" i="5"/>
  <c r="AN170" i="5"/>
  <c r="U174" i="5"/>
  <c r="AN174" i="5"/>
  <c r="U178" i="5"/>
  <c r="AN178" i="5"/>
  <c r="U182" i="5"/>
  <c r="AN182" i="5"/>
  <c r="U186" i="5"/>
  <c r="AN186" i="5"/>
  <c r="U190" i="5"/>
  <c r="AN190" i="5"/>
  <c r="U194" i="5"/>
  <c r="AN194" i="5"/>
  <c r="U198" i="5"/>
  <c r="AN198" i="5"/>
  <c r="U202" i="5"/>
  <c r="AN202" i="5"/>
  <c r="U206" i="5"/>
  <c r="AN206" i="5"/>
  <c r="U210" i="5"/>
  <c r="AN210" i="5"/>
  <c r="U214" i="5"/>
  <c r="AN214" i="5"/>
  <c r="U218" i="5"/>
  <c r="AN218" i="5"/>
  <c r="U222" i="5"/>
  <c r="AN222" i="5"/>
  <c r="U226" i="5"/>
  <c r="AN226" i="5"/>
  <c r="U230" i="5"/>
  <c r="AN230" i="5"/>
  <c r="U234" i="5"/>
  <c r="AN234" i="5"/>
  <c r="U238" i="5"/>
  <c r="AN238" i="5"/>
  <c r="U242" i="5"/>
  <c r="AN242" i="5"/>
  <c r="U246" i="5"/>
  <c r="AN246" i="5"/>
  <c r="U250" i="5"/>
  <c r="AN250" i="5"/>
  <c r="U254" i="5"/>
  <c r="AN254" i="5"/>
  <c r="U258" i="5"/>
  <c r="AN258" i="5"/>
  <c r="U262" i="5"/>
  <c r="AN262" i="5"/>
  <c r="U266" i="5"/>
  <c r="AN266" i="5"/>
  <c r="U270" i="5"/>
  <c r="AN270" i="5"/>
  <c r="U274" i="5"/>
  <c r="AN274" i="5"/>
  <c r="U278" i="5"/>
  <c r="AN278" i="5"/>
  <c r="U282" i="5"/>
  <c r="AN282" i="5"/>
  <c r="U286" i="5"/>
  <c r="AN286" i="5"/>
  <c r="U290" i="5"/>
  <c r="AN290" i="5"/>
  <c r="U294" i="5"/>
  <c r="AN294" i="5"/>
  <c r="AN4" i="5"/>
  <c r="AN8" i="5"/>
  <c r="AN12" i="5"/>
  <c r="AN16" i="5"/>
  <c r="AN20" i="5"/>
  <c r="AN23" i="5"/>
  <c r="AN27" i="5"/>
  <c r="AN31" i="5"/>
  <c r="AN35" i="5"/>
  <c r="AN39" i="5"/>
  <c r="AN43" i="5"/>
  <c r="AN47" i="5"/>
  <c r="AN51" i="5"/>
  <c r="AN55" i="5"/>
  <c r="AN59" i="5"/>
  <c r="AN63" i="5"/>
  <c r="AN67" i="5"/>
  <c r="AN71" i="5"/>
  <c r="AN75" i="5"/>
  <c r="AN79" i="5"/>
  <c r="AN83" i="5"/>
  <c r="AN87" i="5"/>
  <c r="AN91" i="5"/>
  <c r="AN95" i="5"/>
  <c r="U99" i="5"/>
  <c r="AN99" i="5"/>
  <c r="AN103" i="5"/>
  <c r="AN107" i="5"/>
  <c r="AN111" i="5"/>
  <c r="AN115" i="5"/>
  <c r="AN119" i="5"/>
  <c r="AN123" i="5"/>
  <c r="AN127" i="5"/>
  <c r="AN131" i="5"/>
  <c r="AN135" i="5"/>
  <c r="AN139" i="5"/>
  <c r="AN143" i="5"/>
  <c r="AN147" i="5"/>
  <c r="AN151" i="5"/>
  <c r="AN155" i="5"/>
  <c r="AN159" i="5"/>
  <c r="AN163" i="5"/>
  <c r="AN167" i="5"/>
  <c r="AN171" i="5"/>
  <c r="AN175" i="5"/>
  <c r="AN179" i="5"/>
  <c r="AN183" i="5"/>
  <c r="AN187" i="5"/>
  <c r="AN191" i="5"/>
  <c r="AN195" i="5"/>
  <c r="AN199" i="5"/>
  <c r="AN203" i="5"/>
  <c r="AN207" i="5"/>
  <c r="AN211" i="5"/>
  <c r="AN215" i="5"/>
  <c r="AN219" i="5"/>
  <c r="AN223" i="5"/>
  <c r="AN227" i="5"/>
  <c r="AN231" i="5"/>
  <c r="AN235" i="5"/>
  <c r="AN239" i="5"/>
  <c r="AN243" i="5"/>
  <c r="AN247" i="5"/>
  <c r="AN251" i="5"/>
  <c r="AN255" i="5"/>
  <c r="AN259" i="5"/>
  <c r="AN263" i="5"/>
  <c r="AN267" i="5"/>
  <c r="AN271" i="5"/>
  <c r="AN275" i="5"/>
  <c r="AN279" i="5"/>
  <c r="AN283" i="5"/>
  <c r="AN287" i="5"/>
  <c r="AN291" i="5"/>
  <c r="AN295" i="5"/>
  <c r="G398" i="5"/>
  <c r="AN5" i="5"/>
  <c r="AN9" i="5"/>
  <c r="AN13" i="5"/>
  <c r="AN17" i="5"/>
  <c r="AN21" i="5"/>
  <c r="AN24" i="5"/>
  <c r="AN28" i="5"/>
  <c r="AN32" i="5"/>
  <c r="AN36" i="5"/>
  <c r="AN40" i="5"/>
  <c r="AN44" i="5"/>
  <c r="AN48" i="5"/>
  <c r="AN52" i="5"/>
  <c r="AN56" i="5"/>
  <c r="AN60" i="5"/>
  <c r="AN64" i="5"/>
  <c r="AN68" i="5"/>
  <c r="AN72" i="5"/>
  <c r="AN76" i="5"/>
  <c r="AN80" i="5"/>
  <c r="AN84" i="5"/>
  <c r="AN88" i="5"/>
  <c r="AN92" i="5"/>
  <c r="AN96" i="5"/>
  <c r="AN100" i="5"/>
  <c r="AN104" i="5"/>
  <c r="AN108" i="5"/>
  <c r="AN112" i="5"/>
  <c r="AN116" i="5"/>
  <c r="AN120" i="5"/>
  <c r="AN124" i="5"/>
  <c r="AN128" i="5"/>
  <c r="AN132" i="5"/>
  <c r="AN136" i="5"/>
  <c r="AN140" i="5"/>
  <c r="AN144" i="5"/>
  <c r="AN148" i="5"/>
  <c r="AN152" i="5"/>
  <c r="AN156" i="5"/>
  <c r="AN160" i="5"/>
  <c r="AN164" i="5"/>
  <c r="AN168" i="5"/>
  <c r="AN172" i="5"/>
  <c r="AN176" i="5"/>
  <c r="AN180" i="5"/>
  <c r="AN184" i="5"/>
  <c r="AN188" i="5"/>
  <c r="AN192" i="5"/>
  <c r="AN196" i="5"/>
  <c r="AN200" i="5"/>
  <c r="AN204" i="5"/>
  <c r="AN208" i="5"/>
  <c r="AN212" i="5"/>
  <c r="AN216" i="5"/>
  <c r="AN220" i="5"/>
  <c r="AN224" i="5"/>
  <c r="AN228" i="5"/>
  <c r="AN232" i="5"/>
  <c r="AN236" i="5"/>
  <c r="AN240" i="5"/>
  <c r="AN244" i="5"/>
  <c r="AN248" i="5"/>
  <c r="AN252" i="5"/>
  <c r="AN256" i="5"/>
  <c r="AN396" i="5"/>
  <c r="AN392" i="5"/>
  <c r="AN388" i="5"/>
  <c r="AN384" i="5"/>
  <c r="AN380" i="5"/>
  <c r="AN376" i="5"/>
  <c r="AN372" i="5"/>
  <c r="AN368" i="5"/>
  <c r="AN364" i="5"/>
  <c r="AN360" i="5"/>
  <c r="AN356" i="5"/>
  <c r="AN352" i="5"/>
  <c r="AN348" i="5"/>
  <c r="AN344" i="5"/>
  <c r="AN340" i="5"/>
  <c r="AN330" i="5"/>
  <c r="AN314" i="5"/>
  <c r="AN298" i="5"/>
  <c r="AN334" i="5"/>
  <c r="AN328" i="5"/>
  <c r="AN318" i="5"/>
  <c r="AN302" i="5"/>
  <c r="AN390" i="5"/>
  <c r="AN382" i="5"/>
  <c r="AN378" i="5"/>
  <c r="AN374" i="5"/>
  <c r="AN366" i="5"/>
  <c r="AN362" i="5"/>
  <c r="AN358" i="5"/>
  <c r="AN354" i="5"/>
  <c r="AN350" i="5"/>
  <c r="AN346" i="5"/>
  <c r="AN342" i="5"/>
  <c r="AN338" i="5"/>
  <c r="AN332" i="5"/>
  <c r="AN322" i="5"/>
  <c r="AN306" i="5"/>
  <c r="W250" i="5"/>
  <c r="U253" i="5"/>
  <c r="AN253" i="5"/>
  <c r="W254" i="5"/>
  <c r="U257" i="5"/>
  <c r="AN257" i="5"/>
  <c r="W258" i="5"/>
  <c r="U261" i="5"/>
  <c r="AN261" i="5"/>
  <c r="W262" i="5"/>
  <c r="U265" i="5"/>
  <c r="AN265" i="5"/>
  <c r="W266" i="5"/>
  <c r="U269" i="5"/>
  <c r="AN269" i="5"/>
  <c r="W270" i="5"/>
  <c r="U273" i="5"/>
  <c r="AN273" i="5"/>
  <c r="W274" i="5"/>
  <c r="U277" i="5"/>
  <c r="AN277" i="5"/>
  <c r="U281" i="5"/>
  <c r="AN281" i="5"/>
  <c r="U285" i="5"/>
  <c r="AN285" i="5"/>
  <c r="U289" i="5"/>
  <c r="AN289" i="5"/>
  <c r="U293" i="5"/>
  <c r="AN293" i="5"/>
  <c r="U297" i="5"/>
  <c r="AN297" i="5"/>
  <c r="U301" i="5"/>
  <c r="AN301" i="5"/>
  <c r="AL303" i="5"/>
  <c r="U305" i="5"/>
  <c r="AN305" i="5"/>
  <c r="AL307" i="5"/>
  <c r="U309" i="5"/>
  <c r="AN309" i="5"/>
  <c r="AL311" i="5"/>
  <c r="U313" i="5"/>
  <c r="AN313" i="5"/>
  <c r="U317" i="5"/>
  <c r="AN317" i="5"/>
  <c r="U321" i="5"/>
  <c r="AN321" i="5"/>
  <c r="U325" i="5"/>
  <c r="AN325" i="5"/>
  <c r="U329" i="5"/>
  <c r="AN329" i="5"/>
  <c r="U333" i="5"/>
  <c r="AN333" i="5"/>
  <c r="U337" i="5"/>
  <c r="AN337" i="5"/>
  <c r="V374" i="5"/>
  <c r="AL375" i="5"/>
  <c r="V378" i="5"/>
  <c r="AL379" i="5"/>
  <c r="V382" i="5"/>
  <c r="AL383" i="5"/>
  <c r="AL387" i="5"/>
  <c r="V390" i="5"/>
  <c r="AL391" i="5"/>
  <c r="V394" i="5"/>
  <c r="AN393" i="5"/>
  <c r="AN389" i="5"/>
  <c r="AN385" i="5"/>
  <c r="AN381" i="5"/>
  <c r="AN377" i="5"/>
  <c r="AN373" i="5"/>
  <c r="AN369" i="5"/>
  <c r="AN365" i="5"/>
  <c r="AN361" i="5"/>
  <c r="AN357" i="5"/>
  <c r="AN353" i="5"/>
  <c r="AN349" i="5"/>
  <c r="AN345" i="5"/>
  <c r="AN341" i="5"/>
  <c r="AN336" i="5"/>
  <c r="AN326" i="5"/>
  <c r="AN310" i="5"/>
  <c r="AL47" i="5"/>
  <c r="AL51" i="5"/>
  <c r="AL55" i="5"/>
  <c r="AL59" i="5"/>
  <c r="AL63" i="5"/>
  <c r="AL67" i="5"/>
  <c r="AL71" i="5"/>
  <c r="AL75" i="5"/>
  <c r="AL79" i="5"/>
  <c r="AL83" i="5"/>
  <c r="AL87" i="5"/>
  <c r="AL91" i="5"/>
  <c r="AL95" i="5"/>
  <c r="AL99" i="5"/>
  <c r="AL103" i="5"/>
  <c r="AL107" i="5"/>
  <c r="AL111" i="5"/>
  <c r="AL115" i="5"/>
  <c r="AL119" i="5"/>
  <c r="W6" i="5"/>
  <c r="W10" i="5"/>
  <c r="W14" i="5"/>
  <c r="W18" i="5"/>
  <c r="AL22" i="5"/>
  <c r="W25" i="5"/>
  <c r="AL26" i="5"/>
  <c r="W29" i="5"/>
  <c r="AL30" i="5"/>
  <c r="W33" i="5"/>
  <c r="AL34" i="5"/>
  <c r="W37" i="5"/>
  <c r="AL38" i="5"/>
  <c r="W41" i="5"/>
  <c r="AL42" i="5"/>
  <c r="W45" i="5"/>
  <c r="AL46" i="5"/>
  <c r="W49" i="5"/>
  <c r="AL50" i="5"/>
  <c r="W53" i="5"/>
  <c r="AL54" i="5"/>
  <c r="W57" i="5"/>
  <c r="AL58" i="5"/>
  <c r="W61" i="5"/>
  <c r="AL62" i="5"/>
  <c r="W65" i="5"/>
  <c r="AL66" i="5"/>
  <c r="W69" i="5"/>
  <c r="AL70" i="5"/>
  <c r="W73" i="5"/>
  <c r="AL74" i="5"/>
  <c r="W77" i="5"/>
  <c r="AL78" i="5"/>
  <c r="AL123" i="5"/>
  <c r="AL127" i="5"/>
  <c r="AL131" i="5"/>
  <c r="AL135" i="5"/>
  <c r="AL139" i="5"/>
  <c r="AL143" i="5"/>
  <c r="AL147" i="5"/>
  <c r="AL151" i="5"/>
  <c r="AL155" i="5"/>
  <c r="AL159" i="5"/>
  <c r="AL163" i="5"/>
  <c r="AL167" i="5"/>
  <c r="AL171" i="5"/>
  <c r="AL175" i="5"/>
  <c r="AL179" i="5"/>
  <c r="AL183" i="5"/>
  <c r="AL187" i="5"/>
  <c r="AL191" i="5"/>
  <c r="AL195" i="5"/>
  <c r="AL199" i="5"/>
  <c r="AL203" i="5"/>
  <c r="AL207" i="5"/>
  <c r="AL211" i="5"/>
  <c r="AL215" i="5"/>
  <c r="AL219" i="5"/>
  <c r="AL223" i="5"/>
  <c r="AL227" i="5"/>
  <c r="AL231" i="5"/>
  <c r="AL235" i="5"/>
  <c r="AL239" i="5"/>
  <c r="AL243" i="5"/>
  <c r="AL247" i="5"/>
  <c r="AL251" i="5"/>
  <c r="AL255" i="5"/>
  <c r="AL259" i="5"/>
  <c r="AL109" i="5"/>
  <c r="T138" i="5"/>
  <c r="T226" i="5"/>
  <c r="W81" i="5"/>
  <c r="AL82" i="5"/>
  <c r="W85" i="5"/>
  <c r="AL86" i="5"/>
  <c r="W89" i="5"/>
  <c r="AL90" i="5"/>
  <c r="W93" i="5"/>
  <c r="AL94" i="5"/>
  <c r="W97" i="5"/>
  <c r="AL98" i="5"/>
  <c r="W101" i="5"/>
  <c r="AL102" i="5"/>
  <c r="W105" i="5"/>
  <c r="AL106" i="5"/>
  <c r="W109" i="5"/>
  <c r="AL110" i="5"/>
  <c r="W113" i="5"/>
  <c r="AL114" i="5"/>
  <c r="W117" i="5"/>
  <c r="AL118" i="5"/>
  <c r="W121" i="5"/>
  <c r="AL122" i="5"/>
  <c r="W125" i="5"/>
  <c r="AL126" i="5"/>
  <c r="W129" i="5"/>
  <c r="AL130" i="5"/>
  <c r="W133" i="5"/>
  <c r="AL134" i="5"/>
  <c r="W137" i="5"/>
  <c r="AL138" i="5"/>
  <c r="W141" i="5"/>
  <c r="AL142" i="5"/>
  <c r="W145" i="5"/>
  <c r="AL146" i="5"/>
  <c r="W149" i="5"/>
  <c r="AL150" i="5"/>
  <c r="W153" i="5"/>
  <c r="AL154" i="5"/>
  <c r="W157" i="5"/>
  <c r="AL158" i="5"/>
  <c r="W161" i="5"/>
  <c r="AL162" i="5"/>
  <c r="W165" i="5"/>
  <c r="AL166" i="5"/>
  <c r="W169" i="5"/>
  <c r="AL170" i="5"/>
  <c r="W173" i="5"/>
  <c r="AL174" i="5"/>
  <c r="W177" i="5"/>
  <c r="AL178" i="5"/>
  <c r="W181" i="5"/>
  <c r="AL182" i="5"/>
  <c r="W185" i="5"/>
  <c r="AL186" i="5"/>
  <c r="W189" i="5"/>
  <c r="AL190" i="5"/>
  <c r="W193" i="5"/>
  <c r="AL194" i="5"/>
  <c r="W197" i="5"/>
  <c r="AL198" i="5"/>
  <c r="W201" i="5"/>
  <c r="AL202" i="5"/>
  <c r="W205" i="5"/>
  <c r="AL206" i="5"/>
  <c r="W209" i="5"/>
  <c r="AL210" i="5"/>
  <c r="W213" i="5"/>
  <c r="AL214" i="5"/>
  <c r="W217" i="5"/>
  <c r="AL218" i="5"/>
  <c r="W221" i="5"/>
  <c r="AL222" i="5"/>
  <c r="W225" i="5"/>
  <c r="AL226" i="5"/>
  <c r="W229" i="5"/>
  <c r="AL230" i="5"/>
  <c r="W233" i="5"/>
  <c r="AL234" i="5"/>
  <c r="W237" i="5"/>
  <c r="AL238" i="5"/>
  <c r="W241" i="5"/>
  <c r="AL242" i="5"/>
  <c r="W245" i="5"/>
  <c r="AL246" i="5"/>
  <c r="W249" i="5"/>
  <c r="AL273" i="5"/>
  <c r="AL277" i="5"/>
  <c r="AL281" i="5"/>
  <c r="AL285" i="5"/>
  <c r="AL289" i="5"/>
  <c r="AL293" i="5"/>
  <c r="AL297" i="5"/>
  <c r="AL301" i="5"/>
  <c r="AL305" i="5"/>
  <c r="AL309" i="5"/>
  <c r="AL313" i="5"/>
  <c r="AL317" i="5"/>
  <c r="AL321" i="5"/>
  <c r="AL325" i="5"/>
  <c r="AL329" i="5"/>
  <c r="AL333" i="5"/>
  <c r="AL337" i="5"/>
  <c r="AL341" i="5"/>
  <c r="AL345" i="5"/>
  <c r="AL349" i="5"/>
  <c r="AL353" i="5"/>
  <c r="AL357" i="5"/>
  <c r="AL361" i="5"/>
  <c r="AL365" i="5"/>
  <c r="AL369" i="5"/>
  <c r="AL372" i="5"/>
  <c r="AL373" i="5"/>
  <c r="AL376" i="5"/>
  <c r="AL377" i="5"/>
  <c r="AL380" i="5"/>
  <c r="AL381" i="5"/>
  <c r="AL384" i="5"/>
  <c r="AL385" i="5"/>
  <c r="AL388" i="5"/>
  <c r="AL389" i="5"/>
  <c r="AL392" i="5"/>
  <c r="AL395" i="5"/>
  <c r="AL250" i="5"/>
  <c r="W253" i="5"/>
  <c r="AL254" i="5"/>
  <c r="W257" i="5"/>
  <c r="AL258" i="5"/>
  <c r="W261" i="5"/>
  <c r="AL262" i="5"/>
  <c r="W265" i="5"/>
  <c r="AL266" i="5"/>
  <c r="W269" i="5"/>
  <c r="AL270" i="5"/>
  <c r="W273" i="5"/>
  <c r="AL274" i="5"/>
  <c r="W277" i="5"/>
  <c r="AL278" i="5"/>
  <c r="W281" i="5"/>
  <c r="AL282" i="5"/>
  <c r="W285" i="5"/>
  <c r="AL286" i="5"/>
  <c r="W289" i="5"/>
  <c r="AL290" i="5"/>
  <c r="W293" i="5"/>
  <c r="AL294" i="5"/>
  <c r="W297" i="5"/>
  <c r="AL298" i="5"/>
  <c r="W301" i="5"/>
  <c r="AL302" i="5"/>
  <c r="W305" i="5"/>
  <c r="AL306" i="5"/>
  <c r="W309" i="5"/>
  <c r="AL310" i="5"/>
  <c r="W313" i="5"/>
  <c r="AL314" i="5"/>
  <c r="W317" i="5"/>
  <c r="AL318" i="5"/>
  <c r="W321" i="5"/>
  <c r="AL322" i="5"/>
  <c r="W325" i="5"/>
  <c r="AL326" i="5"/>
  <c r="W329" i="5"/>
  <c r="AL330" i="5"/>
  <c r="W333" i="5"/>
  <c r="AL334" i="5"/>
  <c r="W337" i="5"/>
  <c r="AL338" i="5"/>
  <c r="W341" i="5"/>
  <c r="AL342" i="5"/>
  <c r="W345" i="5"/>
  <c r="AL346" i="5"/>
  <c r="W349" i="5"/>
  <c r="AL350" i="5"/>
  <c r="W353" i="5"/>
  <c r="AL354" i="5"/>
  <c r="W355" i="5"/>
  <c r="W357" i="5"/>
  <c r="AL358" i="5"/>
  <c r="W359" i="5"/>
  <c r="W361" i="5"/>
  <c r="AL362" i="5"/>
  <c r="W363" i="5"/>
  <c r="W365" i="5"/>
  <c r="AL366" i="5"/>
  <c r="W367" i="5"/>
  <c r="W369" i="5"/>
  <c r="AL370" i="5"/>
  <c r="W371" i="5"/>
  <c r="W373" i="5"/>
  <c r="AL374" i="5"/>
  <c r="W375" i="5"/>
  <c r="W377" i="5"/>
  <c r="AL378" i="5"/>
  <c r="W379" i="5"/>
  <c r="W381" i="5"/>
  <c r="AL382" i="5"/>
  <c r="W383" i="5"/>
  <c r="W385" i="5"/>
  <c r="AL386" i="5"/>
  <c r="W387" i="5"/>
  <c r="W389" i="5"/>
  <c r="AL390" i="5"/>
  <c r="W391" i="5"/>
  <c r="W393" i="5"/>
  <c r="AL394" i="5"/>
  <c r="W395" i="5"/>
  <c r="W396" i="5"/>
  <c r="AL263" i="5"/>
  <c r="AL267" i="5"/>
  <c r="AL271" i="5"/>
  <c r="AL275" i="5"/>
  <c r="AL279" i="5"/>
  <c r="AL283" i="5"/>
  <c r="AL287" i="5"/>
  <c r="AL291" i="5"/>
  <c r="AL295" i="5"/>
  <c r="AL299" i="5"/>
  <c r="AI398" i="5"/>
  <c r="AL2" i="5"/>
  <c r="AW9" i="5"/>
  <c r="AK398" i="5"/>
  <c r="AL3" i="5"/>
  <c r="AL7" i="5"/>
  <c r="AL11" i="5"/>
  <c r="AL15" i="5"/>
  <c r="AL19" i="5"/>
  <c r="AL24" i="5"/>
  <c r="AL28" i="5"/>
  <c r="AL32" i="5"/>
  <c r="AL36" i="5"/>
  <c r="AL40" i="5"/>
  <c r="AL44" i="5"/>
  <c r="AL48" i="5"/>
  <c r="AL52" i="5"/>
  <c r="AL56" i="5"/>
  <c r="AL60" i="5"/>
  <c r="AL64" i="5"/>
  <c r="AL68" i="5"/>
  <c r="AL72" i="5"/>
  <c r="AL76" i="5"/>
  <c r="AL80" i="5"/>
  <c r="AL84" i="5"/>
  <c r="AL88" i="5"/>
  <c r="AL92" i="5"/>
  <c r="AL96" i="5"/>
  <c r="AL100" i="5"/>
  <c r="AL104" i="5"/>
  <c r="AL108" i="5"/>
  <c r="AL112" i="5"/>
  <c r="AL116" i="5"/>
  <c r="AL120" i="5"/>
  <c r="AL124" i="5"/>
  <c r="AL128" i="5"/>
  <c r="AL132" i="5"/>
  <c r="AL136" i="5"/>
  <c r="AL140" i="5"/>
  <c r="AL144" i="5"/>
  <c r="AL148" i="5"/>
  <c r="AL152" i="5"/>
  <c r="AL156" i="5"/>
  <c r="AL160" i="5"/>
  <c r="AL164" i="5"/>
  <c r="AL168" i="5"/>
  <c r="AL172" i="5"/>
  <c r="AL176" i="5"/>
  <c r="AL180" i="5"/>
  <c r="AL184" i="5"/>
  <c r="AL188" i="5"/>
  <c r="AL192" i="5"/>
  <c r="AL196" i="5"/>
  <c r="AL200" i="5"/>
  <c r="AL204" i="5"/>
  <c r="AL208" i="5"/>
  <c r="AL212" i="5"/>
  <c r="AL216" i="5"/>
  <c r="AL220" i="5"/>
  <c r="AL224" i="5"/>
  <c r="AL228" i="5"/>
  <c r="AL232" i="5"/>
  <c r="AL236" i="5"/>
  <c r="AL240" i="5"/>
  <c r="AL244" i="5"/>
  <c r="AL260" i="5"/>
  <c r="AL264" i="5"/>
  <c r="AL268" i="5"/>
  <c r="AL272" i="5"/>
  <c r="W5" i="5"/>
  <c r="W9" i="5"/>
  <c r="W13" i="5"/>
  <c r="W17" i="5"/>
  <c r="W21" i="5"/>
  <c r="W24" i="5"/>
  <c r="W28" i="5"/>
  <c r="W32" i="5"/>
  <c r="W36" i="5"/>
  <c r="W40" i="5"/>
  <c r="W44" i="5"/>
  <c r="W48" i="5"/>
  <c r="W52" i="5"/>
  <c r="W56" i="5"/>
  <c r="W60" i="5"/>
  <c r="W64" i="5"/>
  <c r="W68" i="5"/>
  <c r="W72" i="5"/>
  <c r="W76" i="5"/>
  <c r="W80" i="5"/>
  <c r="W84" i="5"/>
  <c r="W88" i="5"/>
  <c r="W92" i="5"/>
  <c r="W96" i="5"/>
  <c r="W100" i="5"/>
  <c r="W104" i="5"/>
  <c r="W108" i="5"/>
  <c r="W112" i="5"/>
  <c r="W116" i="5"/>
  <c r="W120" i="5"/>
  <c r="W124" i="5"/>
  <c r="W128" i="5"/>
  <c r="W132" i="5"/>
  <c r="W136" i="5"/>
  <c r="W140" i="5"/>
  <c r="W144" i="5"/>
  <c r="W148" i="5"/>
  <c r="W152" i="5"/>
  <c r="W156" i="5"/>
  <c r="W160" i="5"/>
  <c r="W164" i="5"/>
  <c r="W168" i="5"/>
  <c r="W172" i="5"/>
  <c r="W176" i="5"/>
  <c r="W180" i="5"/>
  <c r="W184" i="5"/>
  <c r="W188" i="5"/>
  <c r="W192" i="5"/>
  <c r="W196" i="5"/>
  <c r="W200" i="5"/>
  <c r="W204" i="5"/>
  <c r="W208" i="5"/>
  <c r="W212" i="5"/>
  <c r="W216" i="5"/>
  <c r="W220" i="5"/>
  <c r="W224" i="5"/>
  <c r="W228" i="5"/>
  <c r="W232" i="5"/>
  <c r="W236" i="5"/>
  <c r="W240" i="5"/>
  <c r="W244" i="5"/>
  <c r="W248" i="5"/>
  <c r="W252" i="5"/>
  <c r="W256" i="5"/>
  <c r="W260" i="5"/>
  <c r="W264" i="5"/>
  <c r="W268" i="5"/>
  <c r="W272" i="5"/>
  <c r="W276" i="5"/>
  <c r="W280" i="5"/>
  <c r="W284" i="5"/>
  <c r="W288" i="5"/>
  <c r="W292" i="5"/>
  <c r="W296" i="5"/>
  <c r="W300" i="5"/>
  <c r="W304" i="5"/>
  <c r="W308" i="5"/>
  <c r="W312" i="5"/>
  <c r="W316" i="5"/>
  <c r="W320" i="5"/>
  <c r="W324" i="5"/>
  <c r="W328" i="5"/>
  <c r="W332" i="5"/>
  <c r="W336" i="5"/>
  <c r="W340" i="5"/>
  <c r="W344" i="5"/>
  <c r="W348" i="5"/>
  <c r="W352" i="5"/>
  <c r="W356" i="5"/>
  <c r="W360" i="5"/>
  <c r="W364" i="5"/>
  <c r="W368" i="5"/>
  <c r="W372" i="5"/>
  <c r="W376" i="5"/>
  <c r="W380" i="5"/>
  <c r="W384" i="5"/>
  <c r="W388" i="5"/>
  <c r="W392" i="5"/>
  <c r="V252" i="5"/>
  <c r="V268" i="5"/>
  <c r="V284" i="5"/>
  <c r="V300" i="5"/>
  <c r="V316" i="5"/>
  <c r="W327" i="5"/>
  <c r="W331" i="5"/>
  <c r="W335" i="5"/>
  <c r="W339" i="5"/>
  <c r="W343" i="5"/>
  <c r="W347" i="5"/>
  <c r="W351" i="5"/>
  <c r="AW4" i="5"/>
  <c r="W2" i="5"/>
  <c r="AW5" i="5"/>
  <c r="AW10" i="5"/>
  <c r="AV10" i="5"/>
  <c r="AV8" i="5"/>
  <c r="AW8" i="5"/>
  <c r="W4" i="5"/>
  <c r="W8" i="5"/>
  <c r="W12" i="5"/>
  <c r="W16" i="5"/>
  <c r="W20" i="5"/>
  <c r="V388" i="5"/>
  <c r="V392" i="5"/>
  <c r="W3" i="5"/>
  <c r="W7" i="5"/>
  <c r="W11" i="5"/>
  <c r="W15" i="5"/>
  <c r="W19" i="5"/>
  <c r="AW6" i="5"/>
  <c r="AW7" i="5"/>
  <c r="AV7" i="5"/>
  <c r="W23" i="5"/>
  <c r="W27" i="5"/>
  <c r="W31" i="5"/>
  <c r="W35" i="5"/>
  <c r="W39" i="5"/>
  <c r="W43" i="5"/>
  <c r="W47" i="5"/>
  <c r="W51" i="5"/>
  <c r="W55" i="5"/>
  <c r="W59" i="5"/>
  <c r="W63" i="5"/>
  <c r="W67" i="5"/>
  <c r="W71" i="5"/>
  <c r="W75" i="5"/>
  <c r="W79" i="5"/>
  <c r="W83" i="5"/>
  <c r="W87" i="5"/>
  <c r="W91" i="5"/>
  <c r="W95" i="5"/>
  <c r="W99" i="5"/>
  <c r="W103" i="5"/>
  <c r="W107" i="5"/>
  <c r="W111" i="5"/>
  <c r="W115" i="5"/>
  <c r="W119" i="5"/>
  <c r="W123" i="5"/>
  <c r="W127" i="5"/>
  <c r="W131" i="5"/>
  <c r="W135" i="5"/>
  <c r="W139" i="5"/>
  <c r="W143" i="5"/>
  <c r="W147" i="5"/>
  <c r="W151" i="5"/>
  <c r="W155" i="5"/>
  <c r="W159" i="5"/>
  <c r="W163" i="5"/>
  <c r="W167" i="5"/>
  <c r="W171" i="5"/>
  <c r="W175" i="5"/>
  <c r="W179" i="5"/>
  <c r="W183" i="5"/>
  <c r="W187" i="5"/>
  <c r="W191" i="5"/>
  <c r="W195" i="5"/>
  <c r="W199" i="5"/>
  <c r="W203" i="5"/>
  <c r="W207" i="5"/>
  <c r="W211" i="5"/>
  <c r="W215" i="5"/>
  <c r="W219" i="5"/>
  <c r="W223" i="5"/>
  <c r="W227" i="5"/>
  <c r="W231" i="5"/>
  <c r="W235" i="5"/>
  <c r="W239" i="5"/>
  <c r="W243" i="5"/>
  <c r="W247" i="5"/>
  <c r="W251" i="5"/>
  <c r="W255" i="5"/>
  <c r="W259" i="5"/>
  <c r="W263" i="5"/>
  <c r="W267" i="5"/>
  <c r="W271" i="5"/>
  <c r="W275" i="5"/>
  <c r="W279" i="5"/>
  <c r="W283" i="5"/>
  <c r="W287" i="5"/>
  <c r="W291" i="5"/>
  <c r="W295" i="5"/>
  <c r="W299" i="5"/>
  <c r="W303" i="5"/>
  <c r="W307" i="5"/>
  <c r="W311" i="5"/>
  <c r="W315" i="5"/>
  <c r="W319" i="5"/>
  <c r="W323" i="5"/>
  <c r="U5" i="5"/>
  <c r="V5" i="5"/>
  <c r="U9" i="5"/>
  <c r="V9" i="5"/>
  <c r="T13" i="5"/>
  <c r="U13" i="5"/>
  <c r="V13" i="5"/>
  <c r="U17" i="5"/>
  <c r="V17" i="5"/>
  <c r="U21" i="5"/>
  <c r="V21" i="5"/>
  <c r="V24" i="5"/>
  <c r="U24" i="5"/>
  <c r="U28" i="5"/>
  <c r="V28" i="5"/>
  <c r="V32" i="5"/>
  <c r="U32" i="5"/>
  <c r="U36" i="5"/>
  <c r="V36" i="5"/>
  <c r="V40" i="5"/>
  <c r="U40" i="5"/>
  <c r="U44" i="5"/>
  <c r="V44" i="5"/>
  <c r="V48" i="5"/>
  <c r="U48" i="5"/>
  <c r="U52" i="5"/>
  <c r="V52" i="5"/>
  <c r="V56" i="5"/>
  <c r="U56" i="5"/>
  <c r="U60" i="5"/>
  <c r="V60" i="5"/>
  <c r="V64" i="5"/>
  <c r="U64" i="5"/>
  <c r="U68" i="5"/>
  <c r="V68" i="5"/>
  <c r="V72" i="5"/>
  <c r="U72" i="5"/>
  <c r="U76" i="5"/>
  <c r="V76" i="5"/>
  <c r="V80" i="5"/>
  <c r="U80" i="5"/>
  <c r="U84" i="5"/>
  <c r="V84" i="5"/>
  <c r="V88" i="5"/>
  <c r="U88" i="5"/>
  <c r="U92" i="5"/>
  <c r="V92" i="5"/>
  <c r="V96" i="5"/>
  <c r="U96" i="5"/>
  <c r="U100" i="5"/>
  <c r="V100" i="5"/>
  <c r="V104" i="5"/>
  <c r="U104" i="5"/>
  <c r="U108" i="5"/>
  <c r="V108" i="5"/>
  <c r="V112" i="5"/>
  <c r="U112" i="5"/>
  <c r="U116" i="5"/>
  <c r="V116" i="5"/>
  <c r="U120" i="5"/>
  <c r="V120" i="5"/>
  <c r="U124" i="5"/>
  <c r="V124" i="5"/>
  <c r="V128" i="5"/>
  <c r="U128" i="5"/>
  <c r="T130" i="5"/>
  <c r="U131" i="5"/>
  <c r="V131" i="5"/>
  <c r="U135" i="5"/>
  <c r="V135" i="5"/>
  <c r="U139" i="5"/>
  <c r="V139" i="5"/>
  <c r="U143" i="5"/>
  <c r="V143" i="5"/>
  <c r="U147" i="5"/>
  <c r="V147" i="5"/>
  <c r="U151" i="5"/>
  <c r="V151" i="5"/>
  <c r="U155" i="5"/>
  <c r="V155" i="5"/>
  <c r="U159" i="5"/>
  <c r="V159" i="5"/>
  <c r="U163" i="5"/>
  <c r="V163" i="5"/>
  <c r="U167" i="5"/>
  <c r="V167" i="5"/>
  <c r="U171" i="5"/>
  <c r="V171" i="5"/>
  <c r="U175" i="5"/>
  <c r="V175" i="5"/>
  <c r="U179" i="5"/>
  <c r="V179" i="5"/>
  <c r="U183" i="5"/>
  <c r="V183" i="5"/>
  <c r="U187" i="5"/>
  <c r="V187" i="5"/>
  <c r="U191" i="5"/>
  <c r="V191" i="5"/>
  <c r="U195" i="5"/>
  <c r="V195" i="5"/>
  <c r="U199" i="5"/>
  <c r="V199" i="5"/>
  <c r="U203" i="5"/>
  <c r="V203" i="5"/>
  <c r="U207" i="5"/>
  <c r="V207" i="5"/>
  <c r="U211" i="5"/>
  <c r="V211" i="5"/>
  <c r="U215" i="5"/>
  <c r="V215" i="5"/>
  <c r="U219" i="5"/>
  <c r="V219" i="5"/>
  <c r="U223" i="5"/>
  <c r="V223" i="5"/>
  <c r="U227" i="5"/>
  <c r="V227" i="5"/>
  <c r="U231" i="5"/>
  <c r="V231" i="5"/>
  <c r="U235" i="5"/>
  <c r="V235" i="5"/>
  <c r="U239" i="5"/>
  <c r="V239" i="5"/>
  <c r="U243" i="5"/>
  <c r="V243" i="5"/>
  <c r="U247" i="5"/>
  <c r="V247" i="5"/>
  <c r="U251" i="5"/>
  <c r="V251" i="5"/>
  <c r="U255" i="5"/>
  <c r="V255" i="5"/>
  <c r="U259" i="5"/>
  <c r="V259" i="5"/>
  <c r="U263" i="5"/>
  <c r="V263" i="5"/>
  <c r="U267" i="5"/>
  <c r="V267" i="5"/>
  <c r="U271" i="5"/>
  <c r="V271" i="5"/>
  <c r="U275" i="5"/>
  <c r="V275" i="5"/>
  <c r="U279" i="5"/>
  <c r="V279" i="5"/>
  <c r="U283" i="5"/>
  <c r="V283" i="5"/>
  <c r="U287" i="5"/>
  <c r="V287" i="5"/>
  <c r="U291" i="5"/>
  <c r="V291" i="5"/>
  <c r="U295" i="5"/>
  <c r="V295" i="5"/>
  <c r="U299" i="5"/>
  <c r="V299" i="5"/>
  <c r="U303" i="5"/>
  <c r="V303" i="5"/>
  <c r="U307" i="5"/>
  <c r="V307" i="5"/>
  <c r="U311" i="5"/>
  <c r="V311" i="5"/>
  <c r="U315" i="5"/>
  <c r="V315" i="5"/>
  <c r="U319" i="5"/>
  <c r="V319" i="5"/>
  <c r="U323" i="5"/>
  <c r="V323" i="5"/>
  <c r="T327" i="5"/>
  <c r="U327" i="5"/>
  <c r="V327" i="5"/>
  <c r="T331" i="5"/>
  <c r="V331" i="5"/>
  <c r="U331" i="5"/>
  <c r="T335" i="5"/>
  <c r="U335" i="5"/>
  <c r="V335" i="5"/>
  <c r="T339" i="5"/>
  <c r="U339" i="5"/>
  <c r="V339" i="5"/>
  <c r="T343" i="5"/>
  <c r="U343" i="5"/>
  <c r="V343" i="5"/>
  <c r="T347" i="5"/>
  <c r="U347" i="5"/>
  <c r="V347" i="5"/>
  <c r="T351" i="5"/>
  <c r="U351" i="5"/>
  <c r="V351" i="5"/>
  <c r="T355" i="5"/>
  <c r="U355" i="5"/>
  <c r="V355" i="5"/>
  <c r="T359" i="5"/>
  <c r="U359" i="5"/>
  <c r="V359" i="5"/>
  <c r="T363" i="5"/>
  <c r="U363" i="5"/>
  <c r="V363" i="5"/>
  <c r="U367" i="5"/>
  <c r="V367" i="5"/>
  <c r="U371" i="5"/>
  <c r="V371" i="5"/>
  <c r="T375" i="5"/>
  <c r="U375" i="5"/>
  <c r="V375" i="5"/>
  <c r="T379" i="5"/>
  <c r="U379" i="5"/>
  <c r="V379" i="5"/>
  <c r="T383" i="5"/>
  <c r="U383" i="5"/>
  <c r="V383" i="5"/>
  <c r="T387" i="5"/>
  <c r="U387" i="5"/>
  <c r="V387" i="5"/>
  <c r="T391" i="5"/>
  <c r="U391" i="5"/>
  <c r="V391" i="5"/>
  <c r="U395" i="5"/>
  <c r="V395" i="5"/>
  <c r="V396" i="5"/>
  <c r="V385" i="5"/>
  <c r="V380" i="5"/>
  <c r="V369" i="5"/>
  <c r="V364" i="5"/>
  <c r="V358" i="5"/>
  <c r="V353" i="5"/>
  <c r="V348" i="5"/>
  <c r="V342" i="5"/>
  <c r="V337" i="5"/>
  <c r="V332" i="5"/>
  <c r="V326" i="5"/>
  <c r="V321" i="5"/>
  <c r="V310" i="5"/>
  <c r="V305" i="5"/>
  <c r="V294" i="5"/>
  <c r="V289" i="5"/>
  <c r="V278" i="5"/>
  <c r="V273" i="5"/>
  <c r="V262" i="5"/>
  <c r="V257" i="5"/>
  <c r="V242" i="5"/>
  <c r="V226" i="5"/>
  <c r="V210" i="5"/>
  <c r="V194" i="5"/>
  <c r="V178" i="5"/>
  <c r="V162" i="5"/>
  <c r="V146" i="5"/>
  <c r="V130" i="5"/>
  <c r="V114" i="5"/>
  <c r="U3" i="5"/>
  <c r="V3" i="5"/>
  <c r="U6" i="5"/>
  <c r="V6" i="5"/>
  <c r="U10" i="5"/>
  <c r="V10" i="5"/>
  <c r="U14" i="5"/>
  <c r="V14" i="5"/>
  <c r="U18" i="5"/>
  <c r="V18" i="5"/>
  <c r="U25" i="5"/>
  <c r="V25" i="5"/>
  <c r="U29" i="5"/>
  <c r="V29" i="5"/>
  <c r="V33" i="5"/>
  <c r="U33" i="5"/>
  <c r="U37" i="5"/>
  <c r="V37" i="5"/>
  <c r="U41" i="5"/>
  <c r="V41" i="5"/>
  <c r="U45" i="5"/>
  <c r="V45" i="5"/>
  <c r="U49" i="5"/>
  <c r="V49" i="5"/>
  <c r="U53" i="5"/>
  <c r="V53" i="5"/>
  <c r="U57" i="5"/>
  <c r="V57" i="5"/>
  <c r="U61" i="5"/>
  <c r="V61" i="5"/>
  <c r="V65" i="5"/>
  <c r="U65" i="5"/>
  <c r="U69" i="5"/>
  <c r="V69" i="5"/>
  <c r="U73" i="5"/>
  <c r="V73" i="5"/>
  <c r="U77" i="5"/>
  <c r="V77" i="5"/>
  <c r="U81" i="5"/>
  <c r="V81" i="5"/>
  <c r="U85" i="5"/>
  <c r="V85" i="5"/>
  <c r="U89" i="5"/>
  <c r="V89" i="5"/>
  <c r="U93" i="5"/>
  <c r="V93" i="5"/>
  <c r="U97" i="5"/>
  <c r="V97" i="5"/>
  <c r="U101" i="5"/>
  <c r="V101" i="5"/>
  <c r="T105" i="5"/>
  <c r="U105" i="5"/>
  <c r="U109" i="5"/>
  <c r="V109" i="5"/>
  <c r="U113" i="5"/>
  <c r="V113" i="5"/>
  <c r="U117" i="5"/>
  <c r="V117" i="5"/>
  <c r="T121" i="5"/>
  <c r="U121" i="5"/>
  <c r="V121" i="5"/>
  <c r="U125" i="5"/>
  <c r="V125" i="5"/>
  <c r="T129" i="5"/>
  <c r="U129" i="5"/>
  <c r="V129" i="5"/>
  <c r="U132" i="5"/>
  <c r="V132" i="5"/>
  <c r="U136" i="5"/>
  <c r="V136" i="5"/>
  <c r="U140" i="5"/>
  <c r="V140" i="5"/>
  <c r="V144" i="5"/>
  <c r="U144" i="5"/>
  <c r="U148" i="5"/>
  <c r="V148" i="5"/>
  <c r="U152" i="5"/>
  <c r="V152" i="5"/>
  <c r="U156" i="5"/>
  <c r="V156" i="5"/>
  <c r="V160" i="5"/>
  <c r="U160" i="5"/>
  <c r="U164" i="5"/>
  <c r="V164" i="5"/>
  <c r="U168" i="5"/>
  <c r="V168" i="5"/>
  <c r="U172" i="5"/>
  <c r="V172" i="5"/>
  <c r="V176" i="5"/>
  <c r="U176" i="5"/>
  <c r="U180" i="5"/>
  <c r="V180" i="5"/>
  <c r="U184" i="5"/>
  <c r="V184" i="5"/>
  <c r="U188" i="5"/>
  <c r="V188" i="5"/>
  <c r="V192" i="5"/>
  <c r="U192" i="5"/>
  <c r="U196" i="5"/>
  <c r="V196" i="5"/>
  <c r="U200" i="5"/>
  <c r="V200" i="5"/>
  <c r="U204" i="5"/>
  <c r="V204" i="5"/>
  <c r="V208" i="5"/>
  <c r="U208" i="5"/>
  <c r="U212" i="5"/>
  <c r="V212" i="5"/>
  <c r="U216" i="5"/>
  <c r="V216" i="5"/>
  <c r="U220" i="5"/>
  <c r="V220" i="5"/>
  <c r="V224" i="5"/>
  <c r="U224" i="5"/>
  <c r="T228" i="5"/>
  <c r="U228" i="5"/>
  <c r="V228" i="5"/>
  <c r="U232" i="5"/>
  <c r="V232" i="5"/>
  <c r="T236" i="5"/>
  <c r="U236" i="5"/>
  <c r="V236" i="5"/>
  <c r="T240" i="5"/>
  <c r="V240" i="5"/>
  <c r="U240" i="5"/>
  <c r="T244" i="5"/>
  <c r="U244" i="5"/>
  <c r="V244" i="5"/>
  <c r="T248" i="5"/>
  <c r="U248" i="5"/>
  <c r="V248" i="5"/>
  <c r="T252" i="5"/>
  <c r="U252" i="5"/>
  <c r="T256" i="5"/>
  <c r="U256" i="5"/>
  <c r="T260" i="5"/>
  <c r="U260" i="5"/>
  <c r="T264" i="5"/>
  <c r="U264" i="5"/>
  <c r="T268" i="5"/>
  <c r="U268" i="5"/>
  <c r="T272" i="5"/>
  <c r="U272" i="5"/>
  <c r="T276" i="5"/>
  <c r="U276" i="5"/>
  <c r="T280" i="5"/>
  <c r="U280" i="5"/>
  <c r="T284" i="5"/>
  <c r="U284" i="5"/>
  <c r="T288" i="5"/>
  <c r="U288" i="5"/>
  <c r="T292" i="5"/>
  <c r="U292" i="5"/>
  <c r="T296" i="5"/>
  <c r="U296" i="5"/>
  <c r="T300" i="5"/>
  <c r="U300" i="5"/>
  <c r="T304" i="5"/>
  <c r="U304" i="5"/>
  <c r="T308" i="5"/>
  <c r="U308" i="5"/>
  <c r="T312" i="5"/>
  <c r="U312" i="5"/>
  <c r="T316" i="5"/>
  <c r="U316" i="5"/>
  <c r="T320" i="5"/>
  <c r="U320" i="5"/>
  <c r="T324" i="5"/>
  <c r="U324" i="5"/>
  <c r="V389" i="5"/>
  <c r="V384" i="5"/>
  <c r="V373" i="5"/>
  <c r="V368" i="5"/>
  <c r="V362" i="5"/>
  <c r="V357" i="5"/>
  <c r="V352" i="5"/>
  <c r="V346" i="5"/>
  <c r="V341" i="5"/>
  <c r="V336" i="5"/>
  <c r="V330" i="5"/>
  <c r="V325" i="5"/>
  <c r="V320" i="5"/>
  <c r="V314" i="5"/>
  <c r="V309" i="5"/>
  <c r="V304" i="5"/>
  <c r="V298" i="5"/>
  <c r="V293" i="5"/>
  <c r="V288" i="5"/>
  <c r="V282" i="5"/>
  <c r="V277" i="5"/>
  <c r="V272" i="5"/>
  <c r="V266" i="5"/>
  <c r="V261" i="5"/>
  <c r="V256" i="5"/>
  <c r="V250" i="5"/>
  <c r="V238" i="5"/>
  <c r="V222" i="5"/>
  <c r="V206" i="5"/>
  <c r="V190" i="5"/>
  <c r="V174" i="5"/>
  <c r="V158" i="5"/>
  <c r="V142" i="5"/>
  <c r="V126" i="5"/>
  <c r="V110" i="5"/>
  <c r="U7" i="5"/>
  <c r="V7" i="5"/>
  <c r="U11" i="5"/>
  <c r="V11" i="5"/>
  <c r="U15" i="5"/>
  <c r="V15" i="5"/>
  <c r="U19" i="5"/>
  <c r="V19" i="5"/>
  <c r="U22" i="5"/>
  <c r="V22" i="5"/>
  <c r="U26" i="5"/>
  <c r="V26" i="5"/>
  <c r="U30" i="5"/>
  <c r="V30" i="5"/>
  <c r="U34" i="5"/>
  <c r="V34" i="5"/>
  <c r="U38" i="5"/>
  <c r="V38" i="5"/>
  <c r="U42" i="5"/>
  <c r="V42" i="5"/>
  <c r="U46" i="5"/>
  <c r="V46" i="5"/>
  <c r="U50" i="5"/>
  <c r="V50" i="5"/>
  <c r="U54" i="5"/>
  <c r="V54" i="5"/>
  <c r="U58" i="5"/>
  <c r="V58" i="5"/>
  <c r="U62" i="5"/>
  <c r="V62" i="5"/>
  <c r="U66" i="5"/>
  <c r="V66" i="5"/>
  <c r="U70" i="5"/>
  <c r="V70" i="5"/>
  <c r="U74" i="5"/>
  <c r="V74" i="5"/>
  <c r="U78" i="5"/>
  <c r="V78" i="5"/>
  <c r="U82" i="5"/>
  <c r="V82" i="5"/>
  <c r="U86" i="5"/>
  <c r="V86" i="5"/>
  <c r="U90" i="5"/>
  <c r="V90" i="5"/>
  <c r="U94" i="5"/>
  <c r="V94" i="5"/>
  <c r="U98" i="5"/>
  <c r="V98" i="5"/>
  <c r="U102" i="5"/>
  <c r="V102" i="5"/>
  <c r="U106" i="5"/>
  <c r="V106" i="5"/>
  <c r="U133" i="5"/>
  <c r="V133" i="5"/>
  <c r="U137" i="5"/>
  <c r="V137" i="5"/>
  <c r="U141" i="5"/>
  <c r="V141" i="5"/>
  <c r="U145" i="5"/>
  <c r="V145" i="5"/>
  <c r="U149" i="5"/>
  <c r="V149" i="5"/>
  <c r="U153" i="5"/>
  <c r="V153" i="5"/>
  <c r="U157" i="5"/>
  <c r="V157" i="5"/>
  <c r="U161" i="5"/>
  <c r="V161" i="5"/>
  <c r="U165" i="5"/>
  <c r="V165" i="5"/>
  <c r="U169" i="5"/>
  <c r="V169" i="5"/>
  <c r="U173" i="5"/>
  <c r="V173" i="5"/>
  <c r="U177" i="5"/>
  <c r="V177" i="5"/>
  <c r="U181" i="5"/>
  <c r="V181" i="5"/>
  <c r="U185" i="5"/>
  <c r="V185" i="5"/>
  <c r="U189" i="5"/>
  <c r="V189" i="5"/>
  <c r="U193" i="5"/>
  <c r="V193" i="5"/>
  <c r="U197" i="5"/>
  <c r="V197" i="5"/>
  <c r="U201" i="5"/>
  <c r="V201" i="5"/>
  <c r="U205" i="5"/>
  <c r="V205" i="5"/>
  <c r="U209" i="5"/>
  <c r="V209" i="5"/>
  <c r="U213" i="5"/>
  <c r="V213" i="5"/>
  <c r="U217" i="5"/>
  <c r="V217" i="5"/>
  <c r="U221" i="5"/>
  <c r="V221" i="5"/>
  <c r="U225" i="5"/>
  <c r="V225" i="5"/>
  <c r="U229" i="5"/>
  <c r="V229" i="5"/>
  <c r="U233" i="5"/>
  <c r="V233" i="5"/>
  <c r="U237" i="5"/>
  <c r="V237" i="5"/>
  <c r="U241" i="5"/>
  <c r="V241" i="5"/>
  <c r="U245" i="5"/>
  <c r="V245" i="5"/>
  <c r="V393" i="5"/>
  <c r="V377" i="5"/>
  <c r="V372" i="5"/>
  <c r="V366" i="5"/>
  <c r="V361" i="5"/>
  <c r="V356" i="5"/>
  <c r="V350" i="5"/>
  <c r="V345" i="5"/>
  <c r="V340" i="5"/>
  <c r="V334" i="5"/>
  <c r="V329" i="5"/>
  <c r="V324" i="5"/>
  <c r="V318" i="5"/>
  <c r="V313" i="5"/>
  <c r="V308" i="5"/>
  <c r="V302" i="5"/>
  <c r="V297" i="5"/>
  <c r="V292" i="5"/>
  <c r="V286" i="5"/>
  <c r="V281" i="5"/>
  <c r="V276" i="5"/>
  <c r="V270" i="5"/>
  <c r="V265" i="5"/>
  <c r="V260" i="5"/>
  <c r="V254" i="5"/>
  <c r="V249" i="5"/>
  <c r="V234" i="5"/>
  <c r="V218" i="5"/>
  <c r="V202" i="5"/>
  <c r="V186" i="5"/>
  <c r="V170" i="5"/>
  <c r="V154" i="5"/>
  <c r="V138" i="5"/>
  <c r="V122" i="5"/>
  <c r="V105" i="5"/>
  <c r="AV9" i="5"/>
  <c r="U4" i="5"/>
  <c r="V4" i="5"/>
  <c r="V8" i="5"/>
  <c r="U8" i="5"/>
  <c r="U12" i="5"/>
  <c r="V12" i="5"/>
  <c r="V16" i="5"/>
  <c r="U16" i="5"/>
  <c r="U20" i="5"/>
  <c r="V20" i="5"/>
  <c r="U23" i="5"/>
  <c r="V23" i="5"/>
  <c r="U27" i="5"/>
  <c r="V27" i="5"/>
  <c r="U31" i="5"/>
  <c r="V31" i="5"/>
  <c r="U35" i="5"/>
  <c r="V35" i="5"/>
  <c r="U39" i="5"/>
  <c r="V39" i="5"/>
  <c r="U43" i="5"/>
  <c r="V43" i="5"/>
  <c r="U47" i="5"/>
  <c r="V47" i="5"/>
  <c r="U51" i="5"/>
  <c r="V51" i="5"/>
  <c r="U55" i="5"/>
  <c r="V55" i="5"/>
  <c r="U59" i="5"/>
  <c r="V59" i="5"/>
  <c r="U63" i="5"/>
  <c r="V63" i="5"/>
  <c r="U67" i="5"/>
  <c r="V67" i="5"/>
  <c r="U71" i="5"/>
  <c r="V71" i="5"/>
  <c r="U75" i="5"/>
  <c r="V75" i="5"/>
  <c r="U79" i="5"/>
  <c r="V79" i="5"/>
  <c r="U83" i="5"/>
  <c r="V83" i="5"/>
  <c r="U87" i="5"/>
  <c r="V87" i="5"/>
  <c r="U91" i="5"/>
  <c r="V91" i="5"/>
  <c r="U95" i="5"/>
  <c r="V95" i="5"/>
  <c r="U103" i="5"/>
  <c r="V103" i="5"/>
  <c r="U107" i="5"/>
  <c r="V107" i="5"/>
  <c r="U111" i="5"/>
  <c r="V111" i="5"/>
  <c r="U115" i="5"/>
  <c r="V115" i="5"/>
  <c r="U119" i="5"/>
  <c r="V119" i="5"/>
  <c r="U123" i="5"/>
  <c r="V123" i="5"/>
  <c r="U127" i="5"/>
  <c r="V127" i="5"/>
  <c r="T245" i="5"/>
  <c r="T249" i="5"/>
  <c r="T253" i="5"/>
  <c r="T257" i="5"/>
  <c r="T261" i="5"/>
  <c r="T325" i="5"/>
  <c r="T370" i="5"/>
  <c r="U370" i="5"/>
  <c r="T385" i="5"/>
  <c r="T386" i="5"/>
  <c r="U386" i="5"/>
  <c r="T394" i="5"/>
  <c r="U394" i="5"/>
  <c r="V2" i="5"/>
  <c r="V386" i="5"/>
  <c r="V381" i="5"/>
  <c r="V376" i="5"/>
  <c r="V370" i="5"/>
  <c r="V365" i="5"/>
  <c r="V360" i="5"/>
  <c r="V354" i="5"/>
  <c r="V349" i="5"/>
  <c r="V344" i="5"/>
  <c r="V338" i="5"/>
  <c r="V333" i="5"/>
  <c r="V328" i="5"/>
  <c r="V322" i="5"/>
  <c r="V317" i="5"/>
  <c r="V312" i="5"/>
  <c r="V306" i="5"/>
  <c r="V301" i="5"/>
  <c r="V296" i="5"/>
  <c r="V290" i="5"/>
  <c r="V285" i="5"/>
  <c r="V280" i="5"/>
  <c r="V274" i="5"/>
  <c r="V269" i="5"/>
  <c r="V264" i="5"/>
  <c r="V258" i="5"/>
  <c r="V253" i="5"/>
  <c r="V246" i="5"/>
  <c r="V230" i="5"/>
  <c r="V214" i="5"/>
  <c r="V198" i="5"/>
  <c r="V182" i="5"/>
  <c r="V166" i="5"/>
  <c r="V150" i="5"/>
  <c r="V134" i="5"/>
  <c r="V118" i="5"/>
  <c r="V99" i="5"/>
  <c r="T28" i="5"/>
  <c r="T32" i="5"/>
  <c r="T36" i="5"/>
  <c r="T40" i="5"/>
  <c r="T44" i="5"/>
  <c r="T68" i="5"/>
  <c r="T72" i="5"/>
  <c r="T76" i="5"/>
  <c r="T108" i="5"/>
  <c r="T124" i="5"/>
  <c r="T131" i="5"/>
  <c r="T135" i="5"/>
  <c r="T139" i="5"/>
  <c r="T143" i="5"/>
  <c r="T147" i="5"/>
  <c r="T151" i="5"/>
  <c r="T163" i="5"/>
  <c r="T167" i="5"/>
  <c r="T171" i="5"/>
  <c r="T175" i="5"/>
  <c r="T179" i="5"/>
  <c r="T183" i="5"/>
  <c r="T132" i="5"/>
  <c r="T140" i="5"/>
  <c r="T156" i="5"/>
  <c r="T11" i="5"/>
  <c r="T30" i="5"/>
  <c r="T38" i="5"/>
  <c r="T46" i="5"/>
  <c r="T50" i="5"/>
  <c r="T58" i="5"/>
  <c r="T62" i="5"/>
  <c r="T66" i="5"/>
  <c r="T70" i="5"/>
  <c r="T78" i="5"/>
  <c r="T82" i="5"/>
  <c r="T86" i="5"/>
  <c r="T90" i="5"/>
  <c r="T94" i="5"/>
  <c r="T98" i="5"/>
  <c r="T106" i="5"/>
  <c r="T184" i="5"/>
  <c r="T216" i="5"/>
  <c r="T51" i="5"/>
  <c r="T55" i="5"/>
  <c r="T59" i="5"/>
  <c r="T79" i="5"/>
  <c r="T83" i="5"/>
  <c r="T87" i="5"/>
  <c r="T162" i="5"/>
  <c r="T174" i="5"/>
  <c r="T178" i="5"/>
  <c r="T182" i="5"/>
  <c r="T186" i="5"/>
  <c r="T190" i="5"/>
  <c r="T194" i="5"/>
  <c r="T206" i="5"/>
  <c r="T210" i="5"/>
  <c r="T214" i="5"/>
  <c r="T218" i="5"/>
  <c r="T222" i="5"/>
  <c r="T317" i="5"/>
  <c r="T328" i="5"/>
  <c r="L398" i="5"/>
  <c r="Q398" i="5"/>
  <c r="T8" i="5"/>
  <c r="T26" i="5"/>
  <c r="T27" i="5"/>
  <c r="T63" i="5"/>
  <c r="T74" i="5"/>
  <c r="T75" i="5"/>
  <c r="T120" i="5"/>
  <c r="T170" i="5"/>
  <c r="T110" i="5"/>
  <c r="T114" i="5"/>
  <c r="T118" i="5"/>
  <c r="T122" i="5"/>
  <c r="T126" i="5"/>
  <c r="T152" i="5"/>
  <c r="T164" i="5"/>
  <c r="T172" i="5"/>
  <c r="T188" i="5"/>
  <c r="T195" i="5"/>
  <c r="T199" i="5"/>
  <c r="T202" i="5"/>
  <c r="T203" i="5"/>
  <c r="T207" i="5"/>
  <c r="T211" i="5"/>
  <c r="T215" i="5"/>
  <c r="T265" i="5"/>
  <c r="T269" i="5"/>
  <c r="T273" i="5"/>
  <c r="T277" i="5"/>
  <c r="T281" i="5"/>
  <c r="T285" i="5"/>
  <c r="T289" i="5"/>
  <c r="T293" i="5"/>
  <c r="T297" i="5"/>
  <c r="T301" i="5"/>
  <c r="T337" i="5"/>
  <c r="T364" i="5"/>
  <c r="T368" i="5"/>
  <c r="T371" i="5"/>
  <c r="T372" i="5"/>
  <c r="T376" i="5"/>
  <c r="T380" i="5"/>
  <c r="T384" i="5"/>
  <c r="T18" i="5"/>
  <c r="T25" i="5"/>
  <c r="T64" i="5"/>
  <c r="T65" i="5"/>
  <c r="T73" i="5"/>
  <c r="T88" i="5"/>
  <c r="T89" i="5"/>
  <c r="T96" i="5"/>
  <c r="T97" i="5"/>
  <c r="T100" i="5"/>
  <c r="T107" i="5"/>
  <c r="T111" i="5"/>
  <c r="T115" i="5"/>
  <c r="T119" i="5"/>
  <c r="T142" i="5"/>
  <c r="T146" i="5"/>
  <c r="T150" i="5"/>
  <c r="T154" i="5"/>
  <c r="T158" i="5"/>
  <c r="T196" i="5"/>
  <c r="T204" i="5"/>
  <c r="T220" i="5"/>
  <c r="T227" i="5"/>
  <c r="T231" i="5"/>
  <c r="T319" i="5"/>
  <c r="T326" i="5"/>
  <c r="T334" i="5"/>
  <c r="T354" i="5"/>
  <c r="T358" i="5"/>
  <c r="T362" i="5"/>
  <c r="T365" i="5"/>
  <c r="T373" i="5"/>
  <c r="T389" i="5"/>
  <c r="T396" i="5"/>
  <c r="T12" i="5"/>
  <c r="T16" i="5"/>
  <c r="T20" i="5"/>
  <c r="T3" i="5"/>
  <c r="T5" i="5"/>
  <c r="T10" i="5"/>
  <c r="T24" i="5"/>
  <c r="T34" i="5"/>
  <c r="T35" i="5"/>
  <c r="T21" i="5"/>
  <c r="T4" i="5"/>
  <c r="T7" i="5"/>
  <c r="T22" i="5"/>
  <c r="T29" i="5"/>
  <c r="T33" i="5"/>
  <c r="T48" i="5"/>
  <c r="T49" i="5"/>
  <c r="T52" i="5"/>
  <c r="T56" i="5"/>
  <c r="T92" i="5"/>
  <c r="T99" i="5"/>
  <c r="T103" i="5"/>
  <c r="T128" i="5"/>
  <c r="T160" i="5"/>
  <c r="T192" i="5"/>
  <c r="T224" i="5"/>
  <c r="T243" i="5"/>
  <c r="T247" i="5"/>
  <c r="T251" i="5"/>
  <c r="T255" i="5"/>
  <c r="T263" i="5"/>
  <c r="T267" i="5"/>
  <c r="T271" i="5"/>
  <c r="T275" i="5"/>
  <c r="T279" i="5"/>
  <c r="T283" i="5"/>
  <c r="T287" i="5"/>
  <c r="T291" i="5"/>
  <c r="T295" i="5"/>
  <c r="T299" i="5"/>
  <c r="T303" i="5"/>
  <c r="T307" i="5"/>
  <c r="T311" i="5"/>
  <c r="T315" i="5"/>
  <c r="T323" i="5"/>
  <c r="T333" i="5"/>
  <c r="T341" i="5"/>
  <c r="T361" i="5"/>
  <c r="T393" i="5"/>
  <c r="T104" i="5"/>
  <c r="T136" i="5"/>
  <c r="T168" i="5"/>
  <c r="T200" i="5"/>
  <c r="T232" i="5"/>
  <c r="T369" i="5"/>
  <c r="T39" i="5"/>
  <c r="T43" i="5"/>
  <c r="T47" i="5"/>
  <c r="T54" i="5"/>
  <c r="T57" i="5"/>
  <c r="T60" i="5"/>
  <c r="T67" i="5"/>
  <c r="T71" i="5"/>
  <c r="T80" i="5"/>
  <c r="T81" i="5"/>
  <c r="T84" i="5"/>
  <c r="T91" i="5"/>
  <c r="T95" i="5"/>
  <c r="T102" i="5"/>
  <c r="T112" i="5"/>
  <c r="T113" i="5"/>
  <c r="T116" i="5"/>
  <c r="T123" i="5"/>
  <c r="T127" i="5"/>
  <c r="T134" i="5"/>
  <c r="T144" i="5"/>
  <c r="T148" i="5"/>
  <c r="T155" i="5"/>
  <c r="T159" i="5"/>
  <c r="T166" i="5"/>
  <c r="T176" i="5"/>
  <c r="T180" i="5"/>
  <c r="T187" i="5"/>
  <c r="T191" i="5"/>
  <c r="T198" i="5"/>
  <c r="T208" i="5"/>
  <c r="T212" i="5"/>
  <c r="T219" i="5"/>
  <c r="T223" i="5"/>
  <c r="T230" i="5"/>
  <c r="T234" i="5"/>
  <c r="T238" i="5"/>
  <c r="T242" i="5"/>
  <c r="T246" i="5"/>
  <c r="T250" i="5"/>
  <c r="T254" i="5"/>
  <c r="T258" i="5"/>
  <c r="T262" i="5"/>
  <c r="T266" i="5"/>
  <c r="T270" i="5"/>
  <c r="T274" i="5"/>
  <c r="T278" i="5"/>
  <c r="T282" i="5"/>
  <c r="T286" i="5"/>
  <c r="T290" i="5"/>
  <c r="T294" i="5"/>
  <c r="T298" i="5"/>
  <c r="T302" i="5"/>
  <c r="T305" i="5"/>
  <c r="T306" i="5"/>
  <c r="T309" i="5"/>
  <c r="T310" i="5"/>
  <c r="T313" i="5"/>
  <c r="T314" i="5"/>
  <c r="T321" i="5"/>
  <c r="T322" i="5"/>
  <c r="T329" i="5"/>
  <c r="T332" i="5"/>
  <c r="T336" i="5"/>
  <c r="T340" i="5"/>
  <c r="T344" i="5"/>
  <c r="T348" i="5"/>
  <c r="T352" i="5"/>
  <c r="T356" i="5"/>
  <c r="T360" i="5"/>
  <c r="T367" i="5"/>
  <c r="T377" i="5"/>
  <c r="T378" i="5"/>
  <c r="T381" i="5"/>
  <c r="T388" i="5"/>
  <c r="T392" i="5"/>
  <c r="T42" i="5"/>
  <c r="T342" i="5"/>
  <c r="T346" i="5"/>
  <c r="T350" i="5"/>
  <c r="I398" i="5"/>
  <c r="M398" i="5"/>
  <c r="R398" i="5"/>
  <c r="T6" i="5"/>
  <c r="T15" i="5"/>
  <c r="T137" i="5"/>
  <c r="T145" i="5"/>
  <c r="T153" i="5"/>
  <c r="T161" i="5"/>
  <c r="T169" i="5"/>
  <c r="T177" i="5"/>
  <c r="T185" i="5"/>
  <c r="T193" i="5"/>
  <c r="T201" i="5"/>
  <c r="T209" i="5"/>
  <c r="T217" i="5"/>
  <c r="T225" i="5"/>
  <c r="T233" i="5"/>
  <c r="T237" i="5"/>
  <c r="T241" i="5"/>
  <c r="J398" i="5"/>
  <c r="O398" i="5"/>
  <c r="S398" i="5"/>
  <c r="T19" i="5"/>
  <c r="AV5" i="5"/>
  <c r="T9" i="5"/>
  <c r="T14" i="5"/>
  <c r="T17" i="5"/>
  <c r="T23" i="5"/>
  <c r="T31" i="5"/>
  <c r="T37" i="5"/>
  <c r="T41" i="5"/>
  <c r="T45" i="5"/>
  <c r="T53" i="5"/>
  <c r="T61" i="5"/>
  <c r="T69" i="5"/>
  <c r="T77" i="5"/>
  <c r="T85" i="5"/>
  <c r="T93" i="5"/>
  <c r="T101" i="5"/>
  <c r="T109" i="5"/>
  <c r="T117" i="5"/>
  <c r="T125" i="5"/>
  <c r="T133" i="5"/>
  <c r="T141" i="5"/>
  <c r="T149" i="5"/>
  <c r="T157" i="5"/>
  <c r="T165" i="5"/>
  <c r="T173" i="5"/>
  <c r="T181" i="5"/>
  <c r="T189" i="5"/>
  <c r="T197" i="5"/>
  <c r="T205" i="5"/>
  <c r="T213" i="5"/>
  <c r="T221" i="5"/>
  <c r="T229" i="5"/>
  <c r="T239" i="5"/>
  <c r="T259" i="5"/>
  <c r="T318" i="5"/>
  <c r="T330" i="5"/>
  <c r="T338" i="5"/>
  <c r="T345" i="5"/>
  <c r="T349" i="5"/>
  <c r="T353" i="5"/>
  <c r="T357" i="5"/>
  <c r="T366" i="5"/>
  <c r="T374" i="5"/>
  <c r="T382" i="5"/>
  <c r="T390" i="5"/>
  <c r="AV3" i="5"/>
  <c r="AV6" i="5"/>
  <c r="K398" i="5"/>
  <c r="P398" i="5"/>
  <c r="T2" i="5"/>
  <c r="AV4" i="5"/>
  <c r="T235" i="5"/>
  <c r="T2" i="2"/>
  <c r="T393" i="2"/>
  <c r="T389" i="2"/>
  <c r="T385" i="2"/>
  <c r="T381" i="2"/>
  <c r="T377" i="2"/>
  <c r="T373" i="2"/>
  <c r="T369" i="2"/>
  <c r="T365" i="2"/>
  <c r="T361" i="2"/>
  <c r="T357" i="2"/>
  <c r="T353" i="2"/>
  <c r="T349" i="2"/>
  <c r="T345" i="2"/>
  <c r="T341" i="2"/>
  <c r="T337" i="2"/>
  <c r="T333" i="2"/>
  <c r="T329" i="2"/>
  <c r="T325" i="2"/>
  <c r="T321" i="2"/>
  <c r="T317" i="2"/>
  <c r="T313" i="2"/>
  <c r="T309" i="2"/>
  <c r="T305" i="2"/>
  <c r="T301" i="2"/>
  <c r="T297" i="2"/>
  <c r="T293" i="2"/>
  <c r="T289" i="2"/>
  <c r="T285" i="2"/>
  <c r="T281" i="2"/>
  <c r="T277" i="2"/>
  <c r="T273" i="2"/>
  <c r="T269" i="2"/>
  <c r="T265" i="2"/>
  <c r="T261" i="2"/>
  <c r="T257" i="2"/>
  <c r="T253" i="2"/>
  <c r="T249" i="2"/>
  <c r="T245" i="2"/>
  <c r="T241" i="2"/>
  <c r="T237" i="2"/>
  <c r="T233" i="2"/>
  <c r="T229" i="2"/>
  <c r="T225" i="2"/>
  <c r="T221" i="2"/>
  <c r="T217" i="2"/>
  <c r="T213" i="2"/>
  <c r="T209" i="2"/>
  <c r="T205" i="2"/>
  <c r="T201" i="2"/>
  <c r="T197" i="2"/>
  <c r="T193" i="2"/>
  <c r="T189" i="2"/>
  <c r="T185" i="2"/>
  <c r="T181" i="2"/>
  <c r="T177" i="2"/>
  <c r="T173" i="2"/>
  <c r="T169" i="2"/>
  <c r="T165" i="2"/>
  <c r="T161" i="2"/>
  <c r="T157" i="2"/>
  <c r="T153" i="2"/>
  <c r="T149" i="2"/>
  <c r="T145" i="2"/>
  <c r="T141" i="2"/>
  <c r="T137" i="2"/>
  <c r="T133" i="2"/>
  <c r="T129" i="2"/>
  <c r="T125" i="2"/>
  <c r="T121" i="2"/>
  <c r="T117" i="2"/>
  <c r="T113" i="2"/>
  <c r="T109" i="2"/>
  <c r="T105" i="2"/>
  <c r="T101" i="2"/>
  <c r="T97" i="2"/>
  <c r="T93" i="2"/>
  <c r="T89" i="2"/>
  <c r="T85" i="2"/>
  <c r="T81" i="2"/>
  <c r="T77" i="2"/>
  <c r="T73" i="2"/>
  <c r="T69" i="2"/>
  <c r="T65" i="2"/>
  <c r="T61" i="2"/>
  <c r="T57" i="2"/>
  <c r="T53" i="2"/>
  <c r="T49" i="2"/>
  <c r="T45" i="2"/>
  <c r="T41" i="2"/>
  <c r="T37" i="2"/>
  <c r="T33" i="2"/>
  <c r="T29" i="2"/>
  <c r="T25" i="2"/>
  <c r="T21" i="2"/>
  <c r="T17" i="2"/>
  <c r="T13" i="2"/>
  <c r="T9" i="2"/>
  <c r="T5" i="2"/>
  <c r="T398" i="2" s="1"/>
  <c r="O398" i="2"/>
  <c r="S398" i="2"/>
  <c r="R398" i="2"/>
  <c r="Q398" i="2"/>
  <c r="P398" i="2"/>
  <c r="K398" i="2"/>
  <c r="J398" i="2"/>
  <c r="I398" i="2"/>
  <c r="L398" i="2"/>
  <c r="BA6" i="2"/>
  <c r="BA4" i="2"/>
  <c r="BA9" i="2"/>
  <c r="M398" i="2"/>
  <c r="AV16" i="5" l="1"/>
  <c r="AW15" i="5"/>
  <c r="AV15" i="5"/>
  <c r="AN398" i="5"/>
  <c r="AL398" i="5"/>
  <c r="AW12" i="5"/>
  <c r="AV12" i="5"/>
  <c r="AV13" i="5"/>
  <c r="AW13" i="5"/>
  <c r="AW11" i="5"/>
  <c r="AV11" i="5"/>
  <c r="V398" i="5"/>
  <c r="AW14" i="5"/>
  <c r="AV14" i="5"/>
  <c r="W398" i="5"/>
  <c r="U398" i="5"/>
  <c r="T39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FA67A-EE74-6B47-9878-5C172FCAB259}" name="diabetes_data_upload" type="6" refreshedVersion="7" background="1" saveData="1">
    <textPr sourceFile="/Users/nicolo/Downloads/diabetes_data_upload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0000000}" name="student-mat" type="6" refreshedVersion="7" background="1" saveData="1">
    <textPr sourceFile="/Users/nicolo/Downloads/student/student-mat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F58D036-5618-864D-BDD7-FC47B0200072}" name="student-mat1" type="6" refreshedVersion="7" background="1" saveData="1">
    <textPr sourceFile="/Users/nicolo/Downloads/student/student-mat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859CF467-71D6-5642-B359-B504049E79B9}" name="student-por" type="6" refreshedVersion="7" background="1" saveData="1">
    <textPr sourceFile="/Users/nicolo/Desktop/student/student-por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<sst xmlns="http://schemas.openxmlformats.org/spreadsheetml/2006/main" count="31416" uniqueCount="132">
  <si>
    <t>Gender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</si>
  <si>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</si>
  <si>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</si>
  <si>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</si>
  <si>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</si>
  <si>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</si>
  <si>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</si>
  <si>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</si>
  <si>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</si>
  <si>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</si>
  <si>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</si>
  <si>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</si>
  <si>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</si>
  <si>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</si>
  <si>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</si>
  <si>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</si>
  <si>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</si>
  <si>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</si>
  <si>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</si>
  <si>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</si>
  <si>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</si>
  <si>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</si>
  <si>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</si>
  <si>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</si>
  <si>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</si>
  <si>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</si>
  <si>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</si>
  <si>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</si>
  <si>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</si>
  <si>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</si>
  <si>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</si>
  <si>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</si>
  <si>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</si>
  <si>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</si>
  <si>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</si>
  <si>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</si>
  <si>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</si>
  <si>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</si>
  <si>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</si>
  <si>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</si>
  <si>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</si>
  <si>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</si>
  <si>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</si>
  <si>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</si>
  <si>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</si>
  <si>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</si>
  <si>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</si>
  <si>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</si>
  <si>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</si>
  <si>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</si>
  <si>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</si>
  <si>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</si>
  <si>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</si>
  <si>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</si>
  <si>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</si>
  <si>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Age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</si>
  <si>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</si>
  <si>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</si>
  <si>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</si>
  <si>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</si>
  <si>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</si>
  <si>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</si>
  <si>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</si>
  <si>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</si>
  <si>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</si>
  <si>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</si>
  <si>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</si>
  <si>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</si>
  <si>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</si>
  <si>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</si>
  <si>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</si>
  <si>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Male</t>
  </si>
  <si>
    <t>No</t>
  </si>
  <si>
    <t>Yes</t>
  </si>
  <si>
    <t>Positive</t>
  </si>
  <si>
    <t>Female</t>
  </si>
  <si>
    <t>Negative</t>
  </si>
  <si>
    <t>pstatus_dummy</t>
  </si>
  <si>
    <t>paid_dummy</t>
  </si>
  <si>
    <t>Paid Tutor</t>
  </si>
  <si>
    <t>Mother Ed</t>
  </si>
  <si>
    <t>Father Ed</t>
  </si>
  <si>
    <t>Past Fails</t>
  </si>
  <si>
    <t>Age to PF</t>
  </si>
  <si>
    <t>internet_dummy</t>
  </si>
  <si>
    <t>Internet Access</t>
  </si>
  <si>
    <t>Correlation to Final Grade</t>
  </si>
  <si>
    <t>Mother Ed - College</t>
  </si>
  <si>
    <t>Mother Ed - None</t>
  </si>
  <si>
    <t>Mother Ed -9th Grade</t>
  </si>
  <si>
    <t>Mother Ed - 4t Grade</t>
  </si>
  <si>
    <t>Mother Ed - High School</t>
  </si>
  <si>
    <t>Father Ed - None</t>
  </si>
  <si>
    <t>Father Ed - 4t Grade</t>
  </si>
  <si>
    <t>Father Ed -9tn Grade</t>
  </si>
  <si>
    <t>Father Ed - nign Scnool</t>
  </si>
  <si>
    <t>Father Ed - College</t>
  </si>
  <si>
    <t>Mother &amp; Father College</t>
  </si>
  <si>
    <t>Mother and Father College</t>
  </si>
  <si>
    <t>Mother College</t>
  </si>
  <si>
    <t>Mother 9th Grade</t>
  </si>
  <si>
    <t>Mother High School</t>
  </si>
  <si>
    <t>Mother 4th Grade</t>
  </si>
  <si>
    <t>Father College</t>
  </si>
  <si>
    <t>Father High School</t>
  </si>
  <si>
    <t>Father 9th Grade</t>
  </si>
  <si>
    <t>Father Ed - High School</t>
  </si>
  <si>
    <t>Mother College Father High School</t>
  </si>
  <si>
    <t>Mother College Father 9th Grade or lower</t>
  </si>
  <si>
    <t>Father Ed -9th Grade</t>
  </si>
  <si>
    <t>Mother College Father 9th Grade or Lower</t>
  </si>
  <si>
    <t>Father College Mother High School</t>
  </si>
  <si>
    <t>Father 4th Grade</t>
  </si>
  <si>
    <t>Parent Educational Level</t>
  </si>
  <si>
    <t>Correlation to Past Failure</t>
  </si>
  <si>
    <t>Attribute</t>
  </si>
  <si>
    <t>Paid Tutor and Internet</t>
  </si>
  <si>
    <t>Family Ed Support</t>
  </si>
  <si>
    <t>Going out with Friends</t>
  </si>
  <si>
    <t>Parents Not Co-habit</t>
  </si>
  <si>
    <t>Family Relationship Quality</t>
  </si>
  <si>
    <t>Absences</t>
  </si>
  <si>
    <t>Travel Time</t>
  </si>
  <si>
    <t>Study Time</t>
  </si>
  <si>
    <t>Mother College Parent not Co-habit</t>
  </si>
  <si>
    <t>Mother College Parents not Co-habit</t>
  </si>
  <si>
    <t>Parent Education Combinations</t>
  </si>
  <si>
    <t>Mother College Paid Tutor</t>
  </si>
  <si>
    <t>Mother College Parent Paid Tutor</t>
  </si>
  <si>
    <t>Parents Not Co-Habit</t>
  </si>
  <si>
    <t>Predictor</t>
  </si>
  <si>
    <t>Mother High School Paid 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</si>
</sst>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por" connectionId="4" xr16:uid="{A2E0889B-93CC-304B-8113-EA711BB75A1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mat" connectionId="2" xr16:uid="{00000000-0016-0000-0000-000000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mat" connectionId="3" xr16:uid="{12C26066-AA55-6341-AC5D-994326AE3EF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abetes_data_upload" connectionId="1" xr16:uid="{DD042476-0115-3C4B-94A6-0219DA5A918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E0D4-6F71-2943-B6AD-2190E1168627}">
  <dimension ref="A1:AH650"/>
  <sheetViews>
    <sheetView workbookViewId="0">
      <pane ySplit="18" topLeftCell="A624" activePane="bottomLeft" state="frozen"/>
      <selection pane="bottomLeft" activeCell="S2" sqref="S2:S650"/>
    </sheetView>
  </sheetViews>
  <sheetFormatPr baseColWidth="10" defaultRowHeight="16" x14ac:dyDescent="0.2"/>
  <cols>
    <col min="1" max="1" width="6.33203125" bestFit="1" customWidth="1"/>
    <col min="2" max="2" width="3.83203125" bestFit="1" customWidth="1"/>
    <col min="3" max="3" width="4.1640625" bestFit="1" customWidth="1"/>
    <col min="4" max="4" width="7.5" bestFit="1" customWidth="1"/>
    <col min="5" max="5" width="7.6640625" bestFit="1" customWidth="1"/>
    <col min="6" max="6" width="7.1640625" bestFit="1" customWidth="1"/>
    <col min="7" max="7" width="5.83203125" bestFit="1" customWidth="1"/>
    <col min="8" max="8" width="5.1640625" bestFit="1" customWidth="1"/>
    <col min="9" max="10" width="8.5" bestFit="1" customWidth="1"/>
    <col min="11" max="11" width="9.6640625" bestFit="1" customWidth="1"/>
    <col min="12" max="12" width="8.33203125" bestFit="1" customWidth="1"/>
    <col min="13" max="13" width="9.6640625" bestFit="1" customWidth="1"/>
    <col min="14" max="14" width="9.33203125" bestFit="1" customWidth="1"/>
    <col min="15" max="15" width="7.33203125" bestFit="1" customWidth="1"/>
    <col min="16" max="16" width="9.1640625" bestFit="1" customWidth="1"/>
    <col min="17" max="17" width="7.33203125" bestFit="1" customWidth="1"/>
    <col min="18" max="18" width="4.6640625" bestFit="1" customWidth="1"/>
    <col min="19" max="19" width="9.33203125" customWidth="1"/>
    <col min="20" max="20" width="8.5" bestFit="1" customWidth="1"/>
    <col min="21" max="21" width="7.1640625" bestFit="1" customWidth="1"/>
    <col min="22" max="22" width="6.33203125" bestFit="1" customWidth="1"/>
    <col min="23" max="23" width="7.6640625" bestFit="1" customWidth="1"/>
    <col min="24" max="24" width="8.5" bestFit="1" customWidth="1"/>
    <col min="25" max="25" width="6.6640625" bestFit="1" customWidth="1"/>
    <col min="26" max="26" width="8.33203125" bestFit="1" customWidth="1"/>
    <col min="27" max="27" width="5.83203125" bestFit="1" customWidth="1"/>
    <col min="28" max="28" width="4.6640625" bestFit="1" customWidth="1"/>
    <col min="29" max="29" width="5.33203125" bestFit="1" customWidth="1"/>
    <col min="30" max="30" width="6.33203125" bestFit="1" customWidth="1"/>
    <col min="31" max="31" width="8.6640625" bestFit="1" customWidth="1"/>
    <col min="32" max="34" width="3.5" bestFit="1" customWidth="1"/>
  </cols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78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>
        <f>IF(R2="yes",1,0)</f>
        <v>0</v>
      </c>
      <c r="T2" t="s">
        <v>44</v>
      </c>
      <c r="U2" t="s">
        <v>43</v>
      </c>
      <c r="V2" t="s">
        <v>43</v>
      </c>
      <c r="W2" t="s">
        <v>44</v>
      </c>
      <c r="X2" t="s">
        <v>44</v>
      </c>
      <c r="Y2">
        <v>4</v>
      </c>
      <c r="Z2">
        <v>3</v>
      </c>
      <c r="AA2">
        <v>4</v>
      </c>
      <c r="AB2">
        <v>1</v>
      </c>
      <c r="AC2">
        <v>1</v>
      </c>
      <c r="AD2">
        <v>3</v>
      </c>
      <c r="AE2">
        <v>4</v>
      </c>
      <c r="AF2">
        <v>0</v>
      </c>
      <c r="AG2">
        <v>11</v>
      </c>
      <c r="AH2">
        <v>11</v>
      </c>
    </row>
    <row r="3" spans="1:34" x14ac:dyDescent="0.2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v>1</v>
      </c>
      <c r="H3">
        <v>1</v>
      </c>
      <c r="I3" t="s">
        <v>39</v>
      </c>
      <c r="J3" t="s">
        <v>46</v>
      </c>
      <c r="K3" t="s">
        <v>41</v>
      </c>
      <c r="L3" t="s">
        <v>47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>
        <f t="shared" ref="S3:S66" si="0">IF(R3="yes",1,0)</f>
        <v>0</v>
      </c>
      <c r="T3" t="s">
        <v>44</v>
      </c>
      <c r="U3" t="s">
        <v>44</v>
      </c>
      <c r="V3" t="s">
        <v>43</v>
      </c>
      <c r="W3" t="s">
        <v>43</v>
      </c>
      <c r="X3" t="s">
        <v>44</v>
      </c>
      <c r="Y3">
        <v>5</v>
      </c>
      <c r="Z3">
        <v>3</v>
      </c>
      <c r="AA3">
        <v>3</v>
      </c>
      <c r="AB3">
        <v>1</v>
      </c>
      <c r="AC3">
        <v>1</v>
      </c>
      <c r="AD3">
        <v>3</v>
      </c>
      <c r="AE3">
        <v>2</v>
      </c>
      <c r="AF3">
        <v>9</v>
      </c>
      <c r="AG3">
        <v>11</v>
      </c>
      <c r="AH3">
        <v>11</v>
      </c>
    </row>
    <row r="4" spans="1:34" x14ac:dyDescent="0.2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v>1</v>
      </c>
      <c r="H4">
        <v>1</v>
      </c>
      <c r="I4" t="s">
        <v>39</v>
      </c>
      <c r="J4" t="s">
        <v>46</v>
      </c>
      <c r="K4" t="s">
        <v>46</v>
      </c>
      <c r="L4" t="s">
        <v>42</v>
      </c>
      <c r="M4">
        <v>1</v>
      </c>
      <c r="N4">
        <v>2</v>
      </c>
      <c r="O4">
        <v>0</v>
      </c>
      <c r="P4" t="s">
        <v>43</v>
      </c>
      <c r="Q4" t="s">
        <v>44</v>
      </c>
      <c r="R4" t="s">
        <v>44</v>
      </c>
      <c r="S4">
        <f t="shared" si="0"/>
        <v>0</v>
      </c>
      <c r="T4" t="s">
        <v>44</v>
      </c>
      <c r="U4" t="s">
        <v>43</v>
      </c>
      <c r="V4" t="s">
        <v>43</v>
      </c>
      <c r="W4" t="s">
        <v>43</v>
      </c>
      <c r="X4" t="s">
        <v>44</v>
      </c>
      <c r="Y4">
        <v>4</v>
      </c>
      <c r="Z4">
        <v>3</v>
      </c>
      <c r="AA4">
        <v>2</v>
      </c>
      <c r="AB4">
        <v>2</v>
      </c>
      <c r="AC4">
        <v>3</v>
      </c>
      <c r="AD4">
        <v>3</v>
      </c>
      <c r="AE4">
        <v>6</v>
      </c>
      <c r="AF4">
        <v>12</v>
      </c>
      <c r="AG4">
        <v>13</v>
      </c>
      <c r="AH4">
        <v>12</v>
      </c>
    </row>
    <row r="5" spans="1:34" x14ac:dyDescent="0.2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v>4</v>
      </c>
      <c r="H5">
        <v>2</v>
      </c>
      <c r="I5" t="s">
        <v>29</v>
      </c>
      <c r="J5" t="s">
        <v>49</v>
      </c>
      <c r="K5" t="s">
        <v>50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44</v>
      </c>
      <c r="S5">
        <f t="shared" si="0"/>
        <v>0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>
        <v>3</v>
      </c>
      <c r="Z5">
        <v>2</v>
      </c>
      <c r="AA5">
        <v>2</v>
      </c>
      <c r="AB5">
        <v>1</v>
      </c>
      <c r="AC5">
        <v>1</v>
      </c>
      <c r="AD5">
        <v>5</v>
      </c>
      <c r="AE5">
        <v>0</v>
      </c>
      <c r="AF5">
        <v>14</v>
      </c>
      <c r="AG5">
        <v>14</v>
      </c>
      <c r="AH5">
        <v>14</v>
      </c>
    </row>
    <row r="6" spans="1:34" x14ac:dyDescent="0.2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v>3</v>
      </c>
      <c r="H6">
        <v>3</v>
      </c>
      <c r="I6" t="s">
        <v>46</v>
      </c>
      <c r="J6" t="s">
        <v>46</v>
      </c>
      <c r="K6" t="s">
        <v>50</v>
      </c>
      <c r="L6" t="s">
        <v>47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44</v>
      </c>
      <c r="S6">
        <f t="shared" si="0"/>
        <v>0</v>
      </c>
      <c r="T6" t="s">
        <v>44</v>
      </c>
      <c r="U6" t="s">
        <v>43</v>
      </c>
      <c r="V6" t="s">
        <v>43</v>
      </c>
      <c r="W6" t="s">
        <v>44</v>
      </c>
      <c r="X6" t="s">
        <v>44</v>
      </c>
      <c r="Y6">
        <v>4</v>
      </c>
      <c r="Z6">
        <v>3</v>
      </c>
      <c r="AA6">
        <v>2</v>
      </c>
      <c r="AB6">
        <v>1</v>
      </c>
      <c r="AC6">
        <v>2</v>
      </c>
      <c r="AD6">
        <v>5</v>
      </c>
      <c r="AE6">
        <v>0</v>
      </c>
      <c r="AF6">
        <v>11</v>
      </c>
      <c r="AG6">
        <v>13</v>
      </c>
      <c r="AH6">
        <v>13</v>
      </c>
    </row>
    <row r="7" spans="1:34" x14ac:dyDescent="0.2">
      <c r="A7" t="s">
        <v>34</v>
      </c>
      <c r="B7" t="s">
        <v>51</v>
      </c>
      <c r="C7">
        <v>16</v>
      </c>
      <c r="D7" t="s">
        <v>36</v>
      </c>
      <c r="E7" t="s">
        <v>48</v>
      </c>
      <c r="F7" t="s">
        <v>45</v>
      </c>
      <c r="G7">
        <v>4</v>
      </c>
      <c r="H7">
        <v>3</v>
      </c>
      <c r="I7" t="s">
        <v>49</v>
      </c>
      <c r="J7" t="s">
        <v>46</v>
      </c>
      <c r="K7" t="s">
        <v>52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44</v>
      </c>
      <c r="S7">
        <f t="shared" si="0"/>
        <v>0</v>
      </c>
      <c r="T7" t="s">
        <v>43</v>
      </c>
      <c r="U7" t="s">
        <v>43</v>
      </c>
      <c r="V7" t="s">
        <v>43</v>
      </c>
      <c r="W7" t="s">
        <v>43</v>
      </c>
      <c r="X7" t="s">
        <v>44</v>
      </c>
      <c r="Y7">
        <v>5</v>
      </c>
      <c r="Z7">
        <v>4</v>
      </c>
      <c r="AA7">
        <v>2</v>
      </c>
      <c r="AB7">
        <v>1</v>
      </c>
      <c r="AC7">
        <v>2</v>
      </c>
      <c r="AD7">
        <v>5</v>
      </c>
      <c r="AE7">
        <v>6</v>
      </c>
      <c r="AF7">
        <v>12</v>
      </c>
      <c r="AG7">
        <v>12</v>
      </c>
      <c r="AH7">
        <v>13</v>
      </c>
    </row>
    <row r="8" spans="1:34" x14ac:dyDescent="0.2">
      <c r="A8" t="s">
        <v>34</v>
      </c>
      <c r="B8" t="s">
        <v>51</v>
      </c>
      <c r="C8">
        <v>16</v>
      </c>
      <c r="D8" t="s">
        <v>36</v>
      </c>
      <c r="E8" t="s">
        <v>48</v>
      </c>
      <c r="F8" t="s">
        <v>45</v>
      </c>
      <c r="G8">
        <v>2</v>
      </c>
      <c r="H8">
        <v>2</v>
      </c>
      <c r="I8" t="s">
        <v>46</v>
      </c>
      <c r="J8" t="s">
        <v>46</v>
      </c>
      <c r="K8" t="s">
        <v>50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>
        <f t="shared" si="0"/>
        <v>0</v>
      </c>
      <c r="T8" t="s">
        <v>44</v>
      </c>
      <c r="U8" t="s">
        <v>43</v>
      </c>
      <c r="V8" t="s">
        <v>43</v>
      </c>
      <c r="W8" t="s">
        <v>43</v>
      </c>
      <c r="X8" t="s">
        <v>44</v>
      </c>
      <c r="Y8">
        <v>4</v>
      </c>
      <c r="Z8">
        <v>4</v>
      </c>
      <c r="AA8">
        <v>4</v>
      </c>
      <c r="AB8">
        <v>1</v>
      </c>
      <c r="AC8">
        <v>1</v>
      </c>
      <c r="AD8">
        <v>3</v>
      </c>
      <c r="AE8">
        <v>0</v>
      </c>
      <c r="AF8">
        <v>13</v>
      </c>
      <c r="AG8">
        <v>12</v>
      </c>
      <c r="AH8">
        <v>13</v>
      </c>
    </row>
    <row r="9" spans="1:34" x14ac:dyDescent="0.2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46</v>
      </c>
      <c r="J9" t="s">
        <v>40</v>
      </c>
      <c r="K9" t="s">
        <v>50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>
        <f t="shared" si="0"/>
        <v>0</v>
      </c>
      <c r="T9" t="s">
        <v>44</v>
      </c>
      <c r="U9" t="s">
        <v>43</v>
      </c>
      <c r="V9" t="s">
        <v>43</v>
      </c>
      <c r="W9" t="s">
        <v>44</v>
      </c>
      <c r="X9" t="s">
        <v>44</v>
      </c>
      <c r="Y9">
        <v>4</v>
      </c>
      <c r="Z9">
        <v>1</v>
      </c>
      <c r="AA9">
        <v>4</v>
      </c>
      <c r="AB9">
        <v>1</v>
      </c>
      <c r="AC9">
        <v>1</v>
      </c>
      <c r="AD9">
        <v>1</v>
      </c>
      <c r="AE9">
        <v>2</v>
      </c>
      <c r="AF9">
        <v>10</v>
      </c>
      <c r="AG9">
        <v>13</v>
      </c>
      <c r="AH9">
        <v>13</v>
      </c>
    </row>
    <row r="10" spans="1:34" x14ac:dyDescent="0.2">
      <c r="A10" t="s">
        <v>34</v>
      </c>
      <c r="B10" t="s">
        <v>51</v>
      </c>
      <c r="C10">
        <v>15</v>
      </c>
      <c r="D10" t="s">
        <v>36</v>
      </c>
      <c r="E10" t="s">
        <v>48</v>
      </c>
      <c r="F10" t="s">
        <v>38</v>
      </c>
      <c r="G10">
        <v>3</v>
      </c>
      <c r="H10">
        <v>2</v>
      </c>
      <c r="I10" t="s">
        <v>49</v>
      </c>
      <c r="J10" t="s">
        <v>46</v>
      </c>
      <c r="K10" t="s">
        <v>50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44</v>
      </c>
      <c r="S10">
        <f t="shared" si="0"/>
        <v>0</v>
      </c>
      <c r="T10" t="s">
        <v>44</v>
      </c>
      <c r="U10" t="s">
        <v>43</v>
      </c>
      <c r="V10" t="s">
        <v>43</v>
      </c>
      <c r="W10" t="s">
        <v>43</v>
      </c>
      <c r="X10" t="s">
        <v>44</v>
      </c>
      <c r="Y10">
        <v>4</v>
      </c>
      <c r="Z10">
        <v>2</v>
      </c>
      <c r="AA10">
        <v>2</v>
      </c>
      <c r="AB10">
        <v>1</v>
      </c>
      <c r="AC10">
        <v>1</v>
      </c>
      <c r="AD10">
        <v>1</v>
      </c>
      <c r="AE10">
        <v>0</v>
      </c>
      <c r="AF10">
        <v>15</v>
      </c>
      <c r="AG10">
        <v>16</v>
      </c>
      <c r="AH10">
        <v>17</v>
      </c>
    </row>
    <row r="11" spans="1:34" x14ac:dyDescent="0.2">
      <c r="A11" t="s">
        <v>34</v>
      </c>
      <c r="B11" t="s">
        <v>51</v>
      </c>
      <c r="C11">
        <v>15</v>
      </c>
      <c r="D11" t="s">
        <v>36</v>
      </c>
      <c r="E11" t="s">
        <v>37</v>
      </c>
      <c r="F11" t="s">
        <v>45</v>
      </c>
      <c r="G11">
        <v>3</v>
      </c>
      <c r="H11">
        <v>4</v>
      </c>
      <c r="I11" t="s">
        <v>46</v>
      </c>
      <c r="J11" t="s">
        <v>46</v>
      </c>
      <c r="K11" t="s">
        <v>50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44</v>
      </c>
      <c r="S11">
        <f t="shared" si="0"/>
        <v>0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>
        <v>5</v>
      </c>
      <c r="Z11">
        <v>5</v>
      </c>
      <c r="AA11">
        <v>1</v>
      </c>
      <c r="AB11">
        <v>1</v>
      </c>
      <c r="AC11">
        <v>1</v>
      </c>
      <c r="AD11">
        <v>5</v>
      </c>
      <c r="AE11">
        <v>0</v>
      </c>
      <c r="AF11">
        <v>12</v>
      </c>
      <c r="AG11">
        <v>12</v>
      </c>
      <c r="AH11">
        <v>13</v>
      </c>
    </row>
    <row r="12" spans="1:34" x14ac:dyDescent="0.2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v>4</v>
      </c>
      <c r="H12">
        <v>4</v>
      </c>
      <c r="I12" t="s">
        <v>40</v>
      </c>
      <c r="J12" t="s">
        <v>29</v>
      </c>
      <c r="K12" t="s">
        <v>52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44</v>
      </c>
      <c r="S12">
        <f t="shared" si="0"/>
        <v>0</v>
      </c>
      <c r="T12" t="s">
        <v>44</v>
      </c>
      <c r="U12" t="s">
        <v>43</v>
      </c>
      <c r="V12" t="s">
        <v>43</v>
      </c>
      <c r="W12" t="s">
        <v>43</v>
      </c>
      <c r="X12" t="s">
        <v>44</v>
      </c>
      <c r="Y12">
        <v>3</v>
      </c>
      <c r="Z12">
        <v>3</v>
      </c>
      <c r="AA12">
        <v>3</v>
      </c>
      <c r="AB12">
        <v>1</v>
      </c>
      <c r="AC12">
        <v>2</v>
      </c>
      <c r="AD12">
        <v>2</v>
      </c>
      <c r="AE12">
        <v>2</v>
      </c>
      <c r="AF12">
        <v>14</v>
      </c>
      <c r="AG12">
        <v>14</v>
      </c>
      <c r="AH12">
        <v>14</v>
      </c>
    </row>
    <row r="13" spans="1:34" x14ac:dyDescent="0.2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v>2</v>
      </c>
      <c r="H13">
        <v>1</v>
      </c>
      <c r="I13" t="s">
        <v>49</v>
      </c>
      <c r="J13" t="s">
        <v>46</v>
      </c>
      <c r="K13" t="s">
        <v>52</v>
      </c>
      <c r="L13" t="s">
        <v>47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>
        <f t="shared" si="0"/>
        <v>0</v>
      </c>
      <c r="T13" t="s">
        <v>43</v>
      </c>
      <c r="U13" t="s">
        <v>43</v>
      </c>
      <c r="V13" t="s">
        <v>43</v>
      </c>
      <c r="W13" t="s">
        <v>43</v>
      </c>
      <c r="X13" t="s">
        <v>44</v>
      </c>
      <c r="Y13">
        <v>5</v>
      </c>
      <c r="Z13">
        <v>2</v>
      </c>
      <c r="AA13">
        <v>2</v>
      </c>
      <c r="AB13">
        <v>1</v>
      </c>
      <c r="AC13">
        <v>1</v>
      </c>
      <c r="AD13">
        <v>4</v>
      </c>
      <c r="AE13">
        <v>0</v>
      </c>
      <c r="AF13">
        <v>10</v>
      </c>
      <c r="AG13">
        <v>12</v>
      </c>
      <c r="AH13">
        <v>13</v>
      </c>
    </row>
    <row r="14" spans="1:34" x14ac:dyDescent="0.2">
      <c r="A14" t="s">
        <v>34</v>
      </c>
      <c r="B14" t="s">
        <v>51</v>
      </c>
      <c r="C14">
        <v>15</v>
      </c>
      <c r="D14" t="s">
        <v>36</v>
      </c>
      <c r="E14" t="s">
        <v>48</v>
      </c>
      <c r="F14" t="s">
        <v>45</v>
      </c>
      <c r="G14">
        <v>4</v>
      </c>
      <c r="H14">
        <v>4</v>
      </c>
      <c r="I14" t="s">
        <v>29</v>
      </c>
      <c r="J14" t="s">
        <v>49</v>
      </c>
      <c r="K14" t="s">
        <v>41</v>
      </c>
      <c r="L14" t="s">
        <v>47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44</v>
      </c>
      <c r="S14">
        <f t="shared" si="0"/>
        <v>0</v>
      </c>
      <c r="T14" t="s">
        <v>43</v>
      </c>
      <c r="U14" t="s">
        <v>43</v>
      </c>
      <c r="V14" t="s">
        <v>43</v>
      </c>
      <c r="W14" t="s">
        <v>43</v>
      </c>
      <c r="X14" t="s">
        <v>44</v>
      </c>
      <c r="Y14">
        <v>4</v>
      </c>
      <c r="Z14">
        <v>3</v>
      </c>
      <c r="AA14">
        <v>3</v>
      </c>
      <c r="AB14">
        <v>1</v>
      </c>
      <c r="AC14">
        <v>3</v>
      </c>
      <c r="AD14">
        <v>5</v>
      </c>
      <c r="AE14">
        <v>0</v>
      </c>
      <c r="AF14">
        <v>12</v>
      </c>
      <c r="AG14">
        <v>13</v>
      </c>
      <c r="AH14">
        <v>12</v>
      </c>
    </row>
    <row r="15" spans="1:34" x14ac:dyDescent="0.2">
      <c r="A15" t="s">
        <v>34</v>
      </c>
      <c r="B15" t="s">
        <v>51</v>
      </c>
      <c r="C15">
        <v>15</v>
      </c>
      <c r="D15" t="s">
        <v>36</v>
      </c>
      <c r="E15" t="s">
        <v>37</v>
      </c>
      <c r="F15" t="s">
        <v>45</v>
      </c>
      <c r="G15">
        <v>4</v>
      </c>
      <c r="H15">
        <v>3</v>
      </c>
      <c r="I15" t="s">
        <v>40</v>
      </c>
      <c r="J15" t="s">
        <v>46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44</v>
      </c>
      <c r="S15">
        <f t="shared" si="0"/>
        <v>0</v>
      </c>
      <c r="T15" t="s">
        <v>44</v>
      </c>
      <c r="U15" t="s">
        <v>43</v>
      </c>
      <c r="V15" t="s">
        <v>43</v>
      </c>
      <c r="W15" t="s">
        <v>43</v>
      </c>
      <c r="X15" t="s">
        <v>44</v>
      </c>
      <c r="Y15">
        <v>5</v>
      </c>
      <c r="Z15">
        <v>4</v>
      </c>
      <c r="AA15">
        <v>3</v>
      </c>
      <c r="AB15">
        <v>1</v>
      </c>
      <c r="AC15">
        <v>2</v>
      </c>
      <c r="AD15">
        <v>3</v>
      </c>
      <c r="AE15">
        <v>0</v>
      </c>
      <c r="AF15">
        <v>12</v>
      </c>
      <c r="AG15">
        <v>12</v>
      </c>
      <c r="AH15">
        <v>13</v>
      </c>
    </row>
    <row r="16" spans="1:34" x14ac:dyDescent="0.2">
      <c r="A16" t="s">
        <v>34</v>
      </c>
      <c r="B16" t="s">
        <v>51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46</v>
      </c>
      <c r="J16" t="s">
        <v>46</v>
      </c>
      <c r="K16" t="s">
        <v>50</v>
      </c>
      <c r="L16" t="s">
        <v>46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>
        <f t="shared" si="0"/>
        <v>0</v>
      </c>
      <c r="T16" t="s">
        <v>44</v>
      </c>
      <c r="U16" t="s">
        <v>43</v>
      </c>
      <c r="V16" t="s">
        <v>43</v>
      </c>
      <c r="W16" t="s">
        <v>43</v>
      </c>
      <c r="X16" t="s">
        <v>43</v>
      </c>
      <c r="Y16">
        <v>4</v>
      </c>
      <c r="Z16">
        <v>5</v>
      </c>
      <c r="AA16">
        <v>2</v>
      </c>
      <c r="AB16">
        <v>1</v>
      </c>
      <c r="AC16">
        <v>1</v>
      </c>
      <c r="AD16">
        <v>3</v>
      </c>
      <c r="AE16">
        <v>0</v>
      </c>
      <c r="AF16">
        <v>14</v>
      </c>
      <c r="AG16">
        <v>14</v>
      </c>
      <c r="AH16">
        <v>15</v>
      </c>
    </row>
    <row r="17" spans="1:34" x14ac:dyDescent="0.2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v>4</v>
      </c>
      <c r="H17">
        <v>4</v>
      </c>
      <c r="I17" t="s">
        <v>29</v>
      </c>
      <c r="J17" t="s">
        <v>46</v>
      </c>
      <c r="K17" t="s">
        <v>50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>
        <f t="shared" si="0"/>
        <v>0</v>
      </c>
      <c r="T17" t="s">
        <v>44</v>
      </c>
      <c r="U17" t="s">
        <v>43</v>
      </c>
      <c r="V17" t="s">
        <v>43</v>
      </c>
      <c r="W17" t="s">
        <v>43</v>
      </c>
      <c r="X17" t="s">
        <v>44</v>
      </c>
      <c r="Y17">
        <v>4</v>
      </c>
      <c r="Z17">
        <v>4</v>
      </c>
      <c r="AA17">
        <v>4</v>
      </c>
      <c r="AB17">
        <v>1</v>
      </c>
      <c r="AC17">
        <v>2</v>
      </c>
      <c r="AD17">
        <v>2</v>
      </c>
      <c r="AE17">
        <v>6</v>
      </c>
      <c r="AF17">
        <v>17</v>
      </c>
      <c r="AG17">
        <v>17</v>
      </c>
      <c r="AH17">
        <v>17</v>
      </c>
    </row>
    <row r="18" spans="1:34" x14ac:dyDescent="0.2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v>4</v>
      </c>
      <c r="H18">
        <v>4</v>
      </c>
      <c r="I18" t="s">
        <v>49</v>
      </c>
      <c r="J18" t="s">
        <v>49</v>
      </c>
      <c r="K18" t="s">
        <v>52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44</v>
      </c>
      <c r="S18">
        <f t="shared" si="0"/>
        <v>0</v>
      </c>
      <c r="T18" t="s">
        <v>43</v>
      </c>
      <c r="U18" t="s">
        <v>43</v>
      </c>
      <c r="V18" t="s">
        <v>43</v>
      </c>
      <c r="W18" t="s">
        <v>43</v>
      </c>
      <c r="X18" t="s">
        <v>44</v>
      </c>
      <c r="Y18">
        <v>3</v>
      </c>
      <c r="Z18">
        <v>2</v>
      </c>
      <c r="AA18">
        <v>3</v>
      </c>
      <c r="AB18">
        <v>1</v>
      </c>
      <c r="AC18">
        <v>2</v>
      </c>
      <c r="AD18">
        <v>2</v>
      </c>
      <c r="AE18">
        <v>10</v>
      </c>
      <c r="AF18">
        <v>13</v>
      </c>
      <c r="AG18">
        <v>13</v>
      </c>
      <c r="AH18">
        <v>14</v>
      </c>
    </row>
    <row r="19" spans="1:34" x14ac:dyDescent="0.2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v>3</v>
      </c>
      <c r="H19">
        <v>3</v>
      </c>
      <c r="I19" t="s">
        <v>46</v>
      </c>
      <c r="J19" t="s">
        <v>46</v>
      </c>
      <c r="K19" t="s">
        <v>52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>
        <f t="shared" si="0"/>
        <v>0</v>
      </c>
      <c r="T19" t="s">
        <v>43</v>
      </c>
      <c r="U19" t="s">
        <v>43</v>
      </c>
      <c r="V19" t="s">
        <v>43</v>
      </c>
      <c r="W19" t="s">
        <v>44</v>
      </c>
      <c r="X19" t="s">
        <v>44</v>
      </c>
      <c r="Y19">
        <v>5</v>
      </c>
      <c r="Z19">
        <v>3</v>
      </c>
      <c r="AA19">
        <v>2</v>
      </c>
      <c r="AB19">
        <v>1</v>
      </c>
      <c r="AC19">
        <v>1</v>
      </c>
      <c r="AD19">
        <v>4</v>
      </c>
      <c r="AE19">
        <v>2</v>
      </c>
      <c r="AF19">
        <v>13</v>
      </c>
      <c r="AG19">
        <v>14</v>
      </c>
      <c r="AH19">
        <v>14</v>
      </c>
    </row>
    <row r="20" spans="1:34" x14ac:dyDescent="0.2">
      <c r="A20" t="s">
        <v>34</v>
      </c>
      <c r="B20" t="s">
        <v>51</v>
      </c>
      <c r="C20">
        <v>17</v>
      </c>
      <c r="D20" t="s">
        <v>36</v>
      </c>
      <c r="E20" t="s">
        <v>37</v>
      </c>
      <c r="F20" t="s">
        <v>45</v>
      </c>
      <c r="G20">
        <v>3</v>
      </c>
      <c r="H20">
        <v>2</v>
      </c>
      <c r="I20" t="s">
        <v>49</v>
      </c>
      <c r="J20" t="s">
        <v>49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43</v>
      </c>
      <c r="S20">
        <f t="shared" si="0"/>
        <v>1</v>
      </c>
      <c r="T20" t="s">
        <v>43</v>
      </c>
      <c r="U20" t="s">
        <v>43</v>
      </c>
      <c r="V20" t="s">
        <v>43</v>
      </c>
      <c r="W20" t="s">
        <v>43</v>
      </c>
      <c r="X20" t="s">
        <v>44</v>
      </c>
      <c r="Y20">
        <v>5</v>
      </c>
      <c r="Z20">
        <v>5</v>
      </c>
      <c r="AA20">
        <v>5</v>
      </c>
      <c r="AB20">
        <v>2</v>
      </c>
      <c r="AC20">
        <v>4</v>
      </c>
      <c r="AD20">
        <v>5</v>
      </c>
      <c r="AE20">
        <v>2</v>
      </c>
      <c r="AF20">
        <v>8</v>
      </c>
      <c r="AG20">
        <v>8</v>
      </c>
      <c r="AH20">
        <v>7</v>
      </c>
    </row>
    <row r="21" spans="1:34" x14ac:dyDescent="0.2">
      <c r="A21" t="s">
        <v>34</v>
      </c>
      <c r="B21" t="s">
        <v>51</v>
      </c>
      <c r="C21">
        <v>16</v>
      </c>
      <c r="D21" t="s">
        <v>36</v>
      </c>
      <c r="E21" t="s">
        <v>48</v>
      </c>
      <c r="F21" t="s">
        <v>45</v>
      </c>
      <c r="G21">
        <v>4</v>
      </c>
      <c r="H21">
        <v>3</v>
      </c>
      <c r="I21" t="s">
        <v>29</v>
      </c>
      <c r="J21" t="s">
        <v>46</v>
      </c>
      <c r="K21" t="s">
        <v>50</v>
      </c>
      <c r="L21" t="s">
        <v>47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44</v>
      </c>
      <c r="S21">
        <f t="shared" si="0"/>
        <v>0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>
        <v>3</v>
      </c>
      <c r="Z21">
        <v>1</v>
      </c>
      <c r="AA21">
        <v>3</v>
      </c>
      <c r="AB21">
        <v>1</v>
      </c>
      <c r="AC21">
        <v>3</v>
      </c>
      <c r="AD21">
        <v>5</v>
      </c>
      <c r="AE21">
        <v>6</v>
      </c>
      <c r="AF21">
        <v>12</v>
      </c>
      <c r="AG21">
        <v>12</v>
      </c>
      <c r="AH21">
        <v>12</v>
      </c>
    </row>
    <row r="22" spans="1:34" x14ac:dyDescent="0.2">
      <c r="A22" t="s">
        <v>34</v>
      </c>
      <c r="B22" t="s">
        <v>51</v>
      </c>
      <c r="C22">
        <v>15</v>
      </c>
      <c r="D22" t="s">
        <v>36</v>
      </c>
      <c r="E22" t="s">
        <v>37</v>
      </c>
      <c r="F22" t="s">
        <v>45</v>
      </c>
      <c r="G22">
        <v>4</v>
      </c>
      <c r="H22">
        <v>3</v>
      </c>
      <c r="I22" t="s">
        <v>40</v>
      </c>
      <c r="J22" t="s">
        <v>46</v>
      </c>
      <c r="K22" t="s">
        <v>52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>
        <f t="shared" si="0"/>
        <v>0</v>
      </c>
      <c r="T22" t="s">
        <v>44</v>
      </c>
      <c r="U22" t="s">
        <v>43</v>
      </c>
      <c r="V22" t="s">
        <v>43</v>
      </c>
      <c r="W22" t="s">
        <v>43</v>
      </c>
      <c r="X22" t="s">
        <v>44</v>
      </c>
      <c r="Y22">
        <v>4</v>
      </c>
      <c r="Z22">
        <v>4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12</v>
      </c>
      <c r="AG22">
        <v>13</v>
      </c>
      <c r="AH22">
        <v>14</v>
      </c>
    </row>
    <row r="23" spans="1:34" x14ac:dyDescent="0.2">
      <c r="A23" t="s">
        <v>34</v>
      </c>
      <c r="B23" t="s">
        <v>51</v>
      </c>
      <c r="C23">
        <v>15</v>
      </c>
      <c r="D23" t="s">
        <v>36</v>
      </c>
      <c r="E23" t="s">
        <v>37</v>
      </c>
      <c r="F23" t="s">
        <v>45</v>
      </c>
      <c r="G23">
        <v>4</v>
      </c>
      <c r="H23">
        <v>4</v>
      </c>
      <c r="I23" t="s">
        <v>29</v>
      </c>
      <c r="J23" t="s">
        <v>29</v>
      </c>
      <c r="K23" t="s">
        <v>46</v>
      </c>
      <c r="L23" t="s">
        <v>47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>
        <f t="shared" si="0"/>
        <v>1</v>
      </c>
      <c r="T23" t="s">
        <v>44</v>
      </c>
      <c r="U23" t="s">
        <v>43</v>
      </c>
      <c r="V23" t="s">
        <v>43</v>
      </c>
      <c r="W23" t="s">
        <v>43</v>
      </c>
      <c r="X23" t="s">
        <v>44</v>
      </c>
      <c r="Y23">
        <v>5</v>
      </c>
      <c r="Z23">
        <v>4</v>
      </c>
      <c r="AA23">
        <v>2</v>
      </c>
      <c r="AB23">
        <v>1</v>
      </c>
      <c r="AC23">
        <v>1</v>
      </c>
      <c r="AD23">
        <v>5</v>
      </c>
      <c r="AE23">
        <v>0</v>
      </c>
      <c r="AF23">
        <v>11</v>
      </c>
      <c r="AG23">
        <v>12</v>
      </c>
      <c r="AH23">
        <v>12</v>
      </c>
    </row>
    <row r="24" spans="1:34" x14ac:dyDescent="0.2">
      <c r="A24" t="s">
        <v>34</v>
      </c>
      <c r="B24" t="s">
        <v>51</v>
      </c>
      <c r="C24">
        <v>16</v>
      </c>
      <c r="D24" t="s">
        <v>36</v>
      </c>
      <c r="E24" t="s">
        <v>48</v>
      </c>
      <c r="F24" t="s">
        <v>45</v>
      </c>
      <c r="G24">
        <v>4</v>
      </c>
      <c r="H24">
        <v>2</v>
      </c>
      <c r="I24" t="s">
        <v>40</v>
      </c>
      <c r="J24" t="s">
        <v>46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>
        <f t="shared" si="0"/>
        <v>0</v>
      </c>
      <c r="T24" t="s">
        <v>43</v>
      </c>
      <c r="U24" t="s">
        <v>43</v>
      </c>
      <c r="V24" t="s">
        <v>43</v>
      </c>
      <c r="W24" t="s">
        <v>43</v>
      </c>
      <c r="X24" t="s">
        <v>44</v>
      </c>
      <c r="Y24">
        <v>4</v>
      </c>
      <c r="Z24">
        <v>5</v>
      </c>
      <c r="AA24">
        <v>1</v>
      </c>
      <c r="AB24">
        <v>1</v>
      </c>
      <c r="AC24">
        <v>3</v>
      </c>
      <c r="AD24">
        <v>5</v>
      </c>
      <c r="AE24">
        <v>0</v>
      </c>
      <c r="AF24">
        <v>12</v>
      </c>
      <c r="AG24">
        <v>13</v>
      </c>
      <c r="AH24">
        <v>14</v>
      </c>
    </row>
    <row r="25" spans="1:34" x14ac:dyDescent="0.2">
      <c r="A25" t="s">
        <v>34</v>
      </c>
      <c r="B25" t="s">
        <v>51</v>
      </c>
      <c r="C25">
        <v>16</v>
      </c>
      <c r="D25" t="s">
        <v>36</v>
      </c>
      <c r="E25" t="s">
        <v>48</v>
      </c>
      <c r="F25" t="s">
        <v>45</v>
      </c>
      <c r="G25">
        <v>2</v>
      </c>
      <c r="H25">
        <v>2</v>
      </c>
      <c r="I25" t="s">
        <v>46</v>
      </c>
      <c r="J25" t="s">
        <v>46</v>
      </c>
      <c r="K25" t="s">
        <v>52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>
        <f t="shared" si="0"/>
        <v>0</v>
      </c>
      <c r="T25" t="s">
        <v>43</v>
      </c>
      <c r="U25" t="s">
        <v>43</v>
      </c>
      <c r="V25" t="s">
        <v>43</v>
      </c>
      <c r="W25" t="s">
        <v>43</v>
      </c>
      <c r="X25" t="s">
        <v>44</v>
      </c>
      <c r="Y25">
        <v>5</v>
      </c>
      <c r="Z25">
        <v>4</v>
      </c>
      <c r="AA25">
        <v>4</v>
      </c>
      <c r="AB25">
        <v>2</v>
      </c>
      <c r="AC25">
        <v>4</v>
      </c>
      <c r="AD25">
        <v>5</v>
      </c>
      <c r="AE25">
        <v>2</v>
      </c>
      <c r="AF25">
        <v>10</v>
      </c>
      <c r="AG25">
        <v>10</v>
      </c>
      <c r="AH25">
        <v>10</v>
      </c>
    </row>
    <row r="26" spans="1:34" x14ac:dyDescent="0.2">
      <c r="A26" t="s">
        <v>34</v>
      </c>
      <c r="B26" t="s">
        <v>35</v>
      </c>
      <c r="C26">
        <v>15</v>
      </c>
      <c r="D26" t="s">
        <v>53</v>
      </c>
      <c r="E26" t="s">
        <v>37</v>
      </c>
      <c r="F26" t="s">
        <v>45</v>
      </c>
      <c r="G26">
        <v>2</v>
      </c>
      <c r="H26">
        <v>4</v>
      </c>
      <c r="I26" t="s">
        <v>49</v>
      </c>
      <c r="J26" t="s">
        <v>29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44</v>
      </c>
      <c r="S26">
        <f t="shared" si="0"/>
        <v>0</v>
      </c>
      <c r="T26" t="s">
        <v>43</v>
      </c>
      <c r="U26" t="s">
        <v>43</v>
      </c>
      <c r="V26" t="s">
        <v>43</v>
      </c>
      <c r="W26" t="s">
        <v>43</v>
      </c>
      <c r="X26" t="s">
        <v>44</v>
      </c>
      <c r="Y26">
        <v>4</v>
      </c>
      <c r="Z26">
        <v>3</v>
      </c>
      <c r="AA26">
        <v>2</v>
      </c>
      <c r="AB26">
        <v>1</v>
      </c>
      <c r="AC26">
        <v>1</v>
      </c>
      <c r="AD26">
        <v>5</v>
      </c>
      <c r="AE26">
        <v>2</v>
      </c>
      <c r="AF26">
        <v>10</v>
      </c>
      <c r="AG26">
        <v>11</v>
      </c>
      <c r="AH26">
        <v>10</v>
      </c>
    </row>
    <row r="27" spans="1:34" x14ac:dyDescent="0.2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v>2</v>
      </c>
      <c r="H27">
        <v>2</v>
      </c>
      <c r="I27" t="s">
        <v>49</v>
      </c>
      <c r="J27" t="s">
        <v>49</v>
      </c>
      <c r="K27" t="s">
        <v>50</v>
      </c>
      <c r="L27" t="s">
        <v>42</v>
      </c>
      <c r="M27">
        <v>1</v>
      </c>
      <c r="N27">
        <v>1</v>
      </c>
      <c r="O27">
        <v>0</v>
      </c>
      <c r="P27" t="s">
        <v>44</v>
      </c>
      <c r="Q27" t="s">
        <v>43</v>
      </c>
      <c r="R27" t="s">
        <v>44</v>
      </c>
      <c r="S27">
        <f t="shared" si="0"/>
        <v>0</v>
      </c>
      <c r="T27" t="s">
        <v>44</v>
      </c>
      <c r="U27" t="s">
        <v>44</v>
      </c>
      <c r="V27" t="s">
        <v>43</v>
      </c>
      <c r="W27" t="s">
        <v>43</v>
      </c>
      <c r="X27" t="s">
        <v>44</v>
      </c>
      <c r="Y27">
        <v>1</v>
      </c>
      <c r="Z27">
        <v>2</v>
      </c>
      <c r="AA27">
        <v>2</v>
      </c>
      <c r="AB27">
        <v>1</v>
      </c>
      <c r="AC27">
        <v>3</v>
      </c>
      <c r="AD27">
        <v>5</v>
      </c>
      <c r="AE27">
        <v>6</v>
      </c>
      <c r="AF27">
        <v>10</v>
      </c>
      <c r="AG27">
        <v>11</v>
      </c>
      <c r="AH27">
        <v>12</v>
      </c>
    </row>
    <row r="28" spans="1:34" x14ac:dyDescent="0.2">
      <c r="A28" t="s">
        <v>34</v>
      </c>
      <c r="B28" t="s">
        <v>51</v>
      </c>
      <c r="C28">
        <v>15</v>
      </c>
      <c r="D28" t="s">
        <v>36</v>
      </c>
      <c r="E28" t="s">
        <v>37</v>
      </c>
      <c r="F28" t="s">
        <v>45</v>
      </c>
      <c r="G28">
        <v>2</v>
      </c>
      <c r="H28">
        <v>2</v>
      </c>
      <c r="I28" t="s">
        <v>46</v>
      </c>
      <c r="J28" t="s">
        <v>46</v>
      </c>
      <c r="K28" t="s">
        <v>50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44</v>
      </c>
      <c r="S28">
        <f t="shared" si="0"/>
        <v>0</v>
      </c>
      <c r="T28" t="s">
        <v>44</v>
      </c>
      <c r="U28" t="s">
        <v>43</v>
      </c>
      <c r="V28" t="s">
        <v>43</v>
      </c>
      <c r="W28" t="s">
        <v>43</v>
      </c>
      <c r="X28" t="s">
        <v>44</v>
      </c>
      <c r="Y28">
        <v>4</v>
      </c>
      <c r="Z28">
        <v>2</v>
      </c>
      <c r="AA28">
        <v>2</v>
      </c>
      <c r="AB28">
        <v>1</v>
      </c>
      <c r="AC28">
        <v>2</v>
      </c>
      <c r="AD28">
        <v>5</v>
      </c>
      <c r="AE28">
        <v>8</v>
      </c>
      <c r="AF28">
        <v>11</v>
      </c>
      <c r="AG28">
        <v>12</v>
      </c>
      <c r="AH28">
        <v>12</v>
      </c>
    </row>
    <row r="29" spans="1:34" x14ac:dyDescent="0.2">
      <c r="A29" t="s">
        <v>34</v>
      </c>
      <c r="B29" t="s">
        <v>51</v>
      </c>
      <c r="C29">
        <v>15</v>
      </c>
      <c r="D29" t="s">
        <v>36</v>
      </c>
      <c r="E29" t="s">
        <v>37</v>
      </c>
      <c r="F29" t="s">
        <v>45</v>
      </c>
      <c r="G29">
        <v>4</v>
      </c>
      <c r="H29">
        <v>2</v>
      </c>
      <c r="I29" t="s">
        <v>29</v>
      </c>
      <c r="J29" t="s">
        <v>49</v>
      </c>
      <c r="K29" t="s">
        <v>46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44</v>
      </c>
      <c r="S29">
        <f t="shared" si="0"/>
        <v>0</v>
      </c>
      <c r="T29" t="s">
        <v>44</v>
      </c>
      <c r="U29" t="s">
        <v>43</v>
      </c>
      <c r="V29" t="s">
        <v>43</v>
      </c>
      <c r="W29" t="s">
        <v>43</v>
      </c>
      <c r="X29" t="s">
        <v>44</v>
      </c>
      <c r="Y29">
        <v>2</v>
      </c>
      <c r="Z29">
        <v>2</v>
      </c>
      <c r="AA29">
        <v>4</v>
      </c>
      <c r="AB29">
        <v>2</v>
      </c>
      <c r="AC29">
        <v>4</v>
      </c>
      <c r="AD29">
        <v>1</v>
      </c>
      <c r="AE29">
        <v>0</v>
      </c>
      <c r="AF29">
        <v>11</v>
      </c>
      <c r="AG29">
        <v>11</v>
      </c>
      <c r="AH29">
        <v>11</v>
      </c>
    </row>
    <row r="30" spans="1:34" x14ac:dyDescent="0.2">
      <c r="A30" t="s">
        <v>34</v>
      </c>
      <c r="B30" t="s">
        <v>51</v>
      </c>
      <c r="C30">
        <v>16</v>
      </c>
      <c r="D30" t="s">
        <v>36</v>
      </c>
      <c r="E30" t="s">
        <v>48</v>
      </c>
      <c r="F30" t="s">
        <v>38</v>
      </c>
      <c r="G30">
        <v>3</v>
      </c>
      <c r="H30">
        <v>4</v>
      </c>
      <c r="I30" t="s">
        <v>49</v>
      </c>
      <c r="J30" t="s">
        <v>46</v>
      </c>
      <c r="K30" t="s">
        <v>50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43</v>
      </c>
      <c r="S30">
        <f t="shared" si="0"/>
        <v>1</v>
      </c>
      <c r="T30" t="s">
        <v>43</v>
      </c>
      <c r="U30" t="s">
        <v>43</v>
      </c>
      <c r="V30" t="s">
        <v>43</v>
      </c>
      <c r="W30" t="s">
        <v>43</v>
      </c>
      <c r="X30" t="s">
        <v>44</v>
      </c>
      <c r="Y30">
        <v>5</v>
      </c>
      <c r="Z30">
        <v>3</v>
      </c>
      <c r="AA30">
        <v>3</v>
      </c>
      <c r="AB30">
        <v>1</v>
      </c>
      <c r="AC30">
        <v>1</v>
      </c>
      <c r="AD30">
        <v>5</v>
      </c>
      <c r="AE30">
        <v>2</v>
      </c>
      <c r="AF30">
        <v>12</v>
      </c>
      <c r="AG30">
        <v>12</v>
      </c>
      <c r="AH30">
        <v>13</v>
      </c>
    </row>
    <row r="31" spans="1:34" x14ac:dyDescent="0.2">
      <c r="A31" t="s">
        <v>34</v>
      </c>
      <c r="B31" t="s">
        <v>51</v>
      </c>
      <c r="C31">
        <v>16</v>
      </c>
      <c r="D31" t="s">
        <v>36</v>
      </c>
      <c r="E31" t="s">
        <v>37</v>
      </c>
      <c r="F31" t="s">
        <v>45</v>
      </c>
      <c r="G31">
        <v>4</v>
      </c>
      <c r="H31">
        <v>4</v>
      </c>
      <c r="I31" t="s">
        <v>40</v>
      </c>
      <c r="J31" t="s">
        <v>40</v>
      </c>
      <c r="K31" t="s">
        <v>50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>
        <f t="shared" si="0"/>
        <v>1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4</v>
      </c>
      <c r="AF31">
        <v>12</v>
      </c>
      <c r="AG31">
        <v>11</v>
      </c>
      <c r="AH31">
        <v>12</v>
      </c>
    </row>
    <row r="32" spans="1:34" x14ac:dyDescent="0.2">
      <c r="A32" t="s">
        <v>34</v>
      </c>
      <c r="B32" t="s">
        <v>51</v>
      </c>
      <c r="C32">
        <v>15</v>
      </c>
      <c r="D32" t="s">
        <v>36</v>
      </c>
      <c r="E32" t="s">
        <v>37</v>
      </c>
      <c r="F32" t="s">
        <v>45</v>
      </c>
      <c r="G32">
        <v>4</v>
      </c>
      <c r="H32">
        <v>4</v>
      </c>
      <c r="I32" t="s">
        <v>29</v>
      </c>
      <c r="J32" t="s">
        <v>49</v>
      </c>
      <c r="K32" t="s">
        <v>50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>
        <f t="shared" si="0"/>
        <v>1</v>
      </c>
      <c r="T32" t="s">
        <v>44</v>
      </c>
      <c r="U32" t="s">
        <v>44</v>
      </c>
      <c r="V32" t="s">
        <v>43</v>
      </c>
      <c r="W32" t="s">
        <v>43</v>
      </c>
      <c r="X32" t="s">
        <v>44</v>
      </c>
      <c r="Y32">
        <v>5</v>
      </c>
      <c r="Z32">
        <v>4</v>
      </c>
      <c r="AA32">
        <v>2</v>
      </c>
      <c r="AB32">
        <v>3</v>
      </c>
      <c r="AC32">
        <v>4</v>
      </c>
      <c r="AD32">
        <v>5</v>
      </c>
      <c r="AE32">
        <v>0</v>
      </c>
      <c r="AF32">
        <v>10</v>
      </c>
      <c r="AG32">
        <v>11</v>
      </c>
      <c r="AH32">
        <v>11</v>
      </c>
    </row>
    <row r="33" spans="1:34" x14ac:dyDescent="0.2">
      <c r="A33" t="s">
        <v>34</v>
      </c>
      <c r="B33" t="s">
        <v>51</v>
      </c>
      <c r="C33">
        <v>15</v>
      </c>
      <c r="D33" t="s">
        <v>36</v>
      </c>
      <c r="E33" t="s">
        <v>37</v>
      </c>
      <c r="F33" t="s">
        <v>45</v>
      </c>
      <c r="G33">
        <v>4</v>
      </c>
      <c r="H33">
        <v>4</v>
      </c>
      <c r="I33" t="s">
        <v>49</v>
      </c>
      <c r="J33" t="s">
        <v>49</v>
      </c>
      <c r="K33" t="s">
        <v>52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>
        <f t="shared" si="0"/>
        <v>0</v>
      </c>
      <c r="T33" t="s">
        <v>43</v>
      </c>
      <c r="U33" t="s">
        <v>43</v>
      </c>
      <c r="V33" t="s">
        <v>43</v>
      </c>
      <c r="W33" t="s">
        <v>43</v>
      </c>
      <c r="X33" t="s">
        <v>44</v>
      </c>
      <c r="Y33">
        <v>4</v>
      </c>
      <c r="Z33">
        <v>3</v>
      </c>
      <c r="AA33">
        <v>1</v>
      </c>
      <c r="AB33">
        <v>1</v>
      </c>
      <c r="AC33">
        <v>1</v>
      </c>
      <c r="AD33">
        <v>5</v>
      </c>
      <c r="AE33">
        <v>2</v>
      </c>
      <c r="AF33">
        <v>15</v>
      </c>
      <c r="AG33">
        <v>15</v>
      </c>
      <c r="AH33">
        <v>15</v>
      </c>
    </row>
    <row r="34" spans="1:34" x14ac:dyDescent="0.2">
      <c r="A34" t="s">
        <v>34</v>
      </c>
      <c r="B34" t="s">
        <v>51</v>
      </c>
      <c r="C34">
        <v>15</v>
      </c>
      <c r="D34" t="s">
        <v>53</v>
      </c>
      <c r="E34" t="s">
        <v>37</v>
      </c>
      <c r="F34" t="s">
        <v>45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>
        <f t="shared" si="0"/>
        <v>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>
        <v>4</v>
      </c>
      <c r="Z34">
        <v>5</v>
      </c>
      <c r="AA34">
        <v>2</v>
      </c>
      <c r="AB34">
        <v>1</v>
      </c>
      <c r="AC34">
        <v>1</v>
      </c>
      <c r="AD34">
        <v>5</v>
      </c>
      <c r="AE34">
        <v>0</v>
      </c>
      <c r="AF34">
        <v>13</v>
      </c>
      <c r="AG34">
        <v>14</v>
      </c>
      <c r="AH34">
        <v>15</v>
      </c>
    </row>
    <row r="35" spans="1:34" x14ac:dyDescent="0.2">
      <c r="A35" t="s">
        <v>34</v>
      </c>
      <c r="B35" t="s">
        <v>51</v>
      </c>
      <c r="C35">
        <v>15</v>
      </c>
      <c r="D35" t="s">
        <v>36</v>
      </c>
      <c r="E35" t="s">
        <v>48</v>
      </c>
      <c r="F35" t="s">
        <v>45</v>
      </c>
      <c r="G35">
        <v>3</v>
      </c>
      <c r="H35">
        <v>3</v>
      </c>
      <c r="I35" t="s">
        <v>46</v>
      </c>
      <c r="J35" t="s">
        <v>46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>
        <f t="shared" si="0"/>
        <v>0</v>
      </c>
      <c r="T35" t="s">
        <v>43</v>
      </c>
      <c r="U35" t="s">
        <v>44</v>
      </c>
      <c r="V35" t="s">
        <v>43</v>
      </c>
      <c r="W35" t="s">
        <v>43</v>
      </c>
      <c r="X35" t="s">
        <v>44</v>
      </c>
      <c r="Y35">
        <v>5</v>
      </c>
      <c r="Z35">
        <v>3</v>
      </c>
      <c r="AA35">
        <v>2</v>
      </c>
      <c r="AB35">
        <v>1</v>
      </c>
      <c r="AC35">
        <v>1</v>
      </c>
      <c r="AD35">
        <v>2</v>
      </c>
      <c r="AE35">
        <v>0</v>
      </c>
      <c r="AF35">
        <v>13</v>
      </c>
      <c r="AG35">
        <v>12</v>
      </c>
      <c r="AH35">
        <v>12</v>
      </c>
    </row>
    <row r="36" spans="1:34" x14ac:dyDescent="0.2">
      <c r="A36" t="s">
        <v>34</v>
      </c>
      <c r="B36" t="s">
        <v>51</v>
      </c>
      <c r="C36">
        <v>16</v>
      </c>
      <c r="D36" t="s">
        <v>36</v>
      </c>
      <c r="E36" t="s">
        <v>37</v>
      </c>
      <c r="F36" t="s">
        <v>45</v>
      </c>
      <c r="G36">
        <v>3</v>
      </c>
      <c r="H36">
        <v>2</v>
      </c>
      <c r="I36" t="s">
        <v>46</v>
      </c>
      <c r="J36" t="s">
        <v>46</v>
      </c>
      <c r="K36" t="s">
        <v>50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44</v>
      </c>
      <c r="S36">
        <f t="shared" si="0"/>
        <v>0</v>
      </c>
      <c r="T36" t="s">
        <v>44</v>
      </c>
      <c r="U36" t="s">
        <v>44</v>
      </c>
      <c r="V36" t="s">
        <v>43</v>
      </c>
      <c r="W36" t="s">
        <v>43</v>
      </c>
      <c r="X36" t="s">
        <v>44</v>
      </c>
      <c r="Y36">
        <v>5</v>
      </c>
      <c r="Z36">
        <v>4</v>
      </c>
      <c r="AA36">
        <v>3</v>
      </c>
      <c r="AB36">
        <v>1</v>
      </c>
      <c r="AC36">
        <v>1</v>
      </c>
      <c r="AD36">
        <v>5</v>
      </c>
      <c r="AE36">
        <v>4</v>
      </c>
      <c r="AF36">
        <v>12</v>
      </c>
      <c r="AG36">
        <v>12</v>
      </c>
      <c r="AH36">
        <v>12</v>
      </c>
    </row>
    <row r="37" spans="1:34" x14ac:dyDescent="0.2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v>2</v>
      </c>
      <c r="H37">
        <v>3</v>
      </c>
      <c r="I37" t="s">
        <v>46</v>
      </c>
      <c r="J37" t="s">
        <v>46</v>
      </c>
      <c r="K37" t="s">
        <v>46</v>
      </c>
      <c r="L37" t="s">
        <v>47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>
        <f t="shared" si="0"/>
        <v>0</v>
      </c>
      <c r="T37" t="s">
        <v>43</v>
      </c>
      <c r="U37" t="s">
        <v>43</v>
      </c>
      <c r="V37" t="s">
        <v>43</v>
      </c>
      <c r="W37" t="s">
        <v>44</v>
      </c>
      <c r="X37" t="s">
        <v>44</v>
      </c>
      <c r="Y37">
        <v>3</v>
      </c>
      <c r="Z37">
        <v>5</v>
      </c>
      <c r="AA37">
        <v>1</v>
      </c>
      <c r="AB37">
        <v>1</v>
      </c>
      <c r="AC37">
        <v>1</v>
      </c>
      <c r="AD37">
        <v>5</v>
      </c>
      <c r="AE37">
        <v>4</v>
      </c>
      <c r="AF37">
        <v>11</v>
      </c>
      <c r="AG37">
        <v>11</v>
      </c>
      <c r="AH37">
        <v>11</v>
      </c>
    </row>
    <row r="38" spans="1:34" x14ac:dyDescent="0.2">
      <c r="A38" t="s">
        <v>34</v>
      </c>
      <c r="B38" t="s">
        <v>51</v>
      </c>
      <c r="C38">
        <v>15</v>
      </c>
      <c r="D38" t="s">
        <v>36</v>
      </c>
      <c r="E38" t="s">
        <v>48</v>
      </c>
      <c r="F38" t="s">
        <v>45</v>
      </c>
      <c r="G38">
        <v>4</v>
      </c>
      <c r="H38">
        <v>3</v>
      </c>
      <c r="I38" t="s">
        <v>40</v>
      </c>
      <c r="J38" t="s">
        <v>49</v>
      </c>
      <c r="K38" t="s">
        <v>50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>
        <f t="shared" si="0"/>
        <v>0</v>
      </c>
      <c r="T38" t="s">
        <v>43</v>
      </c>
      <c r="U38" t="s">
        <v>43</v>
      </c>
      <c r="V38" t="s">
        <v>43</v>
      </c>
      <c r="W38" t="s">
        <v>43</v>
      </c>
      <c r="X38" t="s">
        <v>44</v>
      </c>
      <c r="Y38">
        <v>5</v>
      </c>
      <c r="Z38">
        <v>4</v>
      </c>
      <c r="AA38">
        <v>3</v>
      </c>
      <c r="AB38">
        <v>1</v>
      </c>
      <c r="AC38">
        <v>1</v>
      </c>
      <c r="AD38">
        <v>4</v>
      </c>
      <c r="AE38">
        <v>0</v>
      </c>
      <c r="AF38">
        <v>14</v>
      </c>
      <c r="AG38">
        <v>14</v>
      </c>
      <c r="AH38">
        <v>14</v>
      </c>
    </row>
    <row r="39" spans="1:34" x14ac:dyDescent="0.2">
      <c r="A39" t="s">
        <v>34</v>
      </c>
      <c r="B39" t="s">
        <v>51</v>
      </c>
      <c r="C39">
        <v>16</v>
      </c>
      <c r="D39" t="s">
        <v>53</v>
      </c>
      <c r="E39" t="s">
        <v>37</v>
      </c>
      <c r="F39" t="s">
        <v>38</v>
      </c>
      <c r="G39">
        <v>4</v>
      </c>
      <c r="H39">
        <v>4</v>
      </c>
      <c r="I39" t="s">
        <v>46</v>
      </c>
      <c r="J39" t="s">
        <v>40</v>
      </c>
      <c r="K39" t="s">
        <v>52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>
        <f t="shared" si="0"/>
        <v>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>
        <v>2</v>
      </c>
      <c r="Z39">
        <v>4</v>
      </c>
      <c r="AA39">
        <v>3</v>
      </c>
      <c r="AB39">
        <v>1</v>
      </c>
      <c r="AC39">
        <v>1</v>
      </c>
      <c r="AD39">
        <v>5</v>
      </c>
      <c r="AE39">
        <v>4</v>
      </c>
      <c r="AF39">
        <v>13</v>
      </c>
      <c r="AG39">
        <v>13</v>
      </c>
      <c r="AH39">
        <v>13</v>
      </c>
    </row>
    <row r="40" spans="1:34" x14ac:dyDescent="0.2">
      <c r="A40" t="s">
        <v>34</v>
      </c>
      <c r="B40" t="s">
        <v>35</v>
      </c>
      <c r="C40">
        <v>15</v>
      </c>
      <c r="D40" t="s">
        <v>53</v>
      </c>
      <c r="E40" t="s">
        <v>37</v>
      </c>
      <c r="F40" t="s">
        <v>45</v>
      </c>
      <c r="G40">
        <v>3</v>
      </c>
      <c r="H40">
        <v>4</v>
      </c>
      <c r="I40" t="s">
        <v>49</v>
      </c>
      <c r="J40" t="s">
        <v>29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44</v>
      </c>
      <c r="S40">
        <f t="shared" si="0"/>
        <v>0</v>
      </c>
      <c r="T40" t="s">
        <v>43</v>
      </c>
      <c r="U40" t="s">
        <v>43</v>
      </c>
      <c r="V40" t="s">
        <v>43</v>
      </c>
      <c r="W40" t="s">
        <v>43</v>
      </c>
      <c r="X40" t="s">
        <v>44</v>
      </c>
      <c r="Y40">
        <v>4</v>
      </c>
      <c r="Z40">
        <v>3</v>
      </c>
      <c r="AA40">
        <v>2</v>
      </c>
      <c r="AB40">
        <v>1</v>
      </c>
      <c r="AC40">
        <v>1</v>
      </c>
      <c r="AD40">
        <v>5</v>
      </c>
      <c r="AE40">
        <v>2</v>
      </c>
      <c r="AF40">
        <v>11</v>
      </c>
      <c r="AG40">
        <v>12</v>
      </c>
      <c r="AH40">
        <v>12</v>
      </c>
    </row>
    <row r="41" spans="1:34" x14ac:dyDescent="0.2">
      <c r="A41" t="s">
        <v>34</v>
      </c>
      <c r="B41" t="s">
        <v>35</v>
      </c>
      <c r="C41">
        <v>15</v>
      </c>
      <c r="D41" t="s">
        <v>53</v>
      </c>
      <c r="E41" t="s">
        <v>37</v>
      </c>
      <c r="F41" t="s">
        <v>45</v>
      </c>
      <c r="G41">
        <v>2</v>
      </c>
      <c r="H41">
        <v>2</v>
      </c>
      <c r="I41" t="s">
        <v>39</v>
      </c>
      <c r="J41" t="s">
        <v>46</v>
      </c>
      <c r="K41" t="s">
        <v>52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44</v>
      </c>
      <c r="S41">
        <f t="shared" si="0"/>
        <v>0</v>
      </c>
      <c r="T41" t="s">
        <v>43</v>
      </c>
      <c r="U41" t="s">
        <v>43</v>
      </c>
      <c r="V41" t="s">
        <v>43</v>
      </c>
      <c r="W41" t="s">
        <v>44</v>
      </c>
      <c r="X41" t="s">
        <v>44</v>
      </c>
      <c r="Y41">
        <v>4</v>
      </c>
      <c r="Z41">
        <v>3</v>
      </c>
      <c r="AA41">
        <v>1</v>
      </c>
      <c r="AB41">
        <v>1</v>
      </c>
      <c r="AC41">
        <v>1</v>
      </c>
      <c r="AD41">
        <v>2</v>
      </c>
      <c r="AE41">
        <v>8</v>
      </c>
      <c r="AF41">
        <v>14</v>
      </c>
      <c r="AG41">
        <v>13</v>
      </c>
      <c r="AH41">
        <v>12</v>
      </c>
    </row>
    <row r="42" spans="1:34" x14ac:dyDescent="0.2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v>2</v>
      </c>
      <c r="H42">
        <v>2</v>
      </c>
      <c r="I42" t="s">
        <v>46</v>
      </c>
      <c r="J42" t="s">
        <v>46</v>
      </c>
      <c r="K42" t="s">
        <v>50</v>
      </c>
      <c r="L42" t="s">
        <v>42</v>
      </c>
      <c r="M42">
        <v>2</v>
      </c>
      <c r="N42">
        <v>2</v>
      </c>
      <c r="O42">
        <v>0</v>
      </c>
      <c r="P42" t="s">
        <v>44</v>
      </c>
      <c r="Q42" t="s">
        <v>43</v>
      </c>
      <c r="R42" t="s">
        <v>44</v>
      </c>
      <c r="S42">
        <f t="shared" si="0"/>
        <v>0</v>
      </c>
      <c r="T42" t="s">
        <v>43</v>
      </c>
      <c r="U42" t="s">
        <v>44</v>
      </c>
      <c r="V42" t="s">
        <v>43</v>
      </c>
      <c r="W42" t="s">
        <v>43</v>
      </c>
      <c r="X42" t="s">
        <v>43</v>
      </c>
      <c r="Y42">
        <v>3</v>
      </c>
      <c r="Z42">
        <v>3</v>
      </c>
      <c r="AA42">
        <v>3</v>
      </c>
      <c r="AB42">
        <v>1</v>
      </c>
      <c r="AC42">
        <v>2</v>
      </c>
      <c r="AD42">
        <v>3</v>
      </c>
      <c r="AE42">
        <v>16</v>
      </c>
      <c r="AF42">
        <v>11</v>
      </c>
      <c r="AG42">
        <v>11</v>
      </c>
      <c r="AH42">
        <v>10</v>
      </c>
    </row>
    <row r="43" spans="1:34" x14ac:dyDescent="0.2">
      <c r="A43" t="s">
        <v>34</v>
      </c>
      <c r="B43" t="s">
        <v>51</v>
      </c>
      <c r="C43">
        <v>15</v>
      </c>
      <c r="D43" t="s">
        <v>36</v>
      </c>
      <c r="E43" t="s">
        <v>48</v>
      </c>
      <c r="F43" t="s">
        <v>45</v>
      </c>
      <c r="G43">
        <v>4</v>
      </c>
      <c r="H43">
        <v>4</v>
      </c>
      <c r="I43" t="s">
        <v>40</v>
      </c>
      <c r="J43" t="s">
        <v>46</v>
      </c>
      <c r="K43" t="s">
        <v>50</v>
      </c>
      <c r="L43" t="s">
        <v>46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>
        <f t="shared" si="0"/>
        <v>0</v>
      </c>
      <c r="T43" t="s">
        <v>44</v>
      </c>
      <c r="U43" t="s">
        <v>44</v>
      </c>
      <c r="V43" t="s">
        <v>43</v>
      </c>
      <c r="W43" t="s">
        <v>43</v>
      </c>
      <c r="X43" t="s">
        <v>43</v>
      </c>
      <c r="Y43">
        <v>5</v>
      </c>
      <c r="Z43">
        <v>4</v>
      </c>
      <c r="AA43">
        <v>3</v>
      </c>
      <c r="AB43">
        <v>2</v>
      </c>
      <c r="AC43">
        <v>4</v>
      </c>
      <c r="AD43">
        <v>5</v>
      </c>
      <c r="AE43">
        <v>8</v>
      </c>
      <c r="AF43">
        <v>10</v>
      </c>
      <c r="AG43">
        <v>11</v>
      </c>
      <c r="AH43">
        <v>11</v>
      </c>
    </row>
    <row r="44" spans="1:34" x14ac:dyDescent="0.2">
      <c r="A44" t="s">
        <v>34</v>
      </c>
      <c r="B44" t="s">
        <v>51</v>
      </c>
      <c r="C44">
        <v>15</v>
      </c>
      <c r="D44" t="s">
        <v>36</v>
      </c>
      <c r="E44" t="s">
        <v>37</v>
      </c>
      <c r="F44" t="s">
        <v>45</v>
      </c>
      <c r="G44">
        <v>4</v>
      </c>
      <c r="H44">
        <v>4</v>
      </c>
      <c r="I44" t="s">
        <v>49</v>
      </c>
      <c r="J44" t="s">
        <v>40</v>
      </c>
      <c r="K44" t="s">
        <v>41</v>
      </c>
      <c r="L44" t="s">
        <v>47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>
        <f t="shared" si="0"/>
        <v>0</v>
      </c>
      <c r="T44" t="s">
        <v>43</v>
      </c>
      <c r="U44" t="s">
        <v>43</v>
      </c>
      <c r="V44" t="s">
        <v>43</v>
      </c>
      <c r="W44" t="s">
        <v>43</v>
      </c>
      <c r="X44" t="s">
        <v>44</v>
      </c>
      <c r="Y44">
        <v>4</v>
      </c>
      <c r="Z44">
        <v>3</v>
      </c>
      <c r="AA44">
        <v>3</v>
      </c>
      <c r="AB44">
        <v>1</v>
      </c>
      <c r="AC44">
        <v>1</v>
      </c>
      <c r="AD44">
        <v>5</v>
      </c>
      <c r="AE44">
        <v>0</v>
      </c>
      <c r="AF44">
        <v>14</v>
      </c>
      <c r="AG44">
        <v>15</v>
      </c>
      <c r="AH44">
        <v>15</v>
      </c>
    </row>
    <row r="45" spans="1:34" x14ac:dyDescent="0.2">
      <c r="A45" t="s">
        <v>34</v>
      </c>
      <c r="B45" t="s">
        <v>51</v>
      </c>
      <c r="C45">
        <v>15</v>
      </c>
      <c r="D45" t="s">
        <v>36</v>
      </c>
      <c r="E45" t="s">
        <v>37</v>
      </c>
      <c r="F45" t="s">
        <v>45</v>
      </c>
      <c r="G45">
        <v>2</v>
      </c>
      <c r="H45">
        <v>2</v>
      </c>
      <c r="I45" t="s">
        <v>49</v>
      </c>
      <c r="J45" t="s">
        <v>49</v>
      </c>
      <c r="K45" t="s">
        <v>41</v>
      </c>
      <c r="L45" t="s">
        <v>47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>
        <f t="shared" si="0"/>
        <v>0</v>
      </c>
      <c r="T45" t="s">
        <v>44</v>
      </c>
      <c r="U45" t="s">
        <v>43</v>
      </c>
      <c r="V45" t="s">
        <v>43</v>
      </c>
      <c r="W45" t="s">
        <v>43</v>
      </c>
      <c r="X45" t="s">
        <v>44</v>
      </c>
      <c r="Y45">
        <v>5</v>
      </c>
      <c r="Z45">
        <v>4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9</v>
      </c>
      <c r="AG45">
        <v>10</v>
      </c>
      <c r="AH45">
        <v>10</v>
      </c>
    </row>
    <row r="46" spans="1:34" x14ac:dyDescent="0.2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v>2</v>
      </c>
      <c r="H46">
        <v>2</v>
      </c>
      <c r="I46" t="s">
        <v>46</v>
      </c>
      <c r="J46" t="s">
        <v>39</v>
      </c>
      <c r="K46" t="s">
        <v>41</v>
      </c>
      <c r="L46" t="s">
        <v>47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>
        <f t="shared" si="0"/>
        <v>0</v>
      </c>
      <c r="T46" t="s">
        <v>43</v>
      </c>
      <c r="U46" t="s">
        <v>43</v>
      </c>
      <c r="V46" t="s">
        <v>43</v>
      </c>
      <c r="W46" t="s">
        <v>43</v>
      </c>
      <c r="X46" t="s">
        <v>44</v>
      </c>
      <c r="Y46">
        <v>4</v>
      </c>
      <c r="Z46">
        <v>3</v>
      </c>
      <c r="AA46">
        <v>3</v>
      </c>
      <c r="AB46">
        <v>2</v>
      </c>
      <c r="AC46">
        <v>2</v>
      </c>
      <c r="AD46">
        <v>5</v>
      </c>
      <c r="AE46">
        <v>14</v>
      </c>
      <c r="AF46">
        <v>10</v>
      </c>
      <c r="AG46">
        <v>11</v>
      </c>
      <c r="AH46">
        <v>11</v>
      </c>
    </row>
    <row r="47" spans="1:34" x14ac:dyDescent="0.2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v>4</v>
      </c>
      <c r="H47">
        <v>3</v>
      </c>
      <c r="I47" t="s">
        <v>46</v>
      </c>
      <c r="J47" t="s">
        <v>46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>
        <f t="shared" si="0"/>
        <v>1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>
        <v>5</v>
      </c>
      <c r="Z47">
        <v>2</v>
      </c>
      <c r="AA47">
        <v>2</v>
      </c>
      <c r="AB47">
        <v>1</v>
      </c>
      <c r="AC47">
        <v>1</v>
      </c>
      <c r="AD47">
        <v>5</v>
      </c>
      <c r="AE47">
        <v>4</v>
      </c>
      <c r="AF47">
        <v>10</v>
      </c>
      <c r="AG47">
        <v>11</v>
      </c>
      <c r="AH47">
        <v>11</v>
      </c>
    </row>
    <row r="48" spans="1:34" x14ac:dyDescent="0.2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v>3</v>
      </c>
      <c r="H48">
        <v>3</v>
      </c>
      <c r="I48" t="s">
        <v>46</v>
      </c>
      <c r="J48" t="s">
        <v>49</v>
      </c>
      <c r="K48" t="s">
        <v>50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>
        <f t="shared" si="0"/>
        <v>0</v>
      </c>
      <c r="T48" t="s">
        <v>44</v>
      </c>
      <c r="U48" t="s">
        <v>43</v>
      </c>
      <c r="V48" t="s">
        <v>43</v>
      </c>
      <c r="W48" t="s">
        <v>43</v>
      </c>
      <c r="X48" t="s">
        <v>44</v>
      </c>
      <c r="Y48">
        <v>2</v>
      </c>
      <c r="Z48">
        <v>3</v>
      </c>
      <c r="AA48">
        <v>5</v>
      </c>
      <c r="AB48">
        <v>1</v>
      </c>
      <c r="AC48">
        <v>4</v>
      </c>
      <c r="AD48">
        <v>3</v>
      </c>
      <c r="AE48">
        <v>6</v>
      </c>
      <c r="AF48">
        <v>13</v>
      </c>
      <c r="AG48">
        <v>12</v>
      </c>
      <c r="AH48">
        <v>13</v>
      </c>
    </row>
    <row r="49" spans="1:34" x14ac:dyDescent="0.2">
      <c r="A49" t="s">
        <v>34</v>
      </c>
      <c r="B49" t="s">
        <v>51</v>
      </c>
      <c r="C49">
        <v>16</v>
      </c>
      <c r="D49" t="s">
        <v>36</v>
      </c>
      <c r="E49" t="s">
        <v>37</v>
      </c>
      <c r="F49" t="s">
        <v>45</v>
      </c>
      <c r="G49">
        <v>4</v>
      </c>
      <c r="H49">
        <v>3</v>
      </c>
      <c r="I49" t="s">
        <v>29</v>
      </c>
      <c r="J49" t="s">
        <v>49</v>
      </c>
      <c r="K49" t="s">
        <v>52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>
        <f t="shared" si="0"/>
        <v>0</v>
      </c>
      <c r="T49" t="s">
        <v>43</v>
      </c>
      <c r="U49" t="s">
        <v>43</v>
      </c>
      <c r="V49" t="s">
        <v>43</v>
      </c>
      <c r="W49" t="s">
        <v>43</v>
      </c>
      <c r="X49" t="s">
        <v>44</v>
      </c>
      <c r="Y49">
        <v>4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2</v>
      </c>
      <c r="AF49">
        <v>17</v>
      </c>
      <c r="AG49">
        <v>17</v>
      </c>
      <c r="AH49">
        <v>17</v>
      </c>
    </row>
    <row r="50" spans="1:34" x14ac:dyDescent="0.2">
      <c r="A50" t="s">
        <v>34</v>
      </c>
      <c r="B50" t="s">
        <v>51</v>
      </c>
      <c r="C50">
        <v>15</v>
      </c>
      <c r="D50" t="s">
        <v>36</v>
      </c>
      <c r="E50" t="s">
        <v>37</v>
      </c>
      <c r="F50" t="s">
        <v>45</v>
      </c>
      <c r="G50">
        <v>4</v>
      </c>
      <c r="H50">
        <v>2</v>
      </c>
      <c r="I50" t="s">
        <v>40</v>
      </c>
      <c r="J50" t="s">
        <v>46</v>
      </c>
      <c r="K50" t="s">
        <v>50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44</v>
      </c>
      <c r="S50">
        <f t="shared" si="0"/>
        <v>0</v>
      </c>
      <c r="T50" t="s">
        <v>44</v>
      </c>
      <c r="U50" t="s">
        <v>43</v>
      </c>
      <c r="V50" t="s">
        <v>43</v>
      </c>
      <c r="W50" t="s">
        <v>44</v>
      </c>
      <c r="X50" t="s">
        <v>44</v>
      </c>
      <c r="Y50">
        <v>4</v>
      </c>
      <c r="Z50">
        <v>3</v>
      </c>
      <c r="AA50">
        <v>3</v>
      </c>
      <c r="AB50">
        <v>2</v>
      </c>
      <c r="AC50">
        <v>2</v>
      </c>
      <c r="AD50">
        <v>5</v>
      </c>
      <c r="AE50">
        <v>4</v>
      </c>
      <c r="AF50">
        <v>11</v>
      </c>
      <c r="AG50">
        <v>12</v>
      </c>
      <c r="AH50">
        <v>13</v>
      </c>
    </row>
    <row r="51" spans="1:34" x14ac:dyDescent="0.2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v>4</v>
      </c>
      <c r="H51">
        <v>4</v>
      </c>
      <c r="I51" t="s">
        <v>49</v>
      </c>
      <c r="J51" t="s">
        <v>40</v>
      </c>
      <c r="K51" t="s">
        <v>46</v>
      </c>
      <c r="L51" t="s">
        <v>47</v>
      </c>
      <c r="M51">
        <v>1</v>
      </c>
      <c r="N51">
        <v>2</v>
      </c>
      <c r="O51">
        <v>0</v>
      </c>
      <c r="P51" t="s">
        <v>43</v>
      </c>
      <c r="Q51" t="s">
        <v>43</v>
      </c>
      <c r="R51" t="s">
        <v>44</v>
      </c>
      <c r="S51">
        <f t="shared" si="0"/>
        <v>0</v>
      </c>
      <c r="T51" t="s">
        <v>43</v>
      </c>
      <c r="U51" t="s">
        <v>44</v>
      </c>
      <c r="V51" t="s">
        <v>43</v>
      </c>
      <c r="W51" t="s">
        <v>43</v>
      </c>
      <c r="X51" t="s">
        <v>44</v>
      </c>
      <c r="Y51">
        <v>4</v>
      </c>
      <c r="Z51">
        <v>4</v>
      </c>
      <c r="AA51">
        <v>4</v>
      </c>
      <c r="AB51">
        <v>1</v>
      </c>
      <c r="AC51">
        <v>1</v>
      </c>
      <c r="AD51">
        <v>3</v>
      </c>
      <c r="AE51">
        <v>2</v>
      </c>
      <c r="AF51">
        <v>13</v>
      </c>
      <c r="AG51">
        <v>12</v>
      </c>
      <c r="AH51">
        <v>12</v>
      </c>
    </row>
    <row r="52" spans="1:34" x14ac:dyDescent="0.2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v>2</v>
      </c>
      <c r="H52">
        <v>2</v>
      </c>
      <c r="I52" t="s">
        <v>49</v>
      </c>
      <c r="J52" t="s">
        <v>49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44</v>
      </c>
      <c r="S52">
        <f t="shared" si="0"/>
        <v>0</v>
      </c>
      <c r="T52" t="s">
        <v>44</v>
      </c>
      <c r="U52" t="s">
        <v>43</v>
      </c>
      <c r="V52" t="s">
        <v>43</v>
      </c>
      <c r="W52" t="s">
        <v>43</v>
      </c>
      <c r="X52" t="s">
        <v>44</v>
      </c>
      <c r="Y52">
        <v>4</v>
      </c>
      <c r="Z52">
        <v>3</v>
      </c>
      <c r="AA52">
        <v>3</v>
      </c>
      <c r="AB52">
        <v>2</v>
      </c>
      <c r="AC52">
        <v>3</v>
      </c>
      <c r="AD52">
        <v>4</v>
      </c>
      <c r="AE52">
        <v>0</v>
      </c>
      <c r="AF52">
        <v>14</v>
      </c>
      <c r="AG52">
        <v>13</v>
      </c>
      <c r="AH52">
        <v>13</v>
      </c>
    </row>
    <row r="53" spans="1:34" x14ac:dyDescent="0.2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v>4</v>
      </c>
      <c r="H53">
        <v>2</v>
      </c>
      <c r="I53" t="s">
        <v>29</v>
      </c>
      <c r="J53" t="s">
        <v>46</v>
      </c>
      <c r="K53" t="s">
        <v>46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44</v>
      </c>
      <c r="S53">
        <f t="shared" si="0"/>
        <v>0</v>
      </c>
      <c r="T53" t="s">
        <v>44</v>
      </c>
      <c r="U53" t="s">
        <v>43</v>
      </c>
      <c r="V53" t="s">
        <v>43</v>
      </c>
      <c r="W53" t="s">
        <v>43</v>
      </c>
      <c r="X53" t="s">
        <v>44</v>
      </c>
      <c r="Y53">
        <v>4</v>
      </c>
      <c r="Z53">
        <v>3</v>
      </c>
      <c r="AA53">
        <v>3</v>
      </c>
      <c r="AB53">
        <v>1</v>
      </c>
      <c r="AC53">
        <v>1</v>
      </c>
      <c r="AD53">
        <v>5</v>
      </c>
      <c r="AE53">
        <v>0</v>
      </c>
      <c r="AF53">
        <v>16</v>
      </c>
      <c r="AG53">
        <v>14</v>
      </c>
      <c r="AH53">
        <v>16</v>
      </c>
    </row>
    <row r="54" spans="1:34" x14ac:dyDescent="0.2">
      <c r="A54" t="s">
        <v>34</v>
      </c>
      <c r="B54" t="s">
        <v>51</v>
      </c>
      <c r="C54">
        <v>15</v>
      </c>
      <c r="D54" t="s">
        <v>36</v>
      </c>
      <c r="E54" t="s">
        <v>48</v>
      </c>
      <c r="F54" t="s">
        <v>38</v>
      </c>
      <c r="G54">
        <v>4</v>
      </c>
      <c r="H54">
        <v>2</v>
      </c>
      <c r="I54" t="s">
        <v>29</v>
      </c>
      <c r="J54" t="s">
        <v>29</v>
      </c>
      <c r="K54" t="s">
        <v>46</v>
      </c>
      <c r="L54" t="s">
        <v>47</v>
      </c>
      <c r="M54">
        <v>2</v>
      </c>
      <c r="N54">
        <v>1</v>
      </c>
      <c r="O54">
        <v>0</v>
      </c>
      <c r="P54" t="s">
        <v>44</v>
      </c>
      <c r="Q54" t="s">
        <v>44</v>
      </c>
      <c r="R54" t="s">
        <v>44</v>
      </c>
      <c r="S54">
        <f t="shared" si="0"/>
        <v>0</v>
      </c>
      <c r="T54" t="s">
        <v>44</v>
      </c>
      <c r="U54" t="s">
        <v>43</v>
      </c>
      <c r="V54" t="s">
        <v>43</v>
      </c>
      <c r="W54" t="s">
        <v>44</v>
      </c>
      <c r="X54" t="s">
        <v>44</v>
      </c>
      <c r="Y54">
        <v>5</v>
      </c>
      <c r="Z54">
        <v>5</v>
      </c>
      <c r="AA54">
        <v>5</v>
      </c>
      <c r="AB54">
        <v>3</v>
      </c>
      <c r="AC54">
        <v>4</v>
      </c>
      <c r="AD54">
        <v>5</v>
      </c>
      <c r="AE54">
        <v>4</v>
      </c>
      <c r="AF54">
        <v>10</v>
      </c>
      <c r="AG54">
        <v>9</v>
      </c>
      <c r="AH54">
        <v>9</v>
      </c>
    </row>
    <row r="55" spans="1:34" x14ac:dyDescent="0.2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v>4</v>
      </c>
      <c r="H55">
        <v>4</v>
      </c>
      <c r="I55" t="s">
        <v>49</v>
      </c>
      <c r="J55" t="s">
        <v>49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44</v>
      </c>
      <c r="S55">
        <f t="shared" si="0"/>
        <v>0</v>
      </c>
      <c r="T55" t="s">
        <v>44</v>
      </c>
      <c r="U55" t="s">
        <v>43</v>
      </c>
      <c r="V55" t="s">
        <v>43</v>
      </c>
      <c r="W55" t="s">
        <v>43</v>
      </c>
      <c r="X55" t="s">
        <v>44</v>
      </c>
      <c r="Y55">
        <v>3</v>
      </c>
      <c r="Z55">
        <v>3</v>
      </c>
      <c r="AA55">
        <v>4</v>
      </c>
      <c r="AB55">
        <v>2</v>
      </c>
      <c r="AC55">
        <v>3</v>
      </c>
      <c r="AD55">
        <v>5</v>
      </c>
      <c r="AE55">
        <v>0</v>
      </c>
      <c r="AF55">
        <v>13</v>
      </c>
      <c r="AG55">
        <v>12</v>
      </c>
      <c r="AH55">
        <v>12</v>
      </c>
    </row>
    <row r="56" spans="1:34" x14ac:dyDescent="0.2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v>3</v>
      </c>
      <c r="H56">
        <v>3</v>
      </c>
      <c r="I56" t="s">
        <v>46</v>
      </c>
      <c r="J56" t="s">
        <v>46</v>
      </c>
      <c r="K56" t="s">
        <v>46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44</v>
      </c>
      <c r="S56">
        <f t="shared" si="0"/>
        <v>0</v>
      </c>
      <c r="T56" t="s">
        <v>44</v>
      </c>
      <c r="U56" t="s">
        <v>43</v>
      </c>
      <c r="V56" t="s">
        <v>43</v>
      </c>
      <c r="W56" t="s">
        <v>43</v>
      </c>
      <c r="X56" t="s">
        <v>44</v>
      </c>
      <c r="Y56">
        <v>5</v>
      </c>
      <c r="Z56">
        <v>3</v>
      </c>
      <c r="AA56">
        <v>4</v>
      </c>
      <c r="AB56">
        <v>4</v>
      </c>
      <c r="AC56">
        <v>4</v>
      </c>
      <c r="AD56">
        <v>1</v>
      </c>
      <c r="AE56">
        <v>0</v>
      </c>
      <c r="AF56">
        <v>13</v>
      </c>
      <c r="AG56">
        <v>12</v>
      </c>
      <c r="AH56">
        <v>13</v>
      </c>
    </row>
    <row r="57" spans="1:34" x14ac:dyDescent="0.2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46</v>
      </c>
      <c r="J57" t="s">
        <v>46</v>
      </c>
      <c r="K57" t="s">
        <v>46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44</v>
      </c>
      <c r="S57">
        <f t="shared" si="0"/>
        <v>0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>
        <v>5</v>
      </c>
      <c r="Z57">
        <v>3</v>
      </c>
      <c r="AA57">
        <v>4</v>
      </c>
      <c r="AB57">
        <v>1</v>
      </c>
      <c r="AC57">
        <v>1</v>
      </c>
      <c r="AD57">
        <v>2</v>
      </c>
      <c r="AE57">
        <v>2</v>
      </c>
      <c r="AF57">
        <v>12</v>
      </c>
      <c r="AG57">
        <v>13</v>
      </c>
      <c r="AH57">
        <v>12</v>
      </c>
    </row>
    <row r="58" spans="1:34" x14ac:dyDescent="0.2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49</v>
      </c>
      <c r="J58" t="s">
        <v>49</v>
      </c>
      <c r="K58" t="s">
        <v>52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44</v>
      </c>
      <c r="S58">
        <f t="shared" si="0"/>
        <v>0</v>
      </c>
      <c r="T58" t="s">
        <v>43</v>
      </c>
      <c r="U58" t="s">
        <v>43</v>
      </c>
      <c r="V58" t="s">
        <v>43</v>
      </c>
      <c r="W58" t="s">
        <v>43</v>
      </c>
      <c r="X58" t="s">
        <v>44</v>
      </c>
      <c r="Y58">
        <v>4</v>
      </c>
      <c r="Z58">
        <v>3</v>
      </c>
      <c r="AA58">
        <v>2</v>
      </c>
      <c r="AB58">
        <v>1</v>
      </c>
      <c r="AC58">
        <v>1</v>
      </c>
      <c r="AD58">
        <v>1</v>
      </c>
      <c r="AE58">
        <v>0</v>
      </c>
      <c r="AF58">
        <v>15</v>
      </c>
      <c r="AG58">
        <v>14</v>
      </c>
      <c r="AH58">
        <v>15</v>
      </c>
    </row>
    <row r="59" spans="1:34" x14ac:dyDescent="0.2">
      <c r="A59" t="s">
        <v>34</v>
      </c>
      <c r="B59" t="s">
        <v>51</v>
      </c>
      <c r="C59">
        <v>15</v>
      </c>
      <c r="D59" t="s">
        <v>36</v>
      </c>
      <c r="E59" t="s">
        <v>37</v>
      </c>
      <c r="F59" t="s">
        <v>45</v>
      </c>
      <c r="G59">
        <v>4</v>
      </c>
      <c r="H59">
        <v>4</v>
      </c>
      <c r="I59" t="s">
        <v>40</v>
      </c>
      <c r="J59" t="s">
        <v>29</v>
      </c>
      <c r="K59" t="s">
        <v>52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>
        <f t="shared" si="0"/>
        <v>0</v>
      </c>
      <c r="T59" t="s">
        <v>43</v>
      </c>
      <c r="U59" t="s">
        <v>43</v>
      </c>
      <c r="V59" t="s">
        <v>43</v>
      </c>
      <c r="W59" t="s">
        <v>44</v>
      </c>
      <c r="X59" t="s">
        <v>44</v>
      </c>
      <c r="Y59">
        <v>3</v>
      </c>
      <c r="Z59">
        <v>2</v>
      </c>
      <c r="AA59">
        <v>2</v>
      </c>
      <c r="AB59">
        <v>1</v>
      </c>
      <c r="AC59">
        <v>1</v>
      </c>
      <c r="AD59">
        <v>5</v>
      </c>
      <c r="AE59">
        <v>8</v>
      </c>
      <c r="AF59">
        <v>15</v>
      </c>
      <c r="AG59">
        <v>15</v>
      </c>
      <c r="AH59">
        <v>16</v>
      </c>
    </row>
    <row r="60" spans="1:34" x14ac:dyDescent="0.2">
      <c r="A60" t="s">
        <v>34</v>
      </c>
      <c r="B60" t="s">
        <v>51</v>
      </c>
      <c r="C60">
        <v>15</v>
      </c>
      <c r="D60" t="s">
        <v>36</v>
      </c>
      <c r="E60" t="s">
        <v>48</v>
      </c>
      <c r="F60" t="s">
        <v>45</v>
      </c>
      <c r="G60">
        <v>1</v>
      </c>
      <c r="H60">
        <v>2</v>
      </c>
      <c r="I60" t="s">
        <v>46</v>
      </c>
      <c r="J60" t="s">
        <v>39</v>
      </c>
      <c r="K60" t="s">
        <v>50</v>
      </c>
      <c r="L60" t="s">
        <v>47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>
        <f t="shared" si="0"/>
        <v>0</v>
      </c>
      <c r="T60" t="s">
        <v>43</v>
      </c>
      <c r="U60" t="s">
        <v>43</v>
      </c>
      <c r="V60" t="s">
        <v>43</v>
      </c>
      <c r="W60" t="s">
        <v>43</v>
      </c>
      <c r="X60" t="s">
        <v>44</v>
      </c>
      <c r="Y60">
        <v>4</v>
      </c>
      <c r="Z60">
        <v>3</v>
      </c>
      <c r="AA60">
        <v>2</v>
      </c>
      <c r="AB60">
        <v>1</v>
      </c>
      <c r="AC60">
        <v>1</v>
      </c>
      <c r="AD60">
        <v>5</v>
      </c>
      <c r="AE60">
        <v>0</v>
      </c>
      <c r="AF60">
        <v>14</v>
      </c>
      <c r="AG60">
        <v>13</v>
      </c>
      <c r="AH60">
        <v>14</v>
      </c>
    </row>
    <row r="61" spans="1:34" x14ac:dyDescent="0.2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v>4</v>
      </c>
      <c r="H61">
        <v>2</v>
      </c>
      <c r="I61" t="s">
        <v>49</v>
      </c>
      <c r="J61" t="s">
        <v>46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43</v>
      </c>
      <c r="S61">
        <f t="shared" si="0"/>
        <v>1</v>
      </c>
      <c r="T61" t="s">
        <v>44</v>
      </c>
      <c r="U61" t="s">
        <v>43</v>
      </c>
      <c r="V61" t="s">
        <v>43</v>
      </c>
      <c r="W61" t="s">
        <v>43</v>
      </c>
      <c r="X61" t="s">
        <v>44</v>
      </c>
      <c r="Y61">
        <v>4</v>
      </c>
      <c r="Z61">
        <v>2</v>
      </c>
      <c r="AA61">
        <v>3</v>
      </c>
      <c r="AB61">
        <v>1</v>
      </c>
      <c r="AC61">
        <v>1</v>
      </c>
      <c r="AD61">
        <v>5</v>
      </c>
      <c r="AE61">
        <v>2</v>
      </c>
      <c r="AF61">
        <v>16</v>
      </c>
      <c r="AG61">
        <v>15</v>
      </c>
      <c r="AH61">
        <v>16</v>
      </c>
    </row>
    <row r="62" spans="1:34" x14ac:dyDescent="0.2">
      <c r="A62" t="s">
        <v>34</v>
      </c>
      <c r="B62" t="s">
        <v>35</v>
      </c>
      <c r="C62">
        <v>16</v>
      </c>
      <c r="D62" t="s">
        <v>53</v>
      </c>
      <c r="E62" t="s">
        <v>37</v>
      </c>
      <c r="F62" t="s">
        <v>45</v>
      </c>
      <c r="G62">
        <v>4</v>
      </c>
      <c r="H62">
        <v>4</v>
      </c>
      <c r="I62" t="s">
        <v>29</v>
      </c>
      <c r="J62" t="s">
        <v>40</v>
      </c>
      <c r="K62" t="s">
        <v>46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>
        <f t="shared" si="0"/>
        <v>0</v>
      </c>
      <c r="T62" t="s">
        <v>43</v>
      </c>
      <c r="U62" t="s">
        <v>43</v>
      </c>
      <c r="V62" t="s">
        <v>43</v>
      </c>
      <c r="W62" t="s">
        <v>44</v>
      </c>
      <c r="X62" t="s">
        <v>44</v>
      </c>
      <c r="Y62">
        <v>2</v>
      </c>
      <c r="Z62">
        <v>4</v>
      </c>
      <c r="AA62">
        <v>4</v>
      </c>
      <c r="AB62">
        <v>2</v>
      </c>
      <c r="AC62">
        <v>3</v>
      </c>
      <c r="AD62">
        <v>4</v>
      </c>
      <c r="AE62">
        <v>0</v>
      </c>
      <c r="AF62">
        <v>17</v>
      </c>
      <c r="AG62">
        <v>16</v>
      </c>
      <c r="AH62">
        <v>16</v>
      </c>
    </row>
    <row r="63" spans="1:34" x14ac:dyDescent="0.2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v>1</v>
      </c>
      <c r="H63">
        <v>1</v>
      </c>
      <c r="I63" t="s">
        <v>49</v>
      </c>
      <c r="J63" t="s">
        <v>49</v>
      </c>
      <c r="K63" t="s">
        <v>41</v>
      </c>
      <c r="L63" t="s">
        <v>47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>
        <f t="shared" si="0"/>
        <v>0</v>
      </c>
      <c r="T63" t="s">
        <v>43</v>
      </c>
      <c r="U63" t="s">
        <v>44</v>
      </c>
      <c r="V63" t="s">
        <v>43</v>
      </c>
      <c r="W63" t="s">
        <v>43</v>
      </c>
      <c r="X63" t="s">
        <v>43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0</v>
      </c>
      <c r="AF63">
        <v>10</v>
      </c>
      <c r="AG63">
        <v>10</v>
      </c>
      <c r="AH63">
        <v>16</v>
      </c>
    </row>
    <row r="64" spans="1:34" x14ac:dyDescent="0.2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v>1</v>
      </c>
      <c r="H64">
        <v>2</v>
      </c>
      <c r="I64" t="s">
        <v>46</v>
      </c>
      <c r="J64" t="s">
        <v>49</v>
      </c>
      <c r="K64" t="s">
        <v>52</v>
      </c>
      <c r="L64" t="s">
        <v>47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>
        <f t="shared" si="0"/>
        <v>0</v>
      </c>
      <c r="T64" t="s">
        <v>43</v>
      </c>
      <c r="U64" t="s">
        <v>43</v>
      </c>
      <c r="V64" t="s">
        <v>43</v>
      </c>
      <c r="W64" t="s">
        <v>43</v>
      </c>
      <c r="X64" t="s">
        <v>44</v>
      </c>
      <c r="Y64">
        <v>4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0</v>
      </c>
      <c r="AF64">
        <v>13</v>
      </c>
      <c r="AG64">
        <v>13</v>
      </c>
      <c r="AH64">
        <v>10</v>
      </c>
    </row>
    <row r="65" spans="1:34" x14ac:dyDescent="0.2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v>4</v>
      </c>
      <c r="H65">
        <v>3</v>
      </c>
      <c r="I65" t="s">
        <v>40</v>
      </c>
      <c r="J65" t="s">
        <v>29</v>
      </c>
      <c r="K65" t="s">
        <v>50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44</v>
      </c>
      <c r="S65">
        <f t="shared" si="0"/>
        <v>0</v>
      </c>
      <c r="T65" t="s">
        <v>43</v>
      </c>
      <c r="U65" t="s">
        <v>43</v>
      </c>
      <c r="V65" t="s">
        <v>43</v>
      </c>
      <c r="W65" t="s">
        <v>43</v>
      </c>
      <c r="X65" t="s">
        <v>44</v>
      </c>
      <c r="Y65">
        <v>3</v>
      </c>
      <c r="Z65">
        <v>4</v>
      </c>
      <c r="AA65">
        <v>4</v>
      </c>
      <c r="AB65">
        <v>2</v>
      </c>
      <c r="AC65">
        <v>4</v>
      </c>
      <c r="AD65">
        <v>4</v>
      </c>
      <c r="AE65">
        <v>0</v>
      </c>
      <c r="AF65">
        <v>14</v>
      </c>
      <c r="AG65">
        <v>13</v>
      </c>
      <c r="AH65">
        <v>13</v>
      </c>
    </row>
    <row r="66" spans="1:34" x14ac:dyDescent="0.2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v>4</v>
      </c>
      <c r="H66">
        <v>3</v>
      </c>
      <c r="I66" t="s">
        <v>49</v>
      </c>
      <c r="J66" t="s">
        <v>49</v>
      </c>
      <c r="K66" t="s">
        <v>52</v>
      </c>
      <c r="L66" t="s">
        <v>47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>
        <f t="shared" si="0"/>
        <v>0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>
        <v>4</v>
      </c>
      <c r="Z66">
        <v>4</v>
      </c>
      <c r="AA66">
        <v>4</v>
      </c>
      <c r="AB66">
        <v>2</v>
      </c>
      <c r="AC66">
        <v>4</v>
      </c>
      <c r="AD66">
        <v>2</v>
      </c>
      <c r="AE66">
        <v>0</v>
      </c>
      <c r="AF66">
        <v>13</v>
      </c>
      <c r="AG66">
        <v>12</v>
      </c>
      <c r="AH66">
        <v>12</v>
      </c>
    </row>
    <row r="67" spans="1:34" x14ac:dyDescent="0.2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v>4</v>
      </c>
      <c r="H67">
        <v>3</v>
      </c>
      <c r="I67" t="s">
        <v>40</v>
      </c>
      <c r="J67" t="s">
        <v>49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>
        <f t="shared" ref="S67:S130" si="1">IF(R67="yes",1,0)</f>
        <v>0</v>
      </c>
      <c r="T67" t="s">
        <v>43</v>
      </c>
      <c r="U67" t="s">
        <v>43</v>
      </c>
      <c r="V67" t="s">
        <v>43</v>
      </c>
      <c r="W67" t="s">
        <v>43</v>
      </c>
      <c r="X67" t="s">
        <v>44</v>
      </c>
      <c r="Y67">
        <v>5</v>
      </c>
      <c r="Z67">
        <v>4</v>
      </c>
      <c r="AA67">
        <v>3</v>
      </c>
      <c r="AB67">
        <v>1</v>
      </c>
      <c r="AC67">
        <v>2</v>
      </c>
      <c r="AD67">
        <v>1</v>
      </c>
      <c r="AE67">
        <v>2</v>
      </c>
      <c r="AF67">
        <v>16</v>
      </c>
      <c r="AG67">
        <v>15</v>
      </c>
      <c r="AH67">
        <v>16</v>
      </c>
    </row>
    <row r="68" spans="1:34" x14ac:dyDescent="0.2">
      <c r="A68" t="s">
        <v>34</v>
      </c>
      <c r="B68" t="s">
        <v>51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46</v>
      </c>
      <c r="J68" t="s">
        <v>49</v>
      </c>
      <c r="K68" t="s">
        <v>52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>
        <f t="shared" si="1"/>
        <v>0</v>
      </c>
      <c r="T68" t="s">
        <v>43</v>
      </c>
      <c r="U68" t="s">
        <v>44</v>
      </c>
      <c r="V68" t="s">
        <v>43</v>
      </c>
      <c r="W68" t="s">
        <v>43</v>
      </c>
      <c r="X68" t="s">
        <v>43</v>
      </c>
      <c r="Y68">
        <v>1</v>
      </c>
      <c r="Z68">
        <v>3</v>
      </c>
      <c r="AA68">
        <v>3</v>
      </c>
      <c r="AB68">
        <v>5</v>
      </c>
      <c r="AC68">
        <v>5</v>
      </c>
      <c r="AD68">
        <v>3</v>
      </c>
      <c r="AE68">
        <v>0</v>
      </c>
      <c r="AF68">
        <v>11</v>
      </c>
      <c r="AG68">
        <v>12</v>
      </c>
      <c r="AH68">
        <v>12</v>
      </c>
    </row>
    <row r="69" spans="1:34" x14ac:dyDescent="0.2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v>3</v>
      </c>
      <c r="H69">
        <v>1</v>
      </c>
      <c r="I69" t="s">
        <v>49</v>
      </c>
      <c r="J69" t="s">
        <v>46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44</v>
      </c>
      <c r="S69">
        <f t="shared" si="1"/>
        <v>0</v>
      </c>
      <c r="T69" t="s">
        <v>44</v>
      </c>
      <c r="U69" t="s">
        <v>43</v>
      </c>
      <c r="V69" t="s">
        <v>43</v>
      </c>
      <c r="W69" t="s">
        <v>43</v>
      </c>
      <c r="X69" t="s">
        <v>44</v>
      </c>
      <c r="Y69">
        <v>4</v>
      </c>
      <c r="Z69">
        <v>3</v>
      </c>
      <c r="AA69">
        <v>3</v>
      </c>
      <c r="AB69">
        <v>1</v>
      </c>
      <c r="AC69">
        <v>2</v>
      </c>
      <c r="AD69">
        <v>5</v>
      </c>
      <c r="AE69">
        <v>0</v>
      </c>
      <c r="AF69">
        <v>10</v>
      </c>
      <c r="AG69">
        <v>9</v>
      </c>
      <c r="AH69">
        <v>10</v>
      </c>
    </row>
    <row r="70" spans="1:34" x14ac:dyDescent="0.2">
      <c r="A70" t="s">
        <v>34</v>
      </c>
      <c r="B70" t="s">
        <v>35</v>
      </c>
      <c r="C70">
        <v>15</v>
      </c>
      <c r="D70" t="s">
        <v>53</v>
      </c>
      <c r="E70" t="s">
        <v>48</v>
      </c>
      <c r="F70" t="s">
        <v>45</v>
      </c>
      <c r="G70">
        <v>2</v>
      </c>
      <c r="H70">
        <v>2</v>
      </c>
      <c r="I70" t="s">
        <v>29</v>
      </c>
      <c r="J70" t="s">
        <v>49</v>
      </c>
      <c r="K70" t="s">
        <v>52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44</v>
      </c>
      <c r="S70">
        <f t="shared" si="1"/>
        <v>0</v>
      </c>
      <c r="T70" t="s">
        <v>44</v>
      </c>
      <c r="U70" t="s">
        <v>43</v>
      </c>
      <c r="V70" t="s">
        <v>43</v>
      </c>
      <c r="W70" t="s">
        <v>43</v>
      </c>
      <c r="X70" t="s">
        <v>44</v>
      </c>
      <c r="Y70">
        <v>4</v>
      </c>
      <c r="Z70">
        <v>1</v>
      </c>
      <c r="AA70">
        <v>3</v>
      </c>
      <c r="AB70">
        <v>1</v>
      </c>
      <c r="AC70">
        <v>3</v>
      </c>
      <c r="AD70">
        <v>4</v>
      </c>
      <c r="AE70">
        <v>0</v>
      </c>
      <c r="AF70">
        <v>11</v>
      </c>
      <c r="AG70">
        <v>10</v>
      </c>
      <c r="AH70">
        <v>11</v>
      </c>
    </row>
    <row r="71" spans="1:34" x14ac:dyDescent="0.2">
      <c r="A71" t="s">
        <v>34</v>
      </c>
      <c r="B71" t="s">
        <v>35</v>
      </c>
      <c r="C71">
        <v>15</v>
      </c>
      <c r="D71" t="s">
        <v>53</v>
      </c>
      <c r="E71" t="s">
        <v>48</v>
      </c>
      <c r="F71" t="s">
        <v>45</v>
      </c>
      <c r="G71">
        <v>3</v>
      </c>
      <c r="H71">
        <v>1</v>
      </c>
      <c r="I71" t="s">
        <v>46</v>
      </c>
      <c r="J71" t="s">
        <v>46</v>
      </c>
      <c r="K71" t="s">
        <v>52</v>
      </c>
      <c r="L71" t="s">
        <v>47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>
        <f t="shared" si="1"/>
        <v>0</v>
      </c>
      <c r="T71" t="s">
        <v>44</v>
      </c>
      <c r="U71" t="s">
        <v>44</v>
      </c>
      <c r="V71" t="s">
        <v>43</v>
      </c>
      <c r="W71" t="s">
        <v>43</v>
      </c>
      <c r="X71" t="s">
        <v>44</v>
      </c>
      <c r="Y71">
        <v>4</v>
      </c>
      <c r="Z71">
        <v>4</v>
      </c>
      <c r="AA71">
        <v>2</v>
      </c>
      <c r="AB71">
        <v>2</v>
      </c>
      <c r="AC71">
        <v>3</v>
      </c>
      <c r="AD71">
        <v>3</v>
      </c>
      <c r="AE71">
        <v>6</v>
      </c>
      <c r="AF71">
        <v>15</v>
      </c>
      <c r="AG71">
        <v>15</v>
      </c>
      <c r="AH71">
        <v>15</v>
      </c>
    </row>
    <row r="72" spans="1:34" x14ac:dyDescent="0.2">
      <c r="A72" t="s">
        <v>34</v>
      </c>
      <c r="B72" t="s">
        <v>51</v>
      </c>
      <c r="C72">
        <v>16</v>
      </c>
      <c r="D72" t="s">
        <v>36</v>
      </c>
      <c r="E72" t="s">
        <v>37</v>
      </c>
      <c r="F72" t="s">
        <v>45</v>
      </c>
      <c r="G72">
        <v>3</v>
      </c>
      <c r="H72">
        <v>1</v>
      </c>
      <c r="I72" t="s">
        <v>46</v>
      </c>
      <c r="J72" t="s">
        <v>46</v>
      </c>
      <c r="K72" t="s">
        <v>52</v>
      </c>
      <c r="L72" t="s">
        <v>47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44</v>
      </c>
      <c r="S72">
        <f t="shared" si="1"/>
        <v>0</v>
      </c>
      <c r="T72" t="s">
        <v>44</v>
      </c>
      <c r="U72" t="s">
        <v>43</v>
      </c>
      <c r="V72" t="s">
        <v>43</v>
      </c>
      <c r="W72" t="s">
        <v>43</v>
      </c>
      <c r="X72" t="s">
        <v>44</v>
      </c>
      <c r="Y72">
        <v>4</v>
      </c>
      <c r="Z72">
        <v>3</v>
      </c>
      <c r="AA72">
        <v>2</v>
      </c>
      <c r="AB72">
        <v>1</v>
      </c>
      <c r="AC72">
        <v>1</v>
      </c>
      <c r="AD72">
        <v>5</v>
      </c>
      <c r="AE72">
        <v>2</v>
      </c>
      <c r="AF72">
        <v>13</v>
      </c>
      <c r="AG72">
        <v>11</v>
      </c>
      <c r="AH72">
        <v>11</v>
      </c>
    </row>
    <row r="73" spans="1:34" x14ac:dyDescent="0.2">
      <c r="A73" t="s">
        <v>34</v>
      </c>
      <c r="B73" t="s">
        <v>51</v>
      </c>
      <c r="C73">
        <v>15</v>
      </c>
      <c r="D73" t="s">
        <v>36</v>
      </c>
      <c r="E73" t="s">
        <v>37</v>
      </c>
      <c r="F73" t="s">
        <v>45</v>
      </c>
      <c r="G73">
        <v>4</v>
      </c>
      <c r="H73">
        <v>2</v>
      </c>
      <c r="I73" t="s">
        <v>46</v>
      </c>
      <c r="J73" t="s">
        <v>46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>
        <f t="shared" si="1"/>
        <v>0</v>
      </c>
      <c r="T73" t="s">
        <v>44</v>
      </c>
      <c r="U73" t="s">
        <v>43</v>
      </c>
      <c r="V73" t="s">
        <v>43</v>
      </c>
      <c r="W73" t="s">
        <v>43</v>
      </c>
      <c r="X73" t="s">
        <v>44</v>
      </c>
      <c r="Y73">
        <v>3</v>
      </c>
      <c r="Z73">
        <v>3</v>
      </c>
      <c r="AA73">
        <v>3</v>
      </c>
      <c r="AB73">
        <v>1</v>
      </c>
      <c r="AC73">
        <v>1</v>
      </c>
      <c r="AD73">
        <v>3</v>
      </c>
      <c r="AE73">
        <v>0</v>
      </c>
      <c r="AF73">
        <v>11</v>
      </c>
      <c r="AG73">
        <v>9</v>
      </c>
      <c r="AH73">
        <v>10</v>
      </c>
    </row>
    <row r="74" spans="1:34" x14ac:dyDescent="0.2">
      <c r="A74" t="s">
        <v>34</v>
      </c>
      <c r="B74" t="s">
        <v>35</v>
      </c>
      <c r="C74">
        <v>15</v>
      </c>
      <c r="D74" t="s">
        <v>53</v>
      </c>
      <c r="E74" t="s">
        <v>37</v>
      </c>
      <c r="F74" t="s">
        <v>45</v>
      </c>
      <c r="G74">
        <v>1</v>
      </c>
      <c r="H74">
        <v>1</v>
      </c>
      <c r="I74" t="s">
        <v>46</v>
      </c>
      <c r="J74" t="s">
        <v>46</v>
      </c>
      <c r="K74" t="s">
        <v>52</v>
      </c>
      <c r="L74" t="s">
        <v>42</v>
      </c>
      <c r="M74">
        <v>1</v>
      </c>
      <c r="N74">
        <v>2</v>
      </c>
      <c r="O74">
        <v>0</v>
      </c>
      <c r="P74" t="s">
        <v>43</v>
      </c>
      <c r="Q74" t="s">
        <v>43</v>
      </c>
      <c r="R74" t="s">
        <v>44</v>
      </c>
      <c r="S74">
        <f t="shared" si="1"/>
        <v>0</v>
      </c>
      <c r="T74" t="s">
        <v>44</v>
      </c>
      <c r="U74" t="s">
        <v>44</v>
      </c>
      <c r="V74" t="s">
        <v>43</v>
      </c>
      <c r="W74" t="s">
        <v>43</v>
      </c>
      <c r="X74" t="s">
        <v>43</v>
      </c>
      <c r="Y74">
        <v>3</v>
      </c>
      <c r="Z74">
        <v>3</v>
      </c>
      <c r="AA74">
        <v>4</v>
      </c>
      <c r="AB74">
        <v>2</v>
      </c>
      <c r="AC74">
        <v>4</v>
      </c>
      <c r="AD74">
        <v>5</v>
      </c>
      <c r="AE74">
        <v>2</v>
      </c>
      <c r="AF74">
        <v>13</v>
      </c>
      <c r="AG74">
        <v>11</v>
      </c>
      <c r="AH74">
        <v>11</v>
      </c>
    </row>
    <row r="75" spans="1:34" x14ac:dyDescent="0.2">
      <c r="A75" t="s">
        <v>34</v>
      </c>
      <c r="B75" t="s">
        <v>51</v>
      </c>
      <c r="C75">
        <v>16</v>
      </c>
      <c r="D75" t="s">
        <v>36</v>
      </c>
      <c r="E75" t="s">
        <v>37</v>
      </c>
      <c r="F75" t="s">
        <v>45</v>
      </c>
      <c r="G75">
        <v>3</v>
      </c>
      <c r="H75">
        <v>1</v>
      </c>
      <c r="I75" t="s">
        <v>46</v>
      </c>
      <c r="J75" t="s">
        <v>46</v>
      </c>
      <c r="K75" t="s">
        <v>52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>
        <f t="shared" si="1"/>
        <v>0</v>
      </c>
      <c r="T75" t="s">
        <v>43</v>
      </c>
      <c r="U75" t="s">
        <v>43</v>
      </c>
      <c r="V75" t="s">
        <v>43</v>
      </c>
      <c r="W75" t="s">
        <v>44</v>
      </c>
      <c r="X75" t="s">
        <v>44</v>
      </c>
      <c r="Y75">
        <v>5</v>
      </c>
      <c r="Z75">
        <v>3</v>
      </c>
      <c r="AA75">
        <v>2</v>
      </c>
      <c r="AB75">
        <v>2</v>
      </c>
      <c r="AC75">
        <v>2</v>
      </c>
      <c r="AD75">
        <v>5</v>
      </c>
      <c r="AE75">
        <v>0</v>
      </c>
      <c r="AF75">
        <v>13</v>
      </c>
      <c r="AG75">
        <v>13</v>
      </c>
      <c r="AH75">
        <v>14</v>
      </c>
    </row>
    <row r="76" spans="1:34" x14ac:dyDescent="0.2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v>3</v>
      </c>
      <c r="H76">
        <v>3</v>
      </c>
      <c r="I76" t="s">
        <v>46</v>
      </c>
      <c r="J76" t="s">
        <v>49</v>
      </c>
      <c r="K76" t="s">
        <v>50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44</v>
      </c>
      <c r="S76">
        <f t="shared" si="1"/>
        <v>0</v>
      </c>
      <c r="T76" t="s">
        <v>43</v>
      </c>
      <c r="U76" t="s">
        <v>43</v>
      </c>
      <c r="V76" t="s">
        <v>43</v>
      </c>
      <c r="W76" t="s">
        <v>43</v>
      </c>
      <c r="X76" t="s">
        <v>44</v>
      </c>
      <c r="Y76">
        <v>4</v>
      </c>
      <c r="Z76">
        <v>3</v>
      </c>
      <c r="AA76">
        <v>3</v>
      </c>
      <c r="AB76">
        <v>2</v>
      </c>
      <c r="AC76">
        <v>4</v>
      </c>
      <c r="AD76">
        <v>5</v>
      </c>
      <c r="AE76">
        <v>4</v>
      </c>
      <c r="AF76">
        <v>11</v>
      </c>
      <c r="AG76">
        <v>11</v>
      </c>
      <c r="AH76">
        <v>11</v>
      </c>
    </row>
    <row r="77" spans="1:34" x14ac:dyDescent="0.2">
      <c r="A77" t="s">
        <v>34</v>
      </c>
      <c r="B77" t="s">
        <v>51</v>
      </c>
      <c r="C77">
        <v>15</v>
      </c>
      <c r="D77" t="s">
        <v>36</v>
      </c>
      <c r="E77" t="s">
        <v>37</v>
      </c>
      <c r="F77" t="s">
        <v>45</v>
      </c>
      <c r="G77">
        <v>4</v>
      </c>
      <c r="H77">
        <v>3</v>
      </c>
      <c r="I77" t="s">
        <v>40</v>
      </c>
      <c r="J77" t="s">
        <v>46</v>
      </c>
      <c r="K77" t="s">
        <v>50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44</v>
      </c>
      <c r="S77">
        <f t="shared" si="1"/>
        <v>0</v>
      </c>
      <c r="T77" t="s">
        <v>43</v>
      </c>
      <c r="U77" t="s">
        <v>43</v>
      </c>
      <c r="V77" t="s">
        <v>43</v>
      </c>
      <c r="W77" t="s">
        <v>43</v>
      </c>
      <c r="X77" t="s">
        <v>44</v>
      </c>
      <c r="Y77">
        <v>4</v>
      </c>
      <c r="Z77">
        <v>3</v>
      </c>
      <c r="AA77">
        <v>3</v>
      </c>
      <c r="AB77">
        <v>2</v>
      </c>
      <c r="AC77">
        <v>3</v>
      </c>
      <c r="AD77">
        <v>5</v>
      </c>
      <c r="AE77">
        <v>0</v>
      </c>
      <c r="AF77">
        <v>11</v>
      </c>
      <c r="AG77">
        <v>11</v>
      </c>
      <c r="AH77">
        <v>11</v>
      </c>
    </row>
    <row r="78" spans="1:34" x14ac:dyDescent="0.2">
      <c r="A78" t="s">
        <v>34</v>
      </c>
      <c r="B78" t="s">
        <v>51</v>
      </c>
      <c r="C78">
        <v>15</v>
      </c>
      <c r="D78" t="s">
        <v>36</v>
      </c>
      <c r="E78" t="s">
        <v>37</v>
      </c>
      <c r="F78" t="s">
        <v>45</v>
      </c>
      <c r="G78">
        <v>4</v>
      </c>
      <c r="H78">
        <v>0</v>
      </c>
      <c r="I78" t="s">
        <v>40</v>
      </c>
      <c r="J78" t="s">
        <v>46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>
        <f t="shared" si="1"/>
        <v>0</v>
      </c>
      <c r="T78" t="s">
        <v>43</v>
      </c>
      <c r="U78" t="s">
        <v>43</v>
      </c>
      <c r="V78" t="s">
        <v>43</v>
      </c>
      <c r="W78" t="s">
        <v>43</v>
      </c>
      <c r="X78" t="s">
        <v>44</v>
      </c>
      <c r="Y78">
        <v>3</v>
      </c>
      <c r="Z78">
        <v>4</v>
      </c>
      <c r="AA78">
        <v>3</v>
      </c>
      <c r="AB78">
        <v>1</v>
      </c>
      <c r="AC78">
        <v>1</v>
      </c>
      <c r="AD78">
        <v>1</v>
      </c>
      <c r="AE78">
        <v>0</v>
      </c>
      <c r="AF78">
        <v>12</v>
      </c>
      <c r="AG78">
        <v>11</v>
      </c>
      <c r="AH78">
        <v>11</v>
      </c>
    </row>
    <row r="79" spans="1:34" x14ac:dyDescent="0.2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v>2</v>
      </c>
      <c r="H79">
        <v>2</v>
      </c>
      <c r="I79" t="s">
        <v>46</v>
      </c>
      <c r="J79" t="s">
        <v>46</v>
      </c>
      <c r="K79" t="s">
        <v>52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44</v>
      </c>
      <c r="S79">
        <f t="shared" si="1"/>
        <v>0</v>
      </c>
      <c r="T79" t="s">
        <v>44</v>
      </c>
      <c r="U79" t="s">
        <v>43</v>
      </c>
      <c r="V79" t="s">
        <v>43</v>
      </c>
      <c r="W79" t="s">
        <v>43</v>
      </c>
      <c r="X79" t="s">
        <v>43</v>
      </c>
      <c r="Y79">
        <v>5</v>
      </c>
      <c r="Z79">
        <v>2</v>
      </c>
      <c r="AA79">
        <v>3</v>
      </c>
      <c r="AB79">
        <v>1</v>
      </c>
      <c r="AC79">
        <v>3</v>
      </c>
      <c r="AD79">
        <v>3</v>
      </c>
      <c r="AE79">
        <v>1</v>
      </c>
      <c r="AF79">
        <v>13</v>
      </c>
      <c r="AG79">
        <v>13</v>
      </c>
      <c r="AH79">
        <v>13</v>
      </c>
    </row>
    <row r="80" spans="1:34" x14ac:dyDescent="0.2">
      <c r="A80" t="s">
        <v>34</v>
      </c>
      <c r="B80" t="s">
        <v>51</v>
      </c>
      <c r="C80">
        <v>17</v>
      </c>
      <c r="D80" t="s">
        <v>36</v>
      </c>
      <c r="E80" t="s">
        <v>37</v>
      </c>
      <c r="F80" t="s">
        <v>45</v>
      </c>
      <c r="G80">
        <v>2</v>
      </c>
      <c r="H80">
        <v>1</v>
      </c>
      <c r="I80" t="s">
        <v>46</v>
      </c>
      <c r="J80" t="s">
        <v>46</v>
      </c>
      <c r="K80" t="s">
        <v>50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>
        <f t="shared" si="1"/>
        <v>0</v>
      </c>
      <c r="T80" t="s">
        <v>43</v>
      </c>
      <c r="U80" t="s">
        <v>43</v>
      </c>
      <c r="V80" t="s">
        <v>44</v>
      </c>
      <c r="W80" t="s">
        <v>43</v>
      </c>
      <c r="X80" t="s">
        <v>44</v>
      </c>
      <c r="Y80">
        <v>4</v>
      </c>
      <c r="Z80">
        <v>5</v>
      </c>
      <c r="AA80">
        <v>1</v>
      </c>
      <c r="AB80">
        <v>1</v>
      </c>
      <c r="AC80">
        <v>1</v>
      </c>
      <c r="AD80">
        <v>3</v>
      </c>
      <c r="AE80">
        <v>0</v>
      </c>
      <c r="AF80">
        <v>9</v>
      </c>
      <c r="AG80">
        <v>9</v>
      </c>
      <c r="AH80">
        <v>10</v>
      </c>
    </row>
    <row r="81" spans="1:34" x14ac:dyDescent="0.2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v>3</v>
      </c>
      <c r="H81">
        <v>4</v>
      </c>
      <c r="I81" t="s">
        <v>39</v>
      </c>
      <c r="J81" t="s">
        <v>46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>
        <f t="shared" si="1"/>
        <v>0</v>
      </c>
      <c r="T81" t="s">
        <v>44</v>
      </c>
      <c r="U81" t="s">
        <v>43</v>
      </c>
      <c r="V81" t="s">
        <v>43</v>
      </c>
      <c r="W81" t="s">
        <v>43</v>
      </c>
      <c r="X81" t="s">
        <v>44</v>
      </c>
      <c r="Y81">
        <v>2</v>
      </c>
      <c r="Z81">
        <v>4</v>
      </c>
      <c r="AA81">
        <v>3</v>
      </c>
      <c r="AB81">
        <v>1</v>
      </c>
      <c r="AC81">
        <v>2</v>
      </c>
      <c r="AD81">
        <v>3</v>
      </c>
      <c r="AE81">
        <v>14</v>
      </c>
      <c r="AF81">
        <v>12</v>
      </c>
      <c r="AG81">
        <v>11</v>
      </c>
      <c r="AH81">
        <v>11</v>
      </c>
    </row>
    <row r="82" spans="1:34" x14ac:dyDescent="0.2">
      <c r="A82" t="s">
        <v>34</v>
      </c>
      <c r="B82" t="s">
        <v>51</v>
      </c>
      <c r="C82">
        <v>15</v>
      </c>
      <c r="D82" t="s">
        <v>36</v>
      </c>
      <c r="E82" t="s">
        <v>37</v>
      </c>
      <c r="F82" t="s">
        <v>45</v>
      </c>
      <c r="G82">
        <v>2</v>
      </c>
      <c r="H82">
        <v>3</v>
      </c>
      <c r="I82" t="s">
        <v>46</v>
      </c>
      <c r="J82" t="s">
        <v>49</v>
      </c>
      <c r="K82" t="s">
        <v>41</v>
      </c>
      <c r="L82" t="s">
        <v>47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44</v>
      </c>
      <c r="S82">
        <f t="shared" si="1"/>
        <v>0</v>
      </c>
      <c r="T82" t="s">
        <v>43</v>
      </c>
      <c r="U82" t="s">
        <v>44</v>
      </c>
      <c r="V82" t="s">
        <v>43</v>
      </c>
      <c r="W82" t="s">
        <v>43</v>
      </c>
      <c r="X82" t="s">
        <v>43</v>
      </c>
      <c r="Y82">
        <v>3</v>
      </c>
      <c r="Z82">
        <v>2</v>
      </c>
      <c r="AA82">
        <v>2</v>
      </c>
      <c r="AB82">
        <v>1</v>
      </c>
      <c r="AC82">
        <v>3</v>
      </c>
      <c r="AD82">
        <v>3</v>
      </c>
      <c r="AE82">
        <v>0</v>
      </c>
      <c r="AF82">
        <v>11</v>
      </c>
      <c r="AG82">
        <v>11</v>
      </c>
      <c r="AH82">
        <v>12</v>
      </c>
    </row>
    <row r="83" spans="1:34" x14ac:dyDescent="0.2">
      <c r="A83" t="s">
        <v>34</v>
      </c>
      <c r="B83" t="s">
        <v>51</v>
      </c>
      <c r="C83">
        <v>15</v>
      </c>
      <c r="D83" t="s">
        <v>36</v>
      </c>
      <c r="E83" t="s">
        <v>37</v>
      </c>
      <c r="F83" t="s">
        <v>45</v>
      </c>
      <c r="G83">
        <v>2</v>
      </c>
      <c r="H83">
        <v>3</v>
      </c>
      <c r="I83" t="s">
        <v>46</v>
      </c>
      <c r="J83" t="s">
        <v>46</v>
      </c>
      <c r="K83" t="s">
        <v>50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44</v>
      </c>
      <c r="S83">
        <f t="shared" si="1"/>
        <v>0</v>
      </c>
      <c r="T83" t="s">
        <v>44</v>
      </c>
      <c r="U83" t="s">
        <v>44</v>
      </c>
      <c r="V83" t="s">
        <v>43</v>
      </c>
      <c r="W83" t="s">
        <v>43</v>
      </c>
      <c r="X83" t="s">
        <v>44</v>
      </c>
      <c r="Y83">
        <v>5</v>
      </c>
      <c r="Z83">
        <v>3</v>
      </c>
      <c r="AA83">
        <v>2</v>
      </c>
      <c r="AB83">
        <v>1</v>
      </c>
      <c r="AC83">
        <v>2</v>
      </c>
      <c r="AD83">
        <v>5</v>
      </c>
      <c r="AE83">
        <v>2</v>
      </c>
      <c r="AF83">
        <v>10</v>
      </c>
      <c r="AG83">
        <v>9</v>
      </c>
      <c r="AH83">
        <v>9</v>
      </c>
    </row>
    <row r="84" spans="1:34" x14ac:dyDescent="0.2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v>3</v>
      </c>
      <c r="H84">
        <v>2</v>
      </c>
      <c r="I84" t="s">
        <v>49</v>
      </c>
      <c r="J84" t="s">
        <v>46</v>
      </c>
      <c r="K84" t="s">
        <v>52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44</v>
      </c>
      <c r="S84">
        <f t="shared" si="1"/>
        <v>0</v>
      </c>
      <c r="T84" t="s">
        <v>44</v>
      </c>
      <c r="U84" t="s">
        <v>43</v>
      </c>
      <c r="V84" t="s">
        <v>43</v>
      </c>
      <c r="W84" t="s">
        <v>43</v>
      </c>
      <c r="X84" t="s">
        <v>44</v>
      </c>
      <c r="Y84">
        <v>4</v>
      </c>
      <c r="Z84">
        <v>4</v>
      </c>
      <c r="AA84">
        <v>4</v>
      </c>
      <c r="AB84">
        <v>1</v>
      </c>
      <c r="AC84">
        <v>1</v>
      </c>
      <c r="AD84">
        <v>5</v>
      </c>
      <c r="AE84">
        <v>4</v>
      </c>
      <c r="AF84">
        <v>12</v>
      </c>
      <c r="AG84">
        <v>11</v>
      </c>
      <c r="AH84">
        <v>11</v>
      </c>
    </row>
    <row r="85" spans="1:34" x14ac:dyDescent="0.2">
      <c r="A85" t="s">
        <v>34</v>
      </c>
      <c r="B85" t="s">
        <v>51</v>
      </c>
      <c r="C85">
        <v>15</v>
      </c>
      <c r="D85" t="s">
        <v>36</v>
      </c>
      <c r="E85" t="s">
        <v>48</v>
      </c>
      <c r="F85" t="s">
        <v>45</v>
      </c>
      <c r="G85">
        <v>2</v>
      </c>
      <c r="H85">
        <v>2</v>
      </c>
      <c r="I85" t="s">
        <v>49</v>
      </c>
      <c r="J85" t="s">
        <v>49</v>
      </c>
      <c r="K85" t="s">
        <v>50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>
        <f t="shared" si="1"/>
        <v>1</v>
      </c>
      <c r="T85" t="s">
        <v>43</v>
      </c>
      <c r="U85" t="s">
        <v>43</v>
      </c>
      <c r="V85" t="s">
        <v>43</v>
      </c>
      <c r="W85" t="s">
        <v>43</v>
      </c>
      <c r="X85" t="s">
        <v>44</v>
      </c>
      <c r="Y85">
        <v>5</v>
      </c>
      <c r="Z85">
        <v>3</v>
      </c>
      <c r="AA85">
        <v>3</v>
      </c>
      <c r="AB85">
        <v>1</v>
      </c>
      <c r="AC85">
        <v>3</v>
      </c>
      <c r="AD85">
        <v>4</v>
      </c>
      <c r="AE85">
        <v>2</v>
      </c>
      <c r="AF85">
        <v>13</v>
      </c>
      <c r="AG85">
        <v>12</v>
      </c>
      <c r="AH85">
        <v>13</v>
      </c>
    </row>
    <row r="86" spans="1:34" x14ac:dyDescent="0.2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v>1</v>
      </c>
      <c r="H86">
        <v>1</v>
      </c>
      <c r="I86" t="s">
        <v>46</v>
      </c>
      <c r="J86" t="s">
        <v>46</v>
      </c>
      <c r="K86" t="s">
        <v>50</v>
      </c>
      <c r="L86" t="s">
        <v>47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>
        <f t="shared" si="1"/>
        <v>0</v>
      </c>
      <c r="T86" t="s">
        <v>43</v>
      </c>
      <c r="U86" t="s">
        <v>44</v>
      </c>
      <c r="V86" t="s">
        <v>43</v>
      </c>
      <c r="W86" t="s">
        <v>43</v>
      </c>
      <c r="X86" t="s">
        <v>44</v>
      </c>
      <c r="Y86">
        <v>4</v>
      </c>
      <c r="Z86">
        <v>3</v>
      </c>
      <c r="AA86">
        <v>2</v>
      </c>
      <c r="AB86">
        <v>2</v>
      </c>
      <c r="AC86">
        <v>3</v>
      </c>
      <c r="AD86">
        <v>4</v>
      </c>
      <c r="AE86">
        <v>2</v>
      </c>
      <c r="AF86">
        <v>13</v>
      </c>
      <c r="AG86">
        <v>12</v>
      </c>
      <c r="AH86">
        <v>12</v>
      </c>
    </row>
    <row r="87" spans="1:34" x14ac:dyDescent="0.2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v>4</v>
      </c>
      <c r="H87">
        <v>4</v>
      </c>
      <c r="I87" t="s">
        <v>49</v>
      </c>
      <c r="J87" t="s">
        <v>49</v>
      </c>
      <c r="K87" t="s">
        <v>52</v>
      </c>
      <c r="L87" t="s">
        <v>47</v>
      </c>
      <c r="M87">
        <v>2</v>
      </c>
      <c r="N87">
        <v>2</v>
      </c>
      <c r="O87">
        <v>0</v>
      </c>
      <c r="P87" t="s">
        <v>44</v>
      </c>
      <c r="Q87" t="s">
        <v>44</v>
      </c>
      <c r="R87" t="s">
        <v>44</v>
      </c>
      <c r="S87">
        <f t="shared" si="1"/>
        <v>0</v>
      </c>
      <c r="T87" t="s">
        <v>44</v>
      </c>
      <c r="U87" t="s">
        <v>43</v>
      </c>
      <c r="V87" t="s">
        <v>43</v>
      </c>
      <c r="W87" t="s">
        <v>43</v>
      </c>
      <c r="X87" t="s">
        <v>43</v>
      </c>
      <c r="Y87">
        <v>4</v>
      </c>
      <c r="Z87">
        <v>4</v>
      </c>
      <c r="AA87">
        <v>4</v>
      </c>
      <c r="AB87">
        <v>2</v>
      </c>
      <c r="AC87">
        <v>3</v>
      </c>
      <c r="AD87">
        <v>5</v>
      </c>
      <c r="AE87">
        <v>4</v>
      </c>
      <c r="AF87">
        <v>12</v>
      </c>
      <c r="AG87">
        <v>11</v>
      </c>
      <c r="AH87">
        <v>12</v>
      </c>
    </row>
    <row r="88" spans="1:34" x14ac:dyDescent="0.2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v>2</v>
      </c>
      <c r="H88">
        <v>2</v>
      </c>
      <c r="I88" t="s">
        <v>39</v>
      </c>
      <c r="J88" t="s">
        <v>46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>
        <f t="shared" si="1"/>
        <v>0</v>
      </c>
      <c r="T88" t="s">
        <v>44</v>
      </c>
      <c r="U88" t="s">
        <v>43</v>
      </c>
      <c r="V88" t="s">
        <v>43</v>
      </c>
      <c r="W88" t="s">
        <v>44</v>
      </c>
      <c r="X88" t="s">
        <v>44</v>
      </c>
      <c r="Y88">
        <v>4</v>
      </c>
      <c r="Z88">
        <v>3</v>
      </c>
      <c r="AA88">
        <v>4</v>
      </c>
      <c r="AB88">
        <v>1</v>
      </c>
      <c r="AC88">
        <v>2</v>
      </c>
      <c r="AD88">
        <v>2</v>
      </c>
      <c r="AE88">
        <v>6</v>
      </c>
      <c r="AF88">
        <v>13</v>
      </c>
      <c r="AG88">
        <v>11</v>
      </c>
      <c r="AH88">
        <v>11</v>
      </c>
    </row>
    <row r="89" spans="1:34" x14ac:dyDescent="0.2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v>4</v>
      </c>
      <c r="H89">
        <v>2</v>
      </c>
      <c r="I89" t="s">
        <v>46</v>
      </c>
      <c r="J89" t="s">
        <v>46</v>
      </c>
      <c r="K89" t="s">
        <v>52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>
        <f t="shared" si="1"/>
        <v>0</v>
      </c>
      <c r="T89" t="s">
        <v>43</v>
      </c>
      <c r="U89" t="s">
        <v>43</v>
      </c>
      <c r="V89" t="s">
        <v>43</v>
      </c>
      <c r="W89" t="s">
        <v>43</v>
      </c>
      <c r="X89" t="s">
        <v>44</v>
      </c>
      <c r="Y89">
        <v>5</v>
      </c>
      <c r="Z89">
        <v>3</v>
      </c>
      <c r="AA89">
        <v>3</v>
      </c>
      <c r="AB89">
        <v>1</v>
      </c>
      <c r="AC89">
        <v>3</v>
      </c>
      <c r="AD89">
        <v>1</v>
      </c>
      <c r="AE89">
        <v>4</v>
      </c>
      <c r="AF89">
        <v>15</v>
      </c>
      <c r="AG89">
        <v>15</v>
      </c>
      <c r="AH89">
        <v>15</v>
      </c>
    </row>
    <row r="90" spans="1:34" x14ac:dyDescent="0.2">
      <c r="A90" t="s">
        <v>34</v>
      </c>
      <c r="B90" t="s">
        <v>51</v>
      </c>
      <c r="C90">
        <v>16</v>
      </c>
      <c r="D90" t="s">
        <v>36</v>
      </c>
      <c r="E90" t="s">
        <v>37</v>
      </c>
      <c r="F90" t="s">
        <v>45</v>
      </c>
      <c r="G90">
        <v>2</v>
      </c>
      <c r="H90">
        <v>2</v>
      </c>
      <c r="I90" t="s">
        <v>49</v>
      </c>
      <c r="J90" t="s">
        <v>46</v>
      </c>
      <c r="K90" t="s">
        <v>52</v>
      </c>
      <c r="L90" t="s">
        <v>47</v>
      </c>
      <c r="M90">
        <v>2</v>
      </c>
      <c r="N90">
        <v>2</v>
      </c>
      <c r="O90">
        <v>0</v>
      </c>
      <c r="P90" t="s">
        <v>44</v>
      </c>
      <c r="Q90" t="s">
        <v>44</v>
      </c>
      <c r="R90" t="s">
        <v>44</v>
      </c>
      <c r="S90">
        <f t="shared" si="1"/>
        <v>0</v>
      </c>
      <c r="T90" t="s">
        <v>43</v>
      </c>
      <c r="U90" t="s">
        <v>44</v>
      </c>
      <c r="V90" t="s">
        <v>43</v>
      </c>
      <c r="W90" t="s">
        <v>43</v>
      </c>
      <c r="X90" t="s">
        <v>44</v>
      </c>
      <c r="Y90">
        <v>4</v>
      </c>
      <c r="Z90">
        <v>4</v>
      </c>
      <c r="AA90">
        <v>2</v>
      </c>
      <c r="AB90">
        <v>1</v>
      </c>
      <c r="AC90">
        <v>1</v>
      </c>
      <c r="AD90">
        <v>3</v>
      </c>
      <c r="AE90">
        <v>6</v>
      </c>
      <c r="AF90">
        <v>12</v>
      </c>
      <c r="AG90">
        <v>10</v>
      </c>
      <c r="AH90">
        <v>11</v>
      </c>
    </row>
    <row r="91" spans="1:34" x14ac:dyDescent="0.2">
      <c r="A91" t="s">
        <v>34</v>
      </c>
      <c r="B91" t="s">
        <v>51</v>
      </c>
      <c r="C91">
        <v>16</v>
      </c>
      <c r="D91" t="s">
        <v>36</v>
      </c>
      <c r="E91" t="s">
        <v>48</v>
      </c>
      <c r="F91" t="s">
        <v>38</v>
      </c>
      <c r="G91">
        <v>4</v>
      </c>
      <c r="H91">
        <v>4</v>
      </c>
      <c r="I91" t="s">
        <v>40</v>
      </c>
      <c r="J91" t="s">
        <v>29</v>
      </c>
      <c r="K91" t="s">
        <v>52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>
        <f t="shared" si="1"/>
        <v>0</v>
      </c>
      <c r="T91" t="s">
        <v>44</v>
      </c>
      <c r="U91" t="s">
        <v>43</v>
      </c>
      <c r="V91" t="s">
        <v>43</v>
      </c>
      <c r="W91" t="s">
        <v>44</v>
      </c>
      <c r="X91" t="s">
        <v>44</v>
      </c>
      <c r="Y91">
        <v>4</v>
      </c>
      <c r="Z91">
        <v>1</v>
      </c>
      <c r="AA91">
        <v>3</v>
      </c>
      <c r="AB91">
        <v>3</v>
      </c>
      <c r="AC91">
        <v>5</v>
      </c>
      <c r="AD91">
        <v>5</v>
      </c>
      <c r="AE91">
        <v>6</v>
      </c>
      <c r="AF91">
        <v>9</v>
      </c>
      <c r="AG91">
        <v>9</v>
      </c>
      <c r="AH91">
        <v>10</v>
      </c>
    </row>
    <row r="92" spans="1:34" x14ac:dyDescent="0.2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v>3</v>
      </c>
      <c r="H92">
        <v>3</v>
      </c>
      <c r="I92" t="s">
        <v>46</v>
      </c>
      <c r="J92" t="s">
        <v>46</v>
      </c>
      <c r="K92" t="s">
        <v>50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44</v>
      </c>
      <c r="S92">
        <f t="shared" si="1"/>
        <v>0</v>
      </c>
      <c r="T92" t="s">
        <v>44</v>
      </c>
      <c r="U92" t="s">
        <v>43</v>
      </c>
      <c r="V92" t="s">
        <v>43</v>
      </c>
      <c r="W92" t="s">
        <v>43</v>
      </c>
      <c r="X92" t="s">
        <v>43</v>
      </c>
      <c r="Y92">
        <v>4</v>
      </c>
      <c r="Z92">
        <v>3</v>
      </c>
      <c r="AA92">
        <v>3</v>
      </c>
      <c r="AB92">
        <v>1</v>
      </c>
      <c r="AC92">
        <v>3</v>
      </c>
      <c r="AD92">
        <v>4</v>
      </c>
      <c r="AE92">
        <v>2</v>
      </c>
      <c r="AF92">
        <v>9</v>
      </c>
      <c r="AG92">
        <v>11</v>
      </c>
      <c r="AH92">
        <v>11</v>
      </c>
    </row>
    <row r="93" spans="1:34" x14ac:dyDescent="0.2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v>4</v>
      </c>
      <c r="H93">
        <v>3</v>
      </c>
      <c r="I93" t="s">
        <v>49</v>
      </c>
      <c r="J93" t="s">
        <v>46</v>
      </c>
      <c r="K93" t="s">
        <v>52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44</v>
      </c>
      <c r="S93">
        <f t="shared" si="1"/>
        <v>0</v>
      </c>
      <c r="T93" t="s">
        <v>43</v>
      </c>
      <c r="U93" t="s">
        <v>43</v>
      </c>
      <c r="V93" t="s">
        <v>43</v>
      </c>
      <c r="W93" t="s">
        <v>43</v>
      </c>
      <c r="X93" t="s">
        <v>44</v>
      </c>
      <c r="Y93">
        <v>4</v>
      </c>
      <c r="Z93">
        <v>5</v>
      </c>
      <c r="AA93">
        <v>5</v>
      </c>
      <c r="AB93">
        <v>1</v>
      </c>
      <c r="AC93">
        <v>3</v>
      </c>
      <c r="AD93">
        <v>1</v>
      </c>
      <c r="AE93">
        <v>6</v>
      </c>
      <c r="AF93">
        <v>14</v>
      </c>
      <c r="AG93">
        <v>13</v>
      </c>
      <c r="AH93">
        <v>13</v>
      </c>
    </row>
    <row r="94" spans="1:34" x14ac:dyDescent="0.2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v>3</v>
      </c>
      <c r="H94">
        <v>1</v>
      </c>
      <c r="I94" t="s">
        <v>46</v>
      </c>
      <c r="J94" t="s">
        <v>46</v>
      </c>
      <c r="K94" t="s">
        <v>50</v>
      </c>
      <c r="L94" t="s">
        <v>47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>
        <f t="shared" si="1"/>
        <v>0</v>
      </c>
      <c r="T94" t="s">
        <v>44</v>
      </c>
      <c r="U94" t="s">
        <v>43</v>
      </c>
      <c r="V94" t="s">
        <v>43</v>
      </c>
      <c r="W94" t="s">
        <v>44</v>
      </c>
      <c r="X94" t="s">
        <v>44</v>
      </c>
      <c r="Y94">
        <v>3</v>
      </c>
      <c r="Z94">
        <v>3</v>
      </c>
      <c r="AA94">
        <v>3</v>
      </c>
      <c r="AB94">
        <v>2</v>
      </c>
      <c r="AC94">
        <v>3</v>
      </c>
      <c r="AD94">
        <v>2</v>
      </c>
      <c r="AE94">
        <v>0</v>
      </c>
      <c r="AF94">
        <v>12</v>
      </c>
      <c r="AG94">
        <v>13</v>
      </c>
      <c r="AH94">
        <v>12</v>
      </c>
    </row>
    <row r="95" spans="1:34" x14ac:dyDescent="0.2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v>4</v>
      </c>
      <c r="H95">
        <v>2</v>
      </c>
      <c r="I95" t="s">
        <v>40</v>
      </c>
      <c r="J95" t="s">
        <v>49</v>
      </c>
      <c r="K95" t="s">
        <v>50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44</v>
      </c>
      <c r="S95">
        <f t="shared" si="1"/>
        <v>0</v>
      </c>
      <c r="T95" t="s">
        <v>43</v>
      </c>
      <c r="U95" t="s">
        <v>43</v>
      </c>
      <c r="V95" t="s">
        <v>43</v>
      </c>
      <c r="W95" t="s">
        <v>43</v>
      </c>
      <c r="X95" t="s">
        <v>44</v>
      </c>
      <c r="Y95">
        <v>5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2</v>
      </c>
      <c r="AF95">
        <v>13</v>
      </c>
      <c r="AG95">
        <v>14</v>
      </c>
      <c r="AH95">
        <v>14</v>
      </c>
    </row>
    <row r="96" spans="1:34" x14ac:dyDescent="0.2">
      <c r="A96" t="s">
        <v>34</v>
      </c>
      <c r="B96" t="s">
        <v>51</v>
      </c>
      <c r="C96">
        <v>15</v>
      </c>
      <c r="D96" t="s">
        <v>36</v>
      </c>
      <c r="E96" t="s">
        <v>48</v>
      </c>
      <c r="F96" t="s">
        <v>45</v>
      </c>
      <c r="G96">
        <v>2</v>
      </c>
      <c r="H96">
        <v>2</v>
      </c>
      <c r="I96" t="s">
        <v>49</v>
      </c>
      <c r="J96" t="s">
        <v>29</v>
      </c>
      <c r="K96" t="s">
        <v>52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>
        <f t="shared" si="1"/>
        <v>0</v>
      </c>
      <c r="T96" t="s">
        <v>43</v>
      </c>
      <c r="U96" t="s">
        <v>43</v>
      </c>
      <c r="V96" t="s">
        <v>43</v>
      </c>
      <c r="W96" t="s">
        <v>43</v>
      </c>
      <c r="X96" t="s">
        <v>44</v>
      </c>
      <c r="Y96">
        <v>4</v>
      </c>
      <c r="Z96">
        <v>3</v>
      </c>
      <c r="AA96">
        <v>4</v>
      </c>
      <c r="AB96">
        <v>1</v>
      </c>
      <c r="AC96">
        <v>1</v>
      </c>
      <c r="AD96">
        <v>4</v>
      </c>
      <c r="AE96">
        <v>2</v>
      </c>
      <c r="AF96">
        <v>11</v>
      </c>
      <c r="AG96">
        <v>12</v>
      </c>
      <c r="AH96">
        <v>12</v>
      </c>
    </row>
    <row r="97" spans="1:34" x14ac:dyDescent="0.2">
      <c r="A97" t="s">
        <v>34</v>
      </c>
      <c r="B97" t="s">
        <v>35</v>
      </c>
      <c r="C97">
        <v>15</v>
      </c>
      <c r="D97" t="s">
        <v>53</v>
      </c>
      <c r="E97" t="s">
        <v>37</v>
      </c>
      <c r="F97" t="s">
        <v>45</v>
      </c>
      <c r="G97">
        <v>1</v>
      </c>
      <c r="H97">
        <v>1</v>
      </c>
      <c r="I97" t="s">
        <v>39</v>
      </c>
      <c r="J97" t="s">
        <v>46</v>
      </c>
      <c r="K97" t="s">
        <v>50</v>
      </c>
      <c r="L97" t="s">
        <v>42</v>
      </c>
      <c r="M97">
        <v>2</v>
      </c>
      <c r="N97">
        <v>4</v>
      </c>
      <c r="O97">
        <v>0</v>
      </c>
      <c r="P97" t="s">
        <v>43</v>
      </c>
      <c r="Q97" t="s">
        <v>43</v>
      </c>
      <c r="R97" t="s">
        <v>43</v>
      </c>
      <c r="S97">
        <f t="shared" si="1"/>
        <v>1</v>
      </c>
      <c r="T97" t="s">
        <v>43</v>
      </c>
      <c r="U97" t="s">
        <v>43</v>
      </c>
      <c r="V97" t="s">
        <v>43</v>
      </c>
      <c r="W97" t="s">
        <v>43</v>
      </c>
      <c r="X97" t="s">
        <v>44</v>
      </c>
      <c r="Y97">
        <v>3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4</v>
      </c>
      <c r="AF97">
        <v>13</v>
      </c>
      <c r="AG97">
        <v>13</v>
      </c>
      <c r="AH97">
        <v>13</v>
      </c>
    </row>
    <row r="98" spans="1:34" x14ac:dyDescent="0.2">
      <c r="A98" t="s">
        <v>34</v>
      </c>
      <c r="B98" t="s">
        <v>51</v>
      </c>
      <c r="C98">
        <v>16</v>
      </c>
      <c r="D98" t="s">
        <v>53</v>
      </c>
      <c r="E98" t="s">
        <v>37</v>
      </c>
      <c r="F98" t="s">
        <v>45</v>
      </c>
      <c r="G98">
        <v>4</v>
      </c>
      <c r="H98">
        <v>3</v>
      </c>
      <c r="I98" t="s">
        <v>49</v>
      </c>
      <c r="J98" t="s">
        <v>46</v>
      </c>
      <c r="K98" t="s">
        <v>52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43</v>
      </c>
      <c r="S98">
        <f t="shared" si="1"/>
        <v>1</v>
      </c>
      <c r="T98" t="s">
        <v>43</v>
      </c>
      <c r="U98" t="s">
        <v>44</v>
      </c>
      <c r="V98" t="s">
        <v>43</v>
      </c>
      <c r="W98" t="s">
        <v>43</v>
      </c>
      <c r="X98" t="s">
        <v>44</v>
      </c>
      <c r="Y98">
        <v>3</v>
      </c>
      <c r="Z98">
        <v>3</v>
      </c>
      <c r="AA98">
        <v>3</v>
      </c>
      <c r="AB98">
        <v>1</v>
      </c>
      <c r="AC98">
        <v>1</v>
      </c>
      <c r="AD98">
        <v>4</v>
      </c>
      <c r="AE98">
        <v>6</v>
      </c>
      <c r="AF98">
        <v>9</v>
      </c>
      <c r="AG98">
        <v>11</v>
      </c>
      <c r="AH98">
        <v>11</v>
      </c>
    </row>
    <row r="99" spans="1:34" x14ac:dyDescent="0.2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v>2</v>
      </c>
      <c r="H99">
        <v>1</v>
      </c>
      <c r="I99" t="s">
        <v>46</v>
      </c>
      <c r="J99" t="s">
        <v>46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44</v>
      </c>
      <c r="S99">
        <f t="shared" si="1"/>
        <v>0</v>
      </c>
      <c r="T99" t="s">
        <v>44</v>
      </c>
      <c r="U99" t="s">
        <v>43</v>
      </c>
      <c r="V99" t="s">
        <v>43</v>
      </c>
      <c r="W99" t="s">
        <v>44</v>
      </c>
      <c r="X99" t="s">
        <v>43</v>
      </c>
      <c r="Y99">
        <v>4</v>
      </c>
      <c r="Z99">
        <v>3</v>
      </c>
      <c r="AA99">
        <v>5</v>
      </c>
      <c r="AB99">
        <v>1</v>
      </c>
      <c r="AC99">
        <v>1</v>
      </c>
      <c r="AD99">
        <v>5</v>
      </c>
      <c r="AE99">
        <v>0</v>
      </c>
      <c r="AF99">
        <v>13</v>
      </c>
      <c r="AG99">
        <v>12</v>
      </c>
      <c r="AH99">
        <v>12</v>
      </c>
    </row>
    <row r="100" spans="1:34" x14ac:dyDescent="0.2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v>4</v>
      </c>
      <c r="H100">
        <v>4</v>
      </c>
      <c r="I100" t="s">
        <v>46</v>
      </c>
      <c r="J100" t="s">
        <v>46</v>
      </c>
      <c r="K100" t="s">
        <v>52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>
        <f t="shared" si="1"/>
        <v>0</v>
      </c>
      <c r="T100" t="s">
        <v>43</v>
      </c>
      <c r="U100" t="s">
        <v>44</v>
      </c>
      <c r="V100" t="s">
        <v>43</v>
      </c>
      <c r="W100" t="s">
        <v>43</v>
      </c>
      <c r="X100" t="s">
        <v>44</v>
      </c>
      <c r="Y100">
        <v>5</v>
      </c>
      <c r="Z100">
        <v>3</v>
      </c>
      <c r="AA100">
        <v>4</v>
      </c>
      <c r="AB100">
        <v>1</v>
      </c>
      <c r="AC100">
        <v>2</v>
      </c>
      <c r="AD100">
        <v>1</v>
      </c>
      <c r="AE100">
        <v>4</v>
      </c>
      <c r="AF100">
        <v>12</v>
      </c>
      <c r="AG100">
        <v>13</v>
      </c>
      <c r="AH100">
        <v>13</v>
      </c>
    </row>
    <row r="101" spans="1:34" x14ac:dyDescent="0.2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v>4</v>
      </c>
      <c r="H101">
        <v>3</v>
      </c>
      <c r="I101" t="s">
        <v>46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44</v>
      </c>
      <c r="S101">
        <f t="shared" si="1"/>
        <v>0</v>
      </c>
      <c r="T101" t="s">
        <v>44</v>
      </c>
      <c r="U101" t="s">
        <v>43</v>
      </c>
      <c r="V101" t="s">
        <v>43</v>
      </c>
      <c r="W101" t="s">
        <v>43</v>
      </c>
      <c r="X101" t="s">
        <v>44</v>
      </c>
      <c r="Y101">
        <v>5</v>
      </c>
      <c r="Z101">
        <v>3</v>
      </c>
      <c r="AA101">
        <v>5</v>
      </c>
      <c r="AB101">
        <v>1</v>
      </c>
      <c r="AC101">
        <v>1</v>
      </c>
      <c r="AD101">
        <v>3</v>
      </c>
      <c r="AE101">
        <v>2</v>
      </c>
      <c r="AF101">
        <v>12</v>
      </c>
      <c r="AG101">
        <v>13</v>
      </c>
      <c r="AH101">
        <v>13</v>
      </c>
    </row>
    <row r="102" spans="1:34" x14ac:dyDescent="0.2">
      <c r="A102" t="s">
        <v>34</v>
      </c>
      <c r="B102" t="s">
        <v>51</v>
      </c>
      <c r="C102">
        <v>16</v>
      </c>
      <c r="D102" t="s">
        <v>36</v>
      </c>
      <c r="E102" t="s">
        <v>37</v>
      </c>
      <c r="F102" t="s">
        <v>45</v>
      </c>
      <c r="G102">
        <v>4</v>
      </c>
      <c r="H102">
        <v>4</v>
      </c>
      <c r="I102" t="s">
        <v>49</v>
      </c>
      <c r="J102" t="s">
        <v>49</v>
      </c>
      <c r="K102" t="s">
        <v>46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44</v>
      </c>
      <c r="S102">
        <f t="shared" si="1"/>
        <v>0</v>
      </c>
      <c r="T102" t="s">
        <v>43</v>
      </c>
      <c r="U102" t="s">
        <v>43</v>
      </c>
      <c r="V102" t="s">
        <v>43</v>
      </c>
      <c r="W102" t="s">
        <v>43</v>
      </c>
      <c r="X102" t="s">
        <v>44</v>
      </c>
      <c r="Y102">
        <v>4</v>
      </c>
      <c r="Z102">
        <v>5</v>
      </c>
      <c r="AA102">
        <v>5</v>
      </c>
      <c r="AB102">
        <v>5</v>
      </c>
      <c r="AC102">
        <v>5</v>
      </c>
      <c r="AD102">
        <v>4</v>
      </c>
      <c r="AE102">
        <v>12</v>
      </c>
      <c r="AF102">
        <v>9</v>
      </c>
      <c r="AG102">
        <v>9</v>
      </c>
      <c r="AH102">
        <v>8</v>
      </c>
    </row>
    <row r="103" spans="1:34" x14ac:dyDescent="0.2">
      <c r="A103" t="s">
        <v>34</v>
      </c>
      <c r="B103" t="s">
        <v>51</v>
      </c>
      <c r="C103">
        <v>16</v>
      </c>
      <c r="D103" t="s">
        <v>36</v>
      </c>
      <c r="E103" t="s">
        <v>37</v>
      </c>
      <c r="F103" t="s">
        <v>45</v>
      </c>
      <c r="G103">
        <v>4</v>
      </c>
      <c r="H103">
        <v>4</v>
      </c>
      <c r="I103" t="s">
        <v>49</v>
      </c>
      <c r="J103" t="s">
        <v>40</v>
      </c>
      <c r="K103" t="s">
        <v>46</v>
      </c>
      <c r="L103" t="s">
        <v>47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>
        <f t="shared" si="1"/>
        <v>0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>
        <v>4</v>
      </c>
      <c r="Z103">
        <v>4</v>
      </c>
      <c r="AA103">
        <v>3</v>
      </c>
      <c r="AB103">
        <v>1</v>
      </c>
      <c r="AC103">
        <v>1</v>
      </c>
      <c r="AD103">
        <v>4</v>
      </c>
      <c r="AE103">
        <v>0</v>
      </c>
      <c r="AF103">
        <v>16</v>
      </c>
      <c r="AG103">
        <v>16</v>
      </c>
      <c r="AH103">
        <v>16</v>
      </c>
    </row>
    <row r="104" spans="1:34" x14ac:dyDescent="0.2">
      <c r="A104" t="s">
        <v>34</v>
      </c>
      <c r="B104" t="s">
        <v>51</v>
      </c>
      <c r="C104">
        <v>15</v>
      </c>
      <c r="D104" t="s">
        <v>36</v>
      </c>
      <c r="E104" t="s">
        <v>37</v>
      </c>
      <c r="F104" t="s">
        <v>45</v>
      </c>
      <c r="G104">
        <v>4</v>
      </c>
      <c r="H104">
        <v>4</v>
      </c>
      <c r="I104" t="s">
        <v>49</v>
      </c>
      <c r="J104" t="s">
        <v>46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43</v>
      </c>
      <c r="S104">
        <f t="shared" si="1"/>
        <v>1</v>
      </c>
      <c r="T104" t="s">
        <v>43</v>
      </c>
      <c r="U104" t="s">
        <v>44</v>
      </c>
      <c r="V104" t="s">
        <v>43</v>
      </c>
      <c r="W104" t="s">
        <v>43</v>
      </c>
      <c r="X104" t="s">
        <v>44</v>
      </c>
      <c r="Y104">
        <v>5</v>
      </c>
      <c r="Z104">
        <v>3</v>
      </c>
      <c r="AA104">
        <v>3</v>
      </c>
      <c r="AB104">
        <v>1</v>
      </c>
      <c r="AC104">
        <v>1</v>
      </c>
      <c r="AD104">
        <v>5</v>
      </c>
      <c r="AE104">
        <v>2</v>
      </c>
      <c r="AF104">
        <v>12</v>
      </c>
      <c r="AG104">
        <v>13</v>
      </c>
      <c r="AH104">
        <v>12</v>
      </c>
    </row>
    <row r="105" spans="1:34" x14ac:dyDescent="0.2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v>3</v>
      </c>
      <c r="H105">
        <v>2</v>
      </c>
      <c r="I105" t="s">
        <v>49</v>
      </c>
      <c r="J105" t="s">
        <v>46</v>
      </c>
      <c r="K105" t="s">
        <v>50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44</v>
      </c>
      <c r="S105">
        <f t="shared" si="1"/>
        <v>0</v>
      </c>
      <c r="T105" t="s">
        <v>44</v>
      </c>
      <c r="U105" t="s">
        <v>43</v>
      </c>
      <c r="V105" t="s">
        <v>43</v>
      </c>
      <c r="W105" t="s">
        <v>43</v>
      </c>
      <c r="X105" t="s">
        <v>44</v>
      </c>
      <c r="Y105">
        <v>4</v>
      </c>
      <c r="Z105">
        <v>3</v>
      </c>
      <c r="AA105">
        <v>5</v>
      </c>
      <c r="AB105">
        <v>1</v>
      </c>
      <c r="AC105">
        <v>1</v>
      </c>
      <c r="AD105">
        <v>2</v>
      </c>
      <c r="AE105">
        <v>16</v>
      </c>
      <c r="AF105">
        <v>11</v>
      </c>
      <c r="AG105">
        <v>10</v>
      </c>
      <c r="AH105">
        <v>10</v>
      </c>
    </row>
    <row r="106" spans="1:34" x14ac:dyDescent="0.2">
      <c r="A106" t="s">
        <v>34</v>
      </c>
      <c r="B106" t="s">
        <v>51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49</v>
      </c>
      <c r="J106" t="s">
        <v>46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44</v>
      </c>
      <c r="S106">
        <f t="shared" si="1"/>
        <v>0</v>
      </c>
      <c r="T106" t="s">
        <v>43</v>
      </c>
      <c r="U106" t="s">
        <v>43</v>
      </c>
      <c r="V106" t="s">
        <v>43</v>
      </c>
      <c r="W106" t="s">
        <v>43</v>
      </c>
      <c r="X106" t="s">
        <v>44</v>
      </c>
      <c r="Y106">
        <v>5</v>
      </c>
      <c r="Z106">
        <v>4</v>
      </c>
      <c r="AA106">
        <v>4</v>
      </c>
      <c r="AB106">
        <v>1</v>
      </c>
      <c r="AC106">
        <v>1</v>
      </c>
      <c r="AD106">
        <v>1</v>
      </c>
      <c r="AE106">
        <v>0</v>
      </c>
      <c r="AF106">
        <v>16</v>
      </c>
      <c r="AG106">
        <v>16</v>
      </c>
      <c r="AH106">
        <v>16</v>
      </c>
    </row>
    <row r="107" spans="1:34" x14ac:dyDescent="0.2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46</v>
      </c>
      <c r="J107" t="s">
        <v>29</v>
      </c>
      <c r="K107" t="s">
        <v>52</v>
      </c>
      <c r="L107" t="s">
        <v>47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>
        <f t="shared" si="1"/>
        <v>0</v>
      </c>
      <c r="T107" t="s">
        <v>44</v>
      </c>
      <c r="U107" t="s">
        <v>43</v>
      </c>
      <c r="V107" t="s">
        <v>43</v>
      </c>
      <c r="W107" t="s">
        <v>44</v>
      </c>
      <c r="X107" t="s">
        <v>44</v>
      </c>
      <c r="Y107">
        <v>4</v>
      </c>
      <c r="Z107">
        <v>3</v>
      </c>
      <c r="AA107">
        <v>3</v>
      </c>
      <c r="AB107">
        <v>1</v>
      </c>
      <c r="AC107">
        <v>1</v>
      </c>
      <c r="AD107">
        <v>4</v>
      </c>
      <c r="AE107">
        <v>10</v>
      </c>
      <c r="AF107">
        <v>10</v>
      </c>
      <c r="AG107">
        <v>10</v>
      </c>
      <c r="AH107">
        <v>10</v>
      </c>
    </row>
    <row r="108" spans="1:34" x14ac:dyDescent="0.2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v>2</v>
      </c>
      <c r="H108">
        <v>2</v>
      </c>
      <c r="I108" t="s">
        <v>46</v>
      </c>
      <c r="J108" t="s">
        <v>46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44</v>
      </c>
      <c r="S108">
        <f t="shared" si="1"/>
        <v>0</v>
      </c>
      <c r="T108" t="s">
        <v>44</v>
      </c>
      <c r="U108" t="s">
        <v>43</v>
      </c>
      <c r="V108" t="s">
        <v>43</v>
      </c>
      <c r="W108" t="s">
        <v>43</v>
      </c>
      <c r="X108" t="s">
        <v>44</v>
      </c>
      <c r="Y108">
        <v>5</v>
      </c>
      <c r="Z108">
        <v>1</v>
      </c>
      <c r="AA108">
        <v>2</v>
      </c>
      <c r="AB108">
        <v>1</v>
      </c>
      <c r="AC108">
        <v>1</v>
      </c>
      <c r="AD108">
        <v>3</v>
      </c>
      <c r="AE108">
        <v>4</v>
      </c>
      <c r="AF108">
        <v>10</v>
      </c>
      <c r="AG108">
        <v>10</v>
      </c>
      <c r="AH108">
        <v>10</v>
      </c>
    </row>
    <row r="109" spans="1:34" x14ac:dyDescent="0.2">
      <c r="A109" t="s">
        <v>34</v>
      </c>
      <c r="B109" t="s">
        <v>51</v>
      </c>
      <c r="C109">
        <v>16</v>
      </c>
      <c r="D109" t="s">
        <v>36</v>
      </c>
      <c r="E109" t="s">
        <v>37</v>
      </c>
      <c r="F109" t="s">
        <v>45</v>
      </c>
      <c r="G109">
        <v>3</v>
      </c>
      <c r="H109">
        <v>3</v>
      </c>
      <c r="I109" t="s">
        <v>49</v>
      </c>
      <c r="J109" t="s">
        <v>46</v>
      </c>
      <c r="K109" t="s">
        <v>50</v>
      </c>
      <c r="L109" t="s">
        <v>47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>
        <f t="shared" si="1"/>
        <v>0</v>
      </c>
      <c r="T109" t="s">
        <v>43</v>
      </c>
      <c r="U109" t="s">
        <v>43</v>
      </c>
      <c r="V109" t="s">
        <v>43</v>
      </c>
      <c r="W109" t="s">
        <v>43</v>
      </c>
      <c r="X109" t="s">
        <v>44</v>
      </c>
      <c r="Y109">
        <v>5</v>
      </c>
      <c r="Z109">
        <v>3</v>
      </c>
      <c r="AA109">
        <v>3</v>
      </c>
      <c r="AB109">
        <v>1</v>
      </c>
      <c r="AC109">
        <v>1</v>
      </c>
      <c r="AD109">
        <v>5</v>
      </c>
      <c r="AE109">
        <v>4</v>
      </c>
      <c r="AF109">
        <v>13</v>
      </c>
      <c r="AG109">
        <v>14</v>
      </c>
      <c r="AH109">
        <v>14</v>
      </c>
    </row>
    <row r="110" spans="1:34" x14ac:dyDescent="0.2">
      <c r="A110" t="s">
        <v>34</v>
      </c>
      <c r="B110" t="s">
        <v>51</v>
      </c>
      <c r="C110">
        <v>15</v>
      </c>
      <c r="D110" t="s">
        <v>53</v>
      </c>
      <c r="E110" t="s">
        <v>37</v>
      </c>
      <c r="F110" t="s">
        <v>45</v>
      </c>
      <c r="G110">
        <v>4</v>
      </c>
      <c r="H110">
        <v>4</v>
      </c>
      <c r="I110" t="s">
        <v>46</v>
      </c>
      <c r="J110" t="s">
        <v>46</v>
      </c>
      <c r="K110" t="s">
        <v>50</v>
      </c>
      <c r="L110" t="s">
        <v>47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44</v>
      </c>
      <c r="S110">
        <f t="shared" si="1"/>
        <v>0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>
        <v>1</v>
      </c>
      <c r="Z110">
        <v>3</v>
      </c>
      <c r="AA110">
        <v>5</v>
      </c>
      <c r="AB110">
        <v>3</v>
      </c>
      <c r="AC110">
        <v>5</v>
      </c>
      <c r="AD110">
        <v>1</v>
      </c>
      <c r="AE110">
        <v>8</v>
      </c>
      <c r="AF110">
        <v>12</v>
      </c>
      <c r="AG110">
        <v>10</v>
      </c>
      <c r="AH110">
        <v>11</v>
      </c>
    </row>
    <row r="111" spans="1:34" x14ac:dyDescent="0.2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v>4</v>
      </c>
      <c r="H111">
        <v>4</v>
      </c>
      <c r="I111" t="s">
        <v>29</v>
      </c>
      <c r="J111" t="s">
        <v>29</v>
      </c>
      <c r="K111" t="s">
        <v>46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44</v>
      </c>
      <c r="S111">
        <f t="shared" si="1"/>
        <v>0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>
        <v>5</v>
      </c>
      <c r="Z111">
        <v>4</v>
      </c>
      <c r="AA111">
        <v>5</v>
      </c>
      <c r="AB111">
        <v>1</v>
      </c>
      <c r="AC111">
        <v>1</v>
      </c>
      <c r="AD111">
        <v>4</v>
      </c>
      <c r="AE111">
        <v>2</v>
      </c>
      <c r="AF111">
        <v>15</v>
      </c>
      <c r="AG111">
        <v>15</v>
      </c>
      <c r="AH111">
        <v>14</v>
      </c>
    </row>
    <row r="112" spans="1:34" x14ac:dyDescent="0.2">
      <c r="A112" t="s">
        <v>34</v>
      </c>
      <c r="B112" t="s">
        <v>51</v>
      </c>
      <c r="C112">
        <v>15</v>
      </c>
      <c r="D112" t="s">
        <v>36</v>
      </c>
      <c r="E112" t="s">
        <v>48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>
        <f t="shared" si="1"/>
        <v>0</v>
      </c>
      <c r="T112" t="s">
        <v>43</v>
      </c>
      <c r="U112" t="s">
        <v>43</v>
      </c>
      <c r="V112" t="s">
        <v>43</v>
      </c>
      <c r="W112" t="s">
        <v>43</v>
      </c>
      <c r="X112" t="s">
        <v>44</v>
      </c>
      <c r="Y112">
        <v>5</v>
      </c>
      <c r="Z112">
        <v>5</v>
      </c>
      <c r="AA112">
        <v>3</v>
      </c>
      <c r="AB112">
        <v>1</v>
      </c>
      <c r="AC112">
        <v>1</v>
      </c>
      <c r="AD112">
        <v>4</v>
      </c>
      <c r="AE112">
        <v>4</v>
      </c>
      <c r="AF112">
        <v>13</v>
      </c>
      <c r="AG112">
        <v>14</v>
      </c>
      <c r="AH112">
        <v>14</v>
      </c>
    </row>
    <row r="113" spans="1:34" x14ac:dyDescent="0.2">
      <c r="A113" t="s">
        <v>34</v>
      </c>
      <c r="B113" t="s">
        <v>35</v>
      </c>
      <c r="C113">
        <v>16</v>
      </c>
      <c r="D113" t="s">
        <v>53</v>
      </c>
      <c r="E113" t="s">
        <v>37</v>
      </c>
      <c r="F113" t="s">
        <v>45</v>
      </c>
      <c r="G113">
        <v>3</v>
      </c>
      <c r="H113">
        <v>3</v>
      </c>
      <c r="I113" t="s">
        <v>49</v>
      </c>
      <c r="J113" t="s">
        <v>46</v>
      </c>
      <c r="K113" t="s">
        <v>52</v>
      </c>
      <c r="L113" t="s">
        <v>47</v>
      </c>
      <c r="M113">
        <v>1</v>
      </c>
      <c r="N113">
        <v>3</v>
      </c>
      <c r="O113">
        <v>0</v>
      </c>
      <c r="P113" t="s">
        <v>43</v>
      </c>
      <c r="Q113" t="s">
        <v>43</v>
      </c>
      <c r="R113" t="s">
        <v>44</v>
      </c>
      <c r="S113">
        <f t="shared" si="1"/>
        <v>0</v>
      </c>
      <c r="T113" t="s">
        <v>43</v>
      </c>
      <c r="U113" t="s">
        <v>43</v>
      </c>
      <c r="V113" t="s">
        <v>43</v>
      </c>
      <c r="W113" t="s">
        <v>43</v>
      </c>
      <c r="X113" t="s">
        <v>44</v>
      </c>
      <c r="Y113">
        <v>4</v>
      </c>
      <c r="Z113">
        <v>1</v>
      </c>
      <c r="AA113">
        <v>2</v>
      </c>
      <c r="AB113">
        <v>1</v>
      </c>
      <c r="AC113">
        <v>1</v>
      </c>
      <c r="AD113">
        <v>2</v>
      </c>
      <c r="AE113">
        <v>4</v>
      </c>
      <c r="AF113">
        <v>11</v>
      </c>
      <c r="AG113">
        <v>11</v>
      </c>
      <c r="AH113">
        <v>11</v>
      </c>
    </row>
    <row r="114" spans="1:34" x14ac:dyDescent="0.2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v>2</v>
      </c>
      <c r="H114">
        <v>2</v>
      </c>
      <c r="I114" t="s">
        <v>39</v>
      </c>
      <c r="J114" t="s">
        <v>46</v>
      </c>
      <c r="K114" t="s">
        <v>50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>
        <f t="shared" si="1"/>
        <v>0</v>
      </c>
      <c r="T114" t="s">
        <v>43</v>
      </c>
      <c r="U114" t="s">
        <v>43</v>
      </c>
      <c r="V114" t="s">
        <v>43</v>
      </c>
      <c r="W114" t="s">
        <v>43</v>
      </c>
      <c r="X114" t="s">
        <v>44</v>
      </c>
      <c r="Y114">
        <v>3</v>
      </c>
      <c r="Z114">
        <v>1</v>
      </c>
      <c r="AA114">
        <v>2</v>
      </c>
      <c r="AB114">
        <v>1</v>
      </c>
      <c r="AC114">
        <v>1</v>
      </c>
      <c r="AD114">
        <v>5</v>
      </c>
      <c r="AE114">
        <v>12</v>
      </c>
      <c r="AF114">
        <v>8</v>
      </c>
      <c r="AG114">
        <v>10</v>
      </c>
      <c r="AH114">
        <v>10</v>
      </c>
    </row>
    <row r="115" spans="1:34" x14ac:dyDescent="0.2">
      <c r="A115" t="s">
        <v>34</v>
      </c>
      <c r="B115" t="s">
        <v>51</v>
      </c>
      <c r="C115">
        <v>15</v>
      </c>
      <c r="D115" t="s">
        <v>36</v>
      </c>
      <c r="E115" t="s">
        <v>48</v>
      </c>
      <c r="F115" t="s">
        <v>45</v>
      </c>
      <c r="G115">
        <v>4</v>
      </c>
      <c r="H115">
        <v>2</v>
      </c>
      <c r="I115" t="s">
        <v>40</v>
      </c>
      <c r="J115" t="s">
        <v>46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>
        <f t="shared" si="1"/>
        <v>0</v>
      </c>
      <c r="T115" t="s">
        <v>44</v>
      </c>
      <c r="U115" t="s">
        <v>43</v>
      </c>
      <c r="V115" t="s">
        <v>43</v>
      </c>
      <c r="W115" t="s">
        <v>43</v>
      </c>
      <c r="X115" t="s">
        <v>44</v>
      </c>
      <c r="Y115">
        <v>3</v>
      </c>
      <c r="Z115">
        <v>5</v>
      </c>
      <c r="AA115">
        <v>2</v>
      </c>
      <c r="AB115">
        <v>1</v>
      </c>
      <c r="AC115">
        <v>1</v>
      </c>
      <c r="AD115">
        <v>3</v>
      </c>
      <c r="AE115">
        <v>10</v>
      </c>
      <c r="AF115">
        <v>18</v>
      </c>
      <c r="AG115">
        <v>17</v>
      </c>
      <c r="AH115">
        <v>18</v>
      </c>
    </row>
    <row r="116" spans="1:34" x14ac:dyDescent="0.2">
      <c r="A116" t="s">
        <v>34</v>
      </c>
      <c r="B116" t="s">
        <v>51</v>
      </c>
      <c r="C116">
        <v>15</v>
      </c>
      <c r="D116" t="s">
        <v>53</v>
      </c>
      <c r="E116" t="s">
        <v>37</v>
      </c>
      <c r="F116" t="s">
        <v>45</v>
      </c>
      <c r="G116">
        <v>2</v>
      </c>
      <c r="H116">
        <v>1</v>
      </c>
      <c r="I116" t="s">
        <v>29</v>
      </c>
      <c r="J116" t="s">
        <v>49</v>
      </c>
      <c r="K116" t="s">
        <v>52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>
        <f t="shared" si="1"/>
        <v>0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>
        <v>5</v>
      </c>
      <c r="Z116">
        <v>4</v>
      </c>
      <c r="AA116">
        <v>2</v>
      </c>
      <c r="AB116">
        <v>1</v>
      </c>
      <c r="AC116">
        <v>1</v>
      </c>
      <c r="AD116">
        <v>5</v>
      </c>
      <c r="AE116">
        <v>4</v>
      </c>
      <c r="AF116">
        <v>10</v>
      </c>
      <c r="AG116">
        <v>9</v>
      </c>
      <c r="AH116">
        <v>10</v>
      </c>
    </row>
    <row r="117" spans="1:34" x14ac:dyDescent="0.2">
      <c r="A117" t="s">
        <v>34</v>
      </c>
      <c r="B117" t="s">
        <v>51</v>
      </c>
      <c r="C117">
        <v>16</v>
      </c>
      <c r="D117" t="s">
        <v>36</v>
      </c>
      <c r="E117" t="s">
        <v>37</v>
      </c>
      <c r="F117" t="s">
        <v>45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47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>
        <f t="shared" si="1"/>
        <v>0</v>
      </c>
      <c r="T117" t="s">
        <v>43</v>
      </c>
      <c r="U117" t="s">
        <v>43</v>
      </c>
      <c r="V117" t="s">
        <v>43</v>
      </c>
      <c r="W117" t="s">
        <v>43</v>
      </c>
      <c r="X117" t="s">
        <v>44</v>
      </c>
      <c r="Y117">
        <v>5</v>
      </c>
      <c r="Z117">
        <v>4</v>
      </c>
      <c r="AA117">
        <v>4</v>
      </c>
      <c r="AB117">
        <v>1</v>
      </c>
      <c r="AC117">
        <v>2</v>
      </c>
      <c r="AD117">
        <v>5</v>
      </c>
      <c r="AE117">
        <v>6</v>
      </c>
      <c r="AF117">
        <v>16</v>
      </c>
      <c r="AG117">
        <v>14</v>
      </c>
      <c r="AH117">
        <v>14</v>
      </c>
    </row>
    <row r="118" spans="1:34" x14ac:dyDescent="0.2">
      <c r="A118" t="s">
        <v>34</v>
      </c>
      <c r="B118" t="s">
        <v>51</v>
      </c>
      <c r="C118">
        <v>15</v>
      </c>
      <c r="D118" t="s">
        <v>36</v>
      </c>
      <c r="E118" t="s">
        <v>37</v>
      </c>
      <c r="F118" t="s">
        <v>45</v>
      </c>
      <c r="G118">
        <v>4</v>
      </c>
      <c r="H118">
        <v>4</v>
      </c>
      <c r="I118" t="s">
        <v>46</v>
      </c>
      <c r="J118" t="s">
        <v>40</v>
      </c>
      <c r="K118" t="s">
        <v>52</v>
      </c>
      <c r="L118" t="s">
        <v>47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>
        <f t="shared" si="1"/>
        <v>0</v>
      </c>
      <c r="T118" t="s">
        <v>43</v>
      </c>
      <c r="U118" t="s">
        <v>43</v>
      </c>
      <c r="V118" t="s">
        <v>43</v>
      </c>
      <c r="W118" t="s">
        <v>44</v>
      </c>
      <c r="X118" t="s">
        <v>44</v>
      </c>
      <c r="Y118">
        <v>4</v>
      </c>
      <c r="Z118">
        <v>4</v>
      </c>
      <c r="AA118">
        <v>3</v>
      </c>
      <c r="AB118">
        <v>1</v>
      </c>
      <c r="AC118">
        <v>1</v>
      </c>
      <c r="AD118">
        <v>2</v>
      </c>
      <c r="AE118">
        <v>4</v>
      </c>
      <c r="AF118">
        <v>16</v>
      </c>
      <c r="AG118">
        <v>15</v>
      </c>
      <c r="AH118">
        <v>16</v>
      </c>
    </row>
    <row r="119" spans="1:34" x14ac:dyDescent="0.2">
      <c r="A119" t="s">
        <v>34</v>
      </c>
      <c r="B119" t="s">
        <v>51</v>
      </c>
      <c r="C119">
        <v>16</v>
      </c>
      <c r="D119" t="s">
        <v>36</v>
      </c>
      <c r="E119" t="s">
        <v>37</v>
      </c>
      <c r="F119" t="s">
        <v>45</v>
      </c>
      <c r="G119">
        <v>3</v>
      </c>
      <c r="H119">
        <v>3</v>
      </c>
      <c r="I119" t="s">
        <v>46</v>
      </c>
      <c r="J119" t="s">
        <v>49</v>
      </c>
      <c r="K119" t="s">
        <v>50</v>
      </c>
      <c r="L119" t="s">
        <v>47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>
        <f t="shared" si="1"/>
        <v>0</v>
      </c>
      <c r="T119" t="s">
        <v>43</v>
      </c>
      <c r="U119" t="s">
        <v>43</v>
      </c>
      <c r="V119" t="s">
        <v>43</v>
      </c>
      <c r="W119" t="s">
        <v>43</v>
      </c>
      <c r="X119" t="s">
        <v>44</v>
      </c>
      <c r="Y119">
        <v>5</v>
      </c>
      <c r="Z119">
        <v>4</v>
      </c>
      <c r="AA119">
        <v>2</v>
      </c>
      <c r="AB119">
        <v>1</v>
      </c>
      <c r="AC119">
        <v>1</v>
      </c>
      <c r="AD119">
        <v>5</v>
      </c>
      <c r="AE119">
        <v>6</v>
      </c>
      <c r="AF119">
        <v>14</v>
      </c>
      <c r="AG119">
        <v>14</v>
      </c>
      <c r="AH119">
        <v>15</v>
      </c>
    </row>
    <row r="120" spans="1:34" x14ac:dyDescent="0.2">
      <c r="A120" t="s">
        <v>34</v>
      </c>
      <c r="B120" t="s">
        <v>51</v>
      </c>
      <c r="C120">
        <v>17</v>
      </c>
      <c r="D120" t="s">
        <v>53</v>
      </c>
      <c r="E120" t="s">
        <v>37</v>
      </c>
      <c r="F120" t="s">
        <v>45</v>
      </c>
      <c r="G120">
        <v>1</v>
      </c>
      <c r="H120">
        <v>3</v>
      </c>
      <c r="I120" t="s">
        <v>46</v>
      </c>
      <c r="J120" t="s">
        <v>46</v>
      </c>
      <c r="K120" t="s">
        <v>41</v>
      </c>
      <c r="L120" t="s">
        <v>47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>
        <f t="shared" si="1"/>
        <v>0</v>
      </c>
      <c r="T120" t="s">
        <v>43</v>
      </c>
      <c r="U120" t="s">
        <v>43</v>
      </c>
      <c r="V120" t="s">
        <v>43</v>
      </c>
      <c r="W120" t="s">
        <v>43</v>
      </c>
      <c r="X120" t="s">
        <v>44</v>
      </c>
      <c r="Y120">
        <v>5</v>
      </c>
      <c r="Z120">
        <v>2</v>
      </c>
      <c r="AA120">
        <v>4</v>
      </c>
      <c r="AB120">
        <v>1</v>
      </c>
      <c r="AC120">
        <v>4</v>
      </c>
      <c r="AD120">
        <v>5</v>
      </c>
      <c r="AE120">
        <v>14</v>
      </c>
      <c r="AF120">
        <v>12</v>
      </c>
      <c r="AG120">
        <v>11</v>
      </c>
      <c r="AH120">
        <v>11</v>
      </c>
    </row>
    <row r="121" spans="1:34" x14ac:dyDescent="0.2">
      <c r="A121" t="s">
        <v>34</v>
      </c>
      <c r="B121" t="s">
        <v>51</v>
      </c>
      <c r="C121">
        <v>15</v>
      </c>
      <c r="D121" t="s">
        <v>36</v>
      </c>
      <c r="E121" t="s">
        <v>37</v>
      </c>
      <c r="F121" t="s">
        <v>45</v>
      </c>
      <c r="G121">
        <v>3</v>
      </c>
      <c r="H121">
        <v>4</v>
      </c>
      <c r="I121" t="s">
        <v>46</v>
      </c>
      <c r="J121" t="s">
        <v>46</v>
      </c>
      <c r="K121" t="s">
        <v>52</v>
      </c>
      <c r="L121" t="s">
        <v>47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>
        <f t="shared" si="1"/>
        <v>0</v>
      </c>
      <c r="T121" t="s">
        <v>44</v>
      </c>
      <c r="U121" t="s">
        <v>43</v>
      </c>
      <c r="V121" t="s">
        <v>43</v>
      </c>
      <c r="W121" t="s">
        <v>43</v>
      </c>
      <c r="X121" t="s">
        <v>44</v>
      </c>
      <c r="Y121">
        <v>3</v>
      </c>
      <c r="Z121">
        <v>4</v>
      </c>
      <c r="AA121">
        <v>3</v>
      </c>
      <c r="AB121">
        <v>1</v>
      </c>
      <c r="AC121">
        <v>2</v>
      </c>
      <c r="AD121">
        <v>4</v>
      </c>
      <c r="AE121">
        <v>2</v>
      </c>
      <c r="AF121">
        <v>14</v>
      </c>
      <c r="AG121">
        <v>13</v>
      </c>
      <c r="AH121">
        <v>14</v>
      </c>
    </row>
    <row r="122" spans="1:34" x14ac:dyDescent="0.2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v>1</v>
      </c>
      <c r="H122">
        <v>2</v>
      </c>
      <c r="I122" t="s">
        <v>39</v>
      </c>
      <c r="J122" t="s">
        <v>49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>
        <f t="shared" si="1"/>
        <v>0</v>
      </c>
      <c r="T122" t="s">
        <v>44</v>
      </c>
      <c r="U122" t="s">
        <v>44</v>
      </c>
      <c r="V122" t="s">
        <v>43</v>
      </c>
      <c r="W122" t="s">
        <v>43</v>
      </c>
      <c r="X122" t="s">
        <v>44</v>
      </c>
      <c r="Y122">
        <v>3</v>
      </c>
      <c r="Z122">
        <v>2</v>
      </c>
      <c r="AA122">
        <v>3</v>
      </c>
      <c r="AB122">
        <v>1</v>
      </c>
      <c r="AC122">
        <v>2</v>
      </c>
      <c r="AD122">
        <v>1</v>
      </c>
      <c r="AE122">
        <v>0</v>
      </c>
      <c r="AF122">
        <v>14</v>
      </c>
      <c r="AG122">
        <v>14</v>
      </c>
      <c r="AH122">
        <v>14</v>
      </c>
    </row>
    <row r="123" spans="1:34" x14ac:dyDescent="0.2">
      <c r="A123" t="s">
        <v>34</v>
      </c>
      <c r="B123" t="s">
        <v>51</v>
      </c>
      <c r="C123">
        <v>15</v>
      </c>
      <c r="D123" t="s">
        <v>36</v>
      </c>
      <c r="E123" t="s">
        <v>37</v>
      </c>
      <c r="F123" t="s">
        <v>45</v>
      </c>
      <c r="G123">
        <v>2</v>
      </c>
      <c r="H123">
        <v>2</v>
      </c>
      <c r="I123" t="s">
        <v>49</v>
      </c>
      <c r="J123" t="s">
        <v>49</v>
      </c>
      <c r="K123" t="s">
        <v>50</v>
      </c>
      <c r="L123" t="s">
        <v>47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44</v>
      </c>
      <c r="S123">
        <f t="shared" si="1"/>
        <v>0</v>
      </c>
      <c r="T123" t="s">
        <v>43</v>
      </c>
      <c r="U123" t="s">
        <v>43</v>
      </c>
      <c r="V123" t="s">
        <v>43</v>
      </c>
      <c r="W123" t="s">
        <v>43</v>
      </c>
      <c r="X123" t="s">
        <v>44</v>
      </c>
      <c r="Y123">
        <v>5</v>
      </c>
      <c r="Z123">
        <v>5</v>
      </c>
      <c r="AA123">
        <v>4</v>
      </c>
      <c r="AB123">
        <v>1</v>
      </c>
      <c r="AC123">
        <v>2</v>
      </c>
      <c r="AD123">
        <v>5</v>
      </c>
      <c r="AE123">
        <v>6</v>
      </c>
      <c r="AF123">
        <v>14</v>
      </c>
      <c r="AG123">
        <v>13</v>
      </c>
      <c r="AH123">
        <v>13</v>
      </c>
    </row>
    <row r="124" spans="1:34" x14ac:dyDescent="0.2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v>2</v>
      </c>
      <c r="H124">
        <v>4</v>
      </c>
      <c r="I124" t="s">
        <v>46</v>
      </c>
      <c r="J124" t="s">
        <v>29</v>
      </c>
      <c r="K124" t="s">
        <v>41</v>
      </c>
      <c r="L124" t="s">
        <v>47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44</v>
      </c>
      <c r="S124">
        <f t="shared" si="1"/>
        <v>0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>
        <v>4</v>
      </c>
      <c r="Z124">
        <v>2</v>
      </c>
      <c r="AA124">
        <v>2</v>
      </c>
      <c r="AB124">
        <v>1</v>
      </c>
      <c r="AC124">
        <v>2</v>
      </c>
      <c r="AD124">
        <v>5</v>
      </c>
      <c r="AE124">
        <v>2</v>
      </c>
      <c r="AF124">
        <v>14</v>
      </c>
      <c r="AG124">
        <v>12</v>
      </c>
      <c r="AH124">
        <v>13</v>
      </c>
    </row>
    <row r="125" spans="1:34" x14ac:dyDescent="0.2">
      <c r="A125" t="s">
        <v>34</v>
      </c>
      <c r="B125" t="s">
        <v>51</v>
      </c>
      <c r="C125">
        <v>16</v>
      </c>
      <c r="D125" t="s">
        <v>36</v>
      </c>
      <c r="E125" t="s">
        <v>37</v>
      </c>
      <c r="F125" t="s">
        <v>45</v>
      </c>
      <c r="G125">
        <v>4</v>
      </c>
      <c r="H125">
        <v>4</v>
      </c>
      <c r="I125" t="s">
        <v>29</v>
      </c>
      <c r="J125" t="s">
        <v>46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>
        <f t="shared" si="1"/>
        <v>0</v>
      </c>
      <c r="T125" t="s">
        <v>43</v>
      </c>
      <c r="U125" t="s">
        <v>43</v>
      </c>
      <c r="V125" t="s">
        <v>43</v>
      </c>
      <c r="W125" t="s">
        <v>43</v>
      </c>
      <c r="X125" t="s">
        <v>44</v>
      </c>
      <c r="Y125">
        <v>3</v>
      </c>
      <c r="Z125">
        <v>4</v>
      </c>
      <c r="AA125">
        <v>4</v>
      </c>
      <c r="AB125">
        <v>1</v>
      </c>
      <c r="AC125">
        <v>4</v>
      </c>
      <c r="AD125">
        <v>5</v>
      </c>
      <c r="AE125">
        <v>4</v>
      </c>
      <c r="AF125">
        <v>12</v>
      </c>
      <c r="AG125">
        <v>13</v>
      </c>
      <c r="AH125">
        <v>13</v>
      </c>
    </row>
    <row r="126" spans="1:34" x14ac:dyDescent="0.2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v>2</v>
      </c>
      <c r="H126">
        <v>2</v>
      </c>
      <c r="I126" t="s">
        <v>46</v>
      </c>
      <c r="J126" t="s">
        <v>46</v>
      </c>
      <c r="K126" t="s">
        <v>50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44</v>
      </c>
      <c r="S126">
        <f t="shared" si="1"/>
        <v>0</v>
      </c>
      <c r="T126" t="s">
        <v>44</v>
      </c>
      <c r="U126" t="s">
        <v>43</v>
      </c>
      <c r="V126" t="s">
        <v>43</v>
      </c>
      <c r="W126" t="s">
        <v>43</v>
      </c>
      <c r="X126" t="s">
        <v>43</v>
      </c>
      <c r="Y126">
        <v>5</v>
      </c>
      <c r="Z126">
        <v>4</v>
      </c>
      <c r="AA126">
        <v>4</v>
      </c>
      <c r="AB126">
        <v>1</v>
      </c>
      <c r="AC126">
        <v>1</v>
      </c>
      <c r="AD126">
        <v>5</v>
      </c>
      <c r="AE126">
        <v>0</v>
      </c>
      <c r="AF126">
        <v>12</v>
      </c>
      <c r="AG126">
        <v>11</v>
      </c>
      <c r="AH126">
        <v>11</v>
      </c>
    </row>
    <row r="127" spans="1:34" x14ac:dyDescent="0.2">
      <c r="A127" t="s">
        <v>34</v>
      </c>
      <c r="B127" t="s">
        <v>51</v>
      </c>
      <c r="C127">
        <v>15</v>
      </c>
      <c r="D127" t="s">
        <v>36</v>
      </c>
      <c r="E127" t="s">
        <v>37</v>
      </c>
      <c r="F127" t="s">
        <v>45</v>
      </c>
      <c r="G127">
        <v>3</v>
      </c>
      <c r="H127">
        <v>4</v>
      </c>
      <c r="I127" t="s">
        <v>49</v>
      </c>
      <c r="J127" t="s">
        <v>49</v>
      </c>
      <c r="K127" t="s">
        <v>50</v>
      </c>
      <c r="L127" t="s">
        <v>47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>
        <f t="shared" si="1"/>
        <v>0</v>
      </c>
      <c r="T127" t="s">
        <v>44</v>
      </c>
      <c r="U127" t="s">
        <v>43</v>
      </c>
      <c r="V127" t="s">
        <v>43</v>
      </c>
      <c r="W127" t="s">
        <v>43</v>
      </c>
      <c r="X127" t="s">
        <v>44</v>
      </c>
      <c r="Y127">
        <v>5</v>
      </c>
      <c r="Z127">
        <v>5</v>
      </c>
      <c r="AA127">
        <v>5</v>
      </c>
      <c r="AB127">
        <v>3</v>
      </c>
      <c r="AC127">
        <v>2</v>
      </c>
      <c r="AD127">
        <v>5</v>
      </c>
      <c r="AE127">
        <v>2</v>
      </c>
      <c r="AF127">
        <v>9</v>
      </c>
      <c r="AG127">
        <v>9</v>
      </c>
      <c r="AH127">
        <v>9</v>
      </c>
    </row>
    <row r="128" spans="1:34" x14ac:dyDescent="0.2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v>3</v>
      </c>
      <c r="H128">
        <v>4</v>
      </c>
      <c r="I128" t="s">
        <v>46</v>
      </c>
      <c r="J128" t="s">
        <v>46</v>
      </c>
      <c r="K128" t="s">
        <v>50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>
        <f t="shared" si="1"/>
        <v>0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>
        <v>5</v>
      </c>
      <c r="Z128">
        <v>3</v>
      </c>
      <c r="AA128">
        <v>2</v>
      </c>
      <c r="AB128">
        <v>1</v>
      </c>
      <c r="AC128">
        <v>1</v>
      </c>
      <c r="AD128">
        <v>1</v>
      </c>
      <c r="AE128">
        <v>0</v>
      </c>
      <c r="AF128">
        <v>10</v>
      </c>
      <c r="AG128">
        <v>11</v>
      </c>
      <c r="AH128">
        <v>11</v>
      </c>
    </row>
    <row r="129" spans="1:34" x14ac:dyDescent="0.2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v>0</v>
      </c>
      <c r="H129">
        <v>1</v>
      </c>
      <c r="I129" t="s">
        <v>39</v>
      </c>
      <c r="J129" t="s">
        <v>46</v>
      </c>
      <c r="K129" t="s">
        <v>41</v>
      </c>
      <c r="L129" t="s">
        <v>46</v>
      </c>
      <c r="M129">
        <v>1</v>
      </c>
      <c r="N129">
        <v>2</v>
      </c>
      <c r="O129">
        <v>2</v>
      </c>
      <c r="P129" t="s">
        <v>44</v>
      </c>
      <c r="Q129" t="s">
        <v>43</v>
      </c>
      <c r="R129" t="s">
        <v>44</v>
      </c>
      <c r="S129">
        <f t="shared" si="1"/>
        <v>0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>
        <v>3</v>
      </c>
      <c r="Z129">
        <v>4</v>
      </c>
      <c r="AA129">
        <v>2</v>
      </c>
      <c r="AB129">
        <v>1</v>
      </c>
      <c r="AC129">
        <v>1</v>
      </c>
      <c r="AD129">
        <v>5</v>
      </c>
      <c r="AE129">
        <v>0</v>
      </c>
      <c r="AF129">
        <v>9</v>
      </c>
      <c r="AG129">
        <v>10</v>
      </c>
      <c r="AH129">
        <v>11</v>
      </c>
    </row>
    <row r="130" spans="1:34" x14ac:dyDescent="0.2">
      <c r="A130" t="s">
        <v>34</v>
      </c>
      <c r="B130" t="s">
        <v>51</v>
      </c>
      <c r="C130">
        <v>16</v>
      </c>
      <c r="D130" t="s">
        <v>53</v>
      </c>
      <c r="E130" t="s">
        <v>37</v>
      </c>
      <c r="F130" t="s">
        <v>45</v>
      </c>
      <c r="G130">
        <v>4</v>
      </c>
      <c r="H130">
        <v>4</v>
      </c>
      <c r="I130" t="s">
        <v>40</v>
      </c>
      <c r="J130" t="s">
        <v>40</v>
      </c>
      <c r="K130" t="s">
        <v>41</v>
      </c>
      <c r="L130" t="s">
        <v>42</v>
      </c>
      <c r="M130">
        <v>1</v>
      </c>
      <c r="N130">
        <v>1</v>
      </c>
      <c r="O130">
        <v>0</v>
      </c>
      <c r="P130" t="s">
        <v>44</v>
      </c>
      <c r="Q130" t="s">
        <v>44</v>
      </c>
      <c r="R130" t="s">
        <v>44</v>
      </c>
      <c r="S130">
        <f t="shared" si="1"/>
        <v>0</v>
      </c>
      <c r="T130" t="s">
        <v>43</v>
      </c>
      <c r="U130" t="s">
        <v>43</v>
      </c>
      <c r="V130" t="s">
        <v>43</v>
      </c>
      <c r="W130" t="s">
        <v>43</v>
      </c>
      <c r="X130" t="s">
        <v>44</v>
      </c>
      <c r="Y130">
        <v>3</v>
      </c>
      <c r="Z130">
        <v>5</v>
      </c>
      <c r="AA130">
        <v>5</v>
      </c>
      <c r="AB130">
        <v>2</v>
      </c>
      <c r="AC130">
        <v>5</v>
      </c>
      <c r="AD130">
        <v>4</v>
      </c>
      <c r="AE130">
        <v>8</v>
      </c>
      <c r="AF130">
        <v>14</v>
      </c>
      <c r="AG130">
        <v>14</v>
      </c>
      <c r="AH130">
        <v>15</v>
      </c>
    </row>
    <row r="131" spans="1:34" x14ac:dyDescent="0.2">
      <c r="A131" t="s">
        <v>34</v>
      </c>
      <c r="B131" t="s">
        <v>51</v>
      </c>
      <c r="C131">
        <v>16</v>
      </c>
      <c r="D131" t="s">
        <v>36</v>
      </c>
      <c r="E131" t="s">
        <v>37</v>
      </c>
      <c r="F131" t="s">
        <v>45</v>
      </c>
      <c r="G131">
        <v>2</v>
      </c>
      <c r="H131">
        <v>3</v>
      </c>
      <c r="I131" t="s">
        <v>46</v>
      </c>
      <c r="J131" t="s">
        <v>46</v>
      </c>
      <c r="K131" t="s">
        <v>41</v>
      </c>
      <c r="L131" t="s">
        <v>42</v>
      </c>
      <c r="M131">
        <v>2</v>
      </c>
      <c r="N131">
        <v>3</v>
      </c>
      <c r="O131">
        <v>0</v>
      </c>
      <c r="P131" t="s">
        <v>44</v>
      </c>
      <c r="Q131" t="s">
        <v>43</v>
      </c>
      <c r="R131" t="s">
        <v>44</v>
      </c>
      <c r="S131">
        <f t="shared" ref="S131:S194" si="2">IF(R131="yes",1,0)</f>
        <v>0</v>
      </c>
      <c r="T131" t="s">
        <v>44</v>
      </c>
      <c r="U131" t="s">
        <v>44</v>
      </c>
      <c r="V131" t="s">
        <v>43</v>
      </c>
      <c r="W131" t="s">
        <v>43</v>
      </c>
      <c r="X131" t="s">
        <v>43</v>
      </c>
      <c r="Y131">
        <v>3</v>
      </c>
      <c r="Z131">
        <v>2</v>
      </c>
      <c r="AA131">
        <v>3</v>
      </c>
      <c r="AB131">
        <v>2</v>
      </c>
      <c r="AC131">
        <v>2</v>
      </c>
      <c r="AD131">
        <v>1</v>
      </c>
      <c r="AE131">
        <v>4</v>
      </c>
      <c r="AF131">
        <v>13</v>
      </c>
      <c r="AG131">
        <v>12</v>
      </c>
      <c r="AH131">
        <v>13</v>
      </c>
    </row>
    <row r="132" spans="1:34" x14ac:dyDescent="0.2">
      <c r="A132" t="s">
        <v>34</v>
      </c>
      <c r="B132" t="s">
        <v>35</v>
      </c>
      <c r="C132">
        <v>15</v>
      </c>
      <c r="D132" t="s">
        <v>53</v>
      </c>
      <c r="E132" t="s">
        <v>37</v>
      </c>
      <c r="F132" t="s">
        <v>45</v>
      </c>
      <c r="G132">
        <v>3</v>
      </c>
      <c r="H132">
        <v>4</v>
      </c>
      <c r="I132" t="s">
        <v>49</v>
      </c>
      <c r="J132" t="s">
        <v>40</v>
      </c>
      <c r="K132" t="s">
        <v>41</v>
      </c>
      <c r="L132" t="s">
        <v>47</v>
      </c>
      <c r="M132">
        <v>2</v>
      </c>
      <c r="N132">
        <v>3</v>
      </c>
      <c r="O132">
        <v>0</v>
      </c>
      <c r="P132" t="s">
        <v>44</v>
      </c>
      <c r="Q132" t="s">
        <v>43</v>
      </c>
      <c r="R132" t="s">
        <v>44</v>
      </c>
      <c r="S132">
        <f t="shared" si="2"/>
        <v>0</v>
      </c>
      <c r="T132" t="s">
        <v>44</v>
      </c>
      <c r="U132" t="s">
        <v>43</v>
      </c>
      <c r="V132" t="s">
        <v>43</v>
      </c>
      <c r="W132" t="s">
        <v>43</v>
      </c>
      <c r="X132" t="s">
        <v>43</v>
      </c>
      <c r="Y132">
        <v>4</v>
      </c>
      <c r="Z132">
        <v>2</v>
      </c>
      <c r="AA132">
        <v>2</v>
      </c>
      <c r="AB132">
        <v>2</v>
      </c>
      <c r="AC132">
        <v>2</v>
      </c>
      <c r="AD132">
        <v>5</v>
      </c>
      <c r="AE132">
        <v>0</v>
      </c>
      <c r="AF132">
        <v>10</v>
      </c>
      <c r="AG132">
        <v>11</v>
      </c>
      <c r="AH132">
        <v>12</v>
      </c>
    </row>
    <row r="133" spans="1:34" x14ac:dyDescent="0.2">
      <c r="A133" t="s">
        <v>34</v>
      </c>
      <c r="B133" t="s">
        <v>35</v>
      </c>
      <c r="C133">
        <v>18</v>
      </c>
      <c r="D133" t="s">
        <v>36</v>
      </c>
      <c r="E133" t="s">
        <v>37</v>
      </c>
      <c r="F133" t="s">
        <v>45</v>
      </c>
      <c r="G133">
        <v>2</v>
      </c>
      <c r="H133">
        <v>1</v>
      </c>
      <c r="I133" t="s">
        <v>49</v>
      </c>
      <c r="J133" t="s">
        <v>46</v>
      </c>
      <c r="K133" t="s">
        <v>52</v>
      </c>
      <c r="L133" t="s">
        <v>42</v>
      </c>
      <c r="M133">
        <v>1</v>
      </c>
      <c r="N133">
        <v>2</v>
      </c>
      <c r="O133">
        <v>3</v>
      </c>
      <c r="P133" t="s">
        <v>44</v>
      </c>
      <c r="Q133" t="s">
        <v>43</v>
      </c>
      <c r="R133" t="s">
        <v>44</v>
      </c>
      <c r="S133">
        <f t="shared" si="2"/>
        <v>0</v>
      </c>
      <c r="T133" t="s">
        <v>43</v>
      </c>
      <c r="U133" t="s">
        <v>43</v>
      </c>
      <c r="V133" t="s">
        <v>44</v>
      </c>
      <c r="W133" t="s">
        <v>43</v>
      </c>
      <c r="X133" t="s">
        <v>43</v>
      </c>
      <c r="Y133">
        <v>5</v>
      </c>
      <c r="Z133">
        <v>4</v>
      </c>
      <c r="AA133">
        <v>5</v>
      </c>
      <c r="AB133">
        <v>1</v>
      </c>
      <c r="AC133">
        <v>3</v>
      </c>
      <c r="AD133">
        <v>5</v>
      </c>
      <c r="AE133">
        <v>10</v>
      </c>
      <c r="AF133">
        <v>10</v>
      </c>
      <c r="AG133">
        <v>9</v>
      </c>
      <c r="AH133">
        <v>8</v>
      </c>
    </row>
    <row r="134" spans="1:34" x14ac:dyDescent="0.2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38</v>
      </c>
      <c r="G134">
        <v>2</v>
      </c>
      <c r="H134">
        <v>1</v>
      </c>
      <c r="I134" t="s">
        <v>46</v>
      </c>
      <c r="J134" t="s">
        <v>46</v>
      </c>
      <c r="K134" t="s">
        <v>41</v>
      </c>
      <c r="L134" t="s">
        <v>42</v>
      </c>
      <c r="M134">
        <v>3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>
        <f t="shared" si="2"/>
        <v>0</v>
      </c>
      <c r="T134" t="s">
        <v>44</v>
      </c>
      <c r="U134" t="s">
        <v>43</v>
      </c>
      <c r="V134" t="s">
        <v>43</v>
      </c>
      <c r="W134" t="s">
        <v>43</v>
      </c>
      <c r="X134" t="s">
        <v>44</v>
      </c>
      <c r="Y134">
        <v>3</v>
      </c>
      <c r="Z134">
        <v>2</v>
      </c>
      <c r="AA134">
        <v>2</v>
      </c>
      <c r="AB134">
        <v>1</v>
      </c>
      <c r="AC134">
        <v>2</v>
      </c>
      <c r="AD134">
        <v>5</v>
      </c>
      <c r="AE134">
        <v>8</v>
      </c>
      <c r="AF134">
        <v>11</v>
      </c>
      <c r="AG134">
        <v>10</v>
      </c>
      <c r="AH134">
        <v>11</v>
      </c>
    </row>
    <row r="135" spans="1:34" x14ac:dyDescent="0.2">
      <c r="A135" t="s">
        <v>34</v>
      </c>
      <c r="B135" t="s">
        <v>35</v>
      </c>
      <c r="C135">
        <v>15</v>
      </c>
      <c r="D135" t="s">
        <v>36</v>
      </c>
      <c r="E135" t="s">
        <v>37</v>
      </c>
      <c r="F135" t="s">
        <v>45</v>
      </c>
      <c r="G135">
        <v>1</v>
      </c>
      <c r="H135">
        <v>1</v>
      </c>
      <c r="I135" t="s">
        <v>39</v>
      </c>
      <c r="J135" t="s">
        <v>46</v>
      </c>
      <c r="K135" t="s">
        <v>41</v>
      </c>
      <c r="L135" t="s">
        <v>42</v>
      </c>
      <c r="M135">
        <v>3</v>
      </c>
      <c r="N135">
        <v>1</v>
      </c>
      <c r="O135">
        <v>0</v>
      </c>
      <c r="P135" t="s">
        <v>44</v>
      </c>
      <c r="Q135" t="s">
        <v>43</v>
      </c>
      <c r="R135" t="s">
        <v>44</v>
      </c>
      <c r="S135">
        <f t="shared" si="2"/>
        <v>0</v>
      </c>
      <c r="T135" t="s">
        <v>43</v>
      </c>
      <c r="U135" t="s">
        <v>44</v>
      </c>
      <c r="V135" t="s">
        <v>43</v>
      </c>
      <c r="W135" t="s">
        <v>43</v>
      </c>
      <c r="X135" t="s">
        <v>43</v>
      </c>
      <c r="Y135">
        <v>4</v>
      </c>
      <c r="Z135">
        <v>3</v>
      </c>
      <c r="AA135">
        <v>3</v>
      </c>
      <c r="AB135">
        <v>1</v>
      </c>
      <c r="AC135">
        <v>2</v>
      </c>
      <c r="AD135">
        <v>4</v>
      </c>
      <c r="AE135">
        <v>6</v>
      </c>
      <c r="AF135">
        <v>11</v>
      </c>
      <c r="AG135">
        <v>12</v>
      </c>
      <c r="AH135">
        <v>13</v>
      </c>
    </row>
    <row r="136" spans="1:34" x14ac:dyDescent="0.2">
      <c r="A136" t="s">
        <v>34</v>
      </c>
      <c r="B136" t="s">
        <v>35</v>
      </c>
      <c r="C136">
        <v>17</v>
      </c>
      <c r="D136" t="s">
        <v>36</v>
      </c>
      <c r="E136" t="s">
        <v>48</v>
      </c>
      <c r="F136" t="s">
        <v>45</v>
      </c>
      <c r="G136">
        <v>2</v>
      </c>
      <c r="H136">
        <v>2</v>
      </c>
      <c r="I136" t="s">
        <v>46</v>
      </c>
      <c r="J136" t="s">
        <v>46</v>
      </c>
      <c r="K136" t="s">
        <v>41</v>
      </c>
      <c r="L136" t="s">
        <v>47</v>
      </c>
      <c r="M136">
        <v>1</v>
      </c>
      <c r="N136">
        <v>1</v>
      </c>
      <c r="O136">
        <v>0</v>
      </c>
      <c r="P136" t="s">
        <v>44</v>
      </c>
      <c r="Q136" t="s">
        <v>43</v>
      </c>
      <c r="R136" t="s">
        <v>44</v>
      </c>
      <c r="S136">
        <f t="shared" si="2"/>
        <v>0</v>
      </c>
      <c r="T136" t="s">
        <v>44</v>
      </c>
      <c r="U136" t="s">
        <v>43</v>
      </c>
      <c r="V136" t="s">
        <v>43</v>
      </c>
      <c r="W136" t="s">
        <v>43</v>
      </c>
      <c r="X136" t="s">
        <v>43</v>
      </c>
      <c r="Y136">
        <v>3</v>
      </c>
      <c r="Z136">
        <v>4</v>
      </c>
      <c r="AA136">
        <v>4</v>
      </c>
      <c r="AB136">
        <v>1</v>
      </c>
      <c r="AC136">
        <v>3</v>
      </c>
      <c r="AD136">
        <v>5</v>
      </c>
      <c r="AE136">
        <v>2</v>
      </c>
      <c r="AF136">
        <v>13</v>
      </c>
      <c r="AG136">
        <v>12</v>
      </c>
      <c r="AH136">
        <v>12</v>
      </c>
    </row>
    <row r="137" spans="1:34" x14ac:dyDescent="0.2">
      <c r="A137" t="s">
        <v>34</v>
      </c>
      <c r="B137" t="s">
        <v>35</v>
      </c>
      <c r="C137">
        <v>16</v>
      </c>
      <c r="D137" t="s">
        <v>36</v>
      </c>
      <c r="E137" t="s">
        <v>37</v>
      </c>
      <c r="F137" t="s">
        <v>38</v>
      </c>
      <c r="G137">
        <v>3</v>
      </c>
      <c r="H137">
        <v>4</v>
      </c>
      <c r="I137" t="s">
        <v>49</v>
      </c>
      <c r="J137" t="s">
        <v>46</v>
      </c>
      <c r="K137" t="s">
        <v>41</v>
      </c>
      <c r="L137" t="s">
        <v>47</v>
      </c>
      <c r="M137">
        <v>1</v>
      </c>
      <c r="N137">
        <v>1</v>
      </c>
      <c r="O137">
        <v>0</v>
      </c>
      <c r="P137" t="s">
        <v>44</v>
      </c>
      <c r="Q137" t="s">
        <v>44</v>
      </c>
      <c r="R137" t="s">
        <v>44</v>
      </c>
      <c r="S137">
        <f t="shared" si="2"/>
        <v>0</v>
      </c>
      <c r="T137" t="s">
        <v>44</v>
      </c>
      <c r="U137" t="s">
        <v>43</v>
      </c>
      <c r="V137" t="s">
        <v>43</v>
      </c>
      <c r="W137" t="s">
        <v>43</v>
      </c>
      <c r="X137" t="s">
        <v>44</v>
      </c>
      <c r="Y137">
        <v>3</v>
      </c>
      <c r="Z137">
        <v>2</v>
      </c>
      <c r="AA137">
        <v>1</v>
      </c>
      <c r="AB137">
        <v>1</v>
      </c>
      <c r="AC137">
        <v>4</v>
      </c>
      <c r="AD137">
        <v>5</v>
      </c>
      <c r="AE137">
        <v>12</v>
      </c>
      <c r="AF137">
        <v>15</v>
      </c>
      <c r="AG137">
        <v>13</v>
      </c>
      <c r="AH137">
        <v>14</v>
      </c>
    </row>
    <row r="138" spans="1:34" x14ac:dyDescent="0.2">
      <c r="A138" t="s">
        <v>34</v>
      </c>
      <c r="B138" t="s">
        <v>51</v>
      </c>
      <c r="C138">
        <v>16</v>
      </c>
      <c r="D138" t="s">
        <v>36</v>
      </c>
      <c r="E138" t="s">
        <v>37</v>
      </c>
      <c r="F138" t="s">
        <v>45</v>
      </c>
      <c r="G138">
        <v>2</v>
      </c>
      <c r="H138">
        <v>1</v>
      </c>
      <c r="I138" t="s">
        <v>39</v>
      </c>
      <c r="J138" t="s">
        <v>46</v>
      </c>
      <c r="K138" t="s">
        <v>41</v>
      </c>
      <c r="L138" t="s">
        <v>42</v>
      </c>
      <c r="M138">
        <v>4</v>
      </c>
      <c r="N138">
        <v>1</v>
      </c>
      <c r="O138">
        <v>0</v>
      </c>
      <c r="P138" t="s">
        <v>44</v>
      </c>
      <c r="Q138" t="s">
        <v>44</v>
      </c>
      <c r="R138" t="s">
        <v>44</v>
      </c>
      <c r="S138">
        <f t="shared" si="2"/>
        <v>0</v>
      </c>
      <c r="T138" t="s">
        <v>44</v>
      </c>
      <c r="U138" t="s">
        <v>43</v>
      </c>
      <c r="V138" t="s">
        <v>43</v>
      </c>
      <c r="W138" t="s">
        <v>44</v>
      </c>
      <c r="X138" t="s">
        <v>44</v>
      </c>
      <c r="Y138">
        <v>3</v>
      </c>
      <c r="Z138">
        <v>2</v>
      </c>
      <c r="AA138">
        <v>1</v>
      </c>
      <c r="AB138">
        <v>1</v>
      </c>
      <c r="AC138">
        <v>1</v>
      </c>
      <c r="AD138">
        <v>2</v>
      </c>
      <c r="AE138">
        <v>4</v>
      </c>
      <c r="AF138">
        <v>9</v>
      </c>
      <c r="AG138">
        <v>9</v>
      </c>
      <c r="AH138">
        <v>11</v>
      </c>
    </row>
    <row r="139" spans="1:34" x14ac:dyDescent="0.2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2</v>
      </c>
      <c r="H139">
        <v>2</v>
      </c>
      <c r="I139" t="s">
        <v>46</v>
      </c>
      <c r="J139" t="s">
        <v>46</v>
      </c>
      <c r="K139" t="s">
        <v>50</v>
      </c>
      <c r="L139" t="s">
        <v>42</v>
      </c>
      <c r="M139">
        <v>1</v>
      </c>
      <c r="N139">
        <v>1</v>
      </c>
      <c r="O139">
        <v>1</v>
      </c>
      <c r="P139" t="s">
        <v>44</v>
      </c>
      <c r="Q139" t="s">
        <v>44</v>
      </c>
      <c r="R139" t="s">
        <v>44</v>
      </c>
      <c r="S139">
        <f t="shared" si="2"/>
        <v>0</v>
      </c>
      <c r="T139" t="s">
        <v>44</v>
      </c>
      <c r="U139" t="s">
        <v>43</v>
      </c>
      <c r="V139" t="s">
        <v>43</v>
      </c>
      <c r="W139" t="s">
        <v>44</v>
      </c>
      <c r="X139" t="s">
        <v>44</v>
      </c>
      <c r="Y139">
        <v>5</v>
      </c>
      <c r="Z139">
        <v>3</v>
      </c>
      <c r="AA139">
        <v>4</v>
      </c>
      <c r="AB139">
        <v>1</v>
      </c>
      <c r="AC139">
        <v>1</v>
      </c>
      <c r="AD139">
        <v>5</v>
      </c>
      <c r="AE139">
        <v>12</v>
      </c>
      <c r="AF139">
        <v>13</v>
      </c>
      <c r="AG139">
        <v>11</v>
      </c>
      <c r="AH139">
        <v>11</v>
      </c>
    </row>
    <row r="140" spans="1:34" x14ac:dyDescent="0.2">
      <c r="A140" t="s">
        <v>34</v>
      </c>
      <c r="B140" t="s">
        <v>51</v>
      </c>
      <c r="C140">
        <v>15</v>
      </c>
      <c r="D140" t="s">
        <v>53</v>
      </c>
      <c r="E140" t="s">
        <v>37</v>
      </c>
      <c r="F140" t="s">
        <v>45</v>
      </c>
      <c r="G140">
        <v>3</v>
      </c>
      <c r="H140">
        <v>4</v>
      </c>
      <c r="I140" t="s">
        <v>39</v>
      </c>
      <c r="J140" t="s">
        <v>40</v>
      </c>
      <c r="K140" t="s">
        <v>41</v>
      </c>
      <c r="L140" t="s">
        <v>42</v>
      </c>
      <c r="M140">
        <v>4</v>
      </c>
      <c r="N140">
        <v>2</v>
      </c>
      <c r="O140">
        <v>0</v>
      </c>
      <c r="P140" t="s">
        <v>44</v>
      </c>
      <c r="Q140" t="s">
        <v>43</v>
      </c>
      <c r="R140" t="s">
        <v>44</v>
      </c>
      <c r="S140">
        <f t="shared" si="2"/>
        <v>0</v>
      </c>
      <c r="T140" t="s">
        <v>44</v>
      </c>
      <c r="U140" t="s">
        <v>43</v>
      </c>
      <c r="V140" t="s">
        <v>43</v>
      </c>
      <c r="W140" t="s">
        <v>44</v>
      </c>
      <c r="X140" t="s">
        <v>43</v>
      </c>
      <c r="Y140">
        <v>5</v>
      </c>
      <c r="Z140">
        <v>3</v>
      </c>
      <c r="AA140">
        <v>3</v>
      </c>
      <c r="AB140">
        <v>1</v>
      </c>
      <c r="AC140">
        <v>1</v>
      </c>
      <c r="AD140">
        <v>5</v>
      </c>
      <c r="AE140">
        <v>2</v>
      </c>
      <c r="AF140">
        <v>12</v>
      </c>
      <c r="AG140">
        <v>11</v>
      </c>
      <c r="AH140">
        <v>11</v>
      </c>
    </row>
    <row r="141" spans="1:34" x14ac:dyDescent="0.2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v>4</v>
      </c>
      <c r="H141">
        <v>4</v>
      </c>
      <c r="I141" t="s">
        <v>49</v>
      </c>
      <c r="J141" t="s">
        <v>39</v>
      </c>
      <c r="K141" t="s">
        <v>41</v>
      </c>
      <c r="L141" t="s">
        <v>42</v>
      </c>
      <c r="M141">
        <v>1</v>
      </c>
      <c r="N141">
        <v>3</v>
      </c>
      <c r="O141">
        <v>0</v>
      </c>
      <c r="P141" t="s">
        <v>44</v>
      </c>
      <c r="Q141" t="s">
        <v>43</v>
      </c>
      <c r="R141" t="s">
        <v>44</v>
      </c>
      <c r="S141">
        <f t="shared" si="2"/>
        <v>0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>
        <v>4</v>
      </c>
      <c r="Z141">
        <v>3</v>
      </c>
      <c r="AA141">
        <v>3</v>
      </c>
      <c r="AB141">
        <v>1</v>
      </c>
      <c r="AC141">
        <v>1</v>
      </c>
      <c r="AD141">
        <v>5</v>
      </c>
      <c r="AE141">
        <v>4</v>
      </c>
      <c r="AF141">
        <v>13</v>
      </c>
      <c r="AG141">
        <v>14</v>
      </c>
      <c r="AH141">
        <v>15</v>
      </c>
    </row>
    <row r="142" spans="1:34" x14ac:dyDescent="0.2">
      <c r="A142" t="s">
        <v>34</v>
      </c>
      <c r="B142" t="s">
        <v>51</v>
      </c>
      <c r="C142">
        <v>17</v>
      </c>
      <c r="D142" t="s">
        <v>53</v>
      </c>
      <c r="E142" t="s">
        <v>37</v>
      </c>
      <c r="F142" t="s">
        <v>45</v>
      </c>
      <c r="G142">
        <v>3</v>
      </c>
      <c r="H142">
        <v>4</v>
      </c>
      <c r="I142" t="s">
        <v>39</v>
      </c>
      <c r="J142" t="s">
        <v>46</v>
      </c>
      <c r="K142" t="s">
        <v>41</v>
      </c>
      <c r="L142" t="s">
        <v>42</v>
      </c>
      <c r="M142">
        <v>3</v>
      </c>
      <c r="N142">
        <v>2</v>
      </c>
      <c r="O142">
        <v>0</v>
      </c>
      <c r="P142" t="s">
        <v>44</v>
      </c>
      <c r="Q142" t="s">
        <v>44</v>
      </c>
      <c r="R142" t="s">
        <v>44</v>
      </c>
      <c r="S142">
        <f t="shared" si="2"/>
        <v>0</v>
      </c>
      <c r="T142" t="s">
        <v>44</v>
      </c>
      <c r="U142" t="s">
        <v>43</v>
      </c>
      <c r="V142" t="s">
        <v>43</v>
      </c>
      <c r="W142" t="s">
        <v>44</v>
      </c>
      <c r="X142" t="s">
        <v>44</v>
      </c>
      <c r="Y142">
        <v>5</v>
      </c>
      <c r="Z142">
        <v>4</v>
      </c>
      <c r="AA142">
        <v>5</v>
      </c>
      <c r="AB142">
        <v>2</v>
      </c>
      <c r="AC142">
        <v>4</v>
      </c>
      <c r="AD142">
        <v>5</v>
      </c>
      <c r="AE142">
        <v>2</v>
      </c>
      <c r="AF142">
        <v>10</v>
      </c>
      <c r="AG142">
        <v>9</v>
      </c>
      <c r="AH142">
        <v>10</v>
      </c>
    </row>
    <row r="143" spans="1:34" x14ac:dyDescent="0.2">
      <c r="A143" t="s">
        <v>34</v>
      </c>
      <c r="B143" t="s">
        <v>35</v>
      </c>
      <c r="C143">
        <v>16</v>
      </c>
      <c r="D143" t="s">
        <v>53</v>
      </c>
      <c r="E143" t="s">
        <v>37</v>
      </c>
      <c r="F143" t="s">
        <v>45</v>
      </c>
      <c r="G143">
        <v>1</v>
      </c>
      <c r="H143">
        <v>1</v>
      </c>
      <c r="I143" t="s">
        <v>39</v>
      </c>
      <c r="J143" t="s">
        <v>46</v>
      </c>
      <c r="K143" t="s">
        <v>41</v>
      </c>
      <c r="L143" t="s">
        <v>42</v>
      </c>
      <c r="M143">
        <v>4</v>
      </c>
      <c r="N143">
        <v>2</v>
      </c>
      <c r="O143">
        <v>0</v>
      </c>
      <c r="P143" t="s">
        <v>44</v>
      </c>
      <c r="Q143" t="s">
        <v>43</v>
      </c>
      <c r="R143" t="s">
        <v>44</v>
      </c>
      <c r="S143">
        <f t="shared" si="2"/>
        <v>0</v>
      </c>
      <c r="T143" t="s">
        <v>44</v>
      </c>
      <c r="U143" t="s">
        <v>43</v>
      </c>
      <c r="V143" t="s">
        <v>43</v>
      </c>
      <c r="W143" t="s">
        <v>44</v>
      </c>
      <c r="X143" t="s">
        <v>44</v>
      </c>
      <c r="Y143">
        <v>5</v>
      </c>
      <c r="Z143">
        <v>1</v>
      </c>
      <c r="AA143">
        <v>3</v>
      </c>
      <c r="AB143">
        <v>1</v>
      </c>
      <c r="AC143">
        <v>1</v>
      </c>
      <c r="AD143">
        <v>3</v>
      </c>
      <c r="AE143">
        <v>0</v>
      </c>
      <c r="AF143">
        <v>14</v>
      </c>
      <c r="AG143">
        <v>13</v>
      </c>
      <c r="AH143">
        <v>13</v>
      </c>
    </row>
    <row r="144" spans="1:34" x14ac:dyDescent="0.2">
      <c r="A144" t="s">
        <v>34</v>
      </c>
      <c r="B144" t="s">
        <v>51</v>
      </c>
      <c r="C144">
        <v>18</v>
      </c>
      <c r="D144" t="s">
        <v>36</v>
      </c>
      <c r="E144" t="s">
        <v>48</v>
      </c>
      <c r="F144" t="s">
        <v>45</v>
      </c>
      <c r="G144">
        <v>3</v>
      </c>
      <c r="H144">
        <v>1</v>
      </c>
      <c r="I144" t="s">
        <v>49</v>
      </c>
      <c r="J144" t="s">
        <v>49</v>
      </c>
      <c r="K144" t="s">
        <v>41</v>
      </c>
      <c r="L144" t="s">
        <v>42</v>
      </c>
      <c r="M144">
        <v>2</v>
      </c>
      <c r="N144">
        <v>1</v>
      </c>
      <c r="O144">
        <v>0</v>
      </c>
      <c r="P144" t="s">
        <v>44</v>
      </c>
      <c r="Q144" t="s">
        <v>44</v>
      </c>
      <c r="R144" t="s">
        <v>44</v>
      </c>
      <c r="S144">
        <f t="shared" si="2"/>
        <v>0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>
        <v>3</v>
      </c>
      <c r="Z144">
        <v>3</v>
      </c>
      <c r="AA144">
        <v>4</v>
      </c>
      <c r="AB144">
        <v>4</v>
      </c>
      <c r="AC144">
        <v>5</v>
      </c>
      <c r="AD144">
        <v>4</v>
      </c>
      <c r="AE144">
        <v>2</v>
      </c>
      <c r="AF144">
        <v>11</v>
      </c>
      <c r="AG144">
        <v>11</v>
      </c>
      <c r="AH144">
        <v>12</v>
      </c>
    </row>
    <row r="145" spans="1:34" x14ac:dyDescent="0.2">
      <c r="A145" t="s">
        <v>34</v>
      </c>
      <c r="B145" t="s">
        <v>35</v>
      </c>
      <c r="C145">
        <v>18</v>
      </c>
      <c r="D145" t="s">
        <v>36</v>
      </c>
      <c r="E145" t="s">
        <v>37</v>
      </c>
      <c r="F145" t="s">
        <v>38</v>
      </c>
      <c r="G145">
        <v>3</v>
      </c>
      <c r="H145">
        <v>2</v>
      </c>
      <c r="I145" t="s">
        <v>46</v>
      </c>
      <c r="J145" t="s">
        <v>49</v>
      </c>
      <c r="K145" t="s">
        <v>41</v>
      </c>
      <c r="L145" t="s">
        <v>46</v>
      </c>
      <c r="M145">
        <v>1</v>
      </c>
      <c r="N145">
        <v>3</v>
      </c>
      <c r="O145">
        <v>0</v>
      </c>
      <c r="P145" t="s">
        <v>44</v>
      </c>
      <c r="Q145" t="s">
        <v>43</v>
      </c>
      <c r="R145" t="s">
        <v>44</v>
      </c>
      <c r="S145">
        <f t="shared" si="2"/>
        <v>0</v>
      </c>
      <c r="T145" t="s">
        <v>43</v>
      </c>
      <c r="U145" t="s">
        <v>44</v>
      </c>
      <c r="V145" t="s">
        <v>43</v>
      </c>
      <c r="W145" t="s">
        <v>43</v>
      </c>
      <c r="X145" t="s">
        <v>43</v>
      </c>
      <c r="Y145">
        <v>4</v>
      </c>
      <c r="Z145">
        <v>3</v>
      </c>
      <c r="AA145">
        <v>3</v>
      </c>
      <c r="AB145">
        <v>5</v>
      </c>
      <c r="AC145">
        <v>1</v>
      </c>
      <c r="AD145">
        <v>5</v>
      </c>
      <c r="AE145">
        <v>10</v>
      </c>
      <c r="AF145">
        <v>12</v>
      </c>
      <c r="AG145">
        <v>11</v>
      </c>
      <c r="AH145">
        <v>11</v>
      </c>
    </row>
    <row r="146" spans="1:34" x14ac:dyDescent="0.2">
      <c r="A146" t="s">
        <v>34</v>
      </c>
      <c r="B146" t="s">
        <v>35</v>
      </c>
      <c r="C146">
        <v>16</v>
      </c>
      <c r="D146" t="s">
        <v>53</v>
      </c>
      <c r="E146" t="s">
        <v>37</v>
      </c>
      <c r="F146" t="s">
        <v>45</v>
      </c>
      <c r="G146">
        <v>1</v>
      </c>
      <c r="H146">
        <v>1</v>
      </c>
      <c r="I146" t="s">
        <v>46</v>
      </c>
      <c r="J146" t="s">
        <v>49</v>
      </c>
      <c r="K146" t="s">
        <v>52</v>
      </c>
      <c r="L146" t="s">
        <v>42</v>
      </c>
      <c r="M146">
        <v>2</v>
      </c>
      <c r="N146">
        <v>1</v>
      </c>
      <c r="O146">
        <v>0</v>
      </c>
      <c r="P146" t="s">
        <v>44</v>
      </c>
      <c r="Q146" t="s">
        <v>43</v>
      </c>
      <c r="R146" t="s">
        <v>44</v>
      </c>
      <c r="S146">
        <f t="shared" si="2"/>
        <v>0</v>
      </c>
      <c r="T146" t="s">
        <v>43</v>
      </c>
      <c r="U146" t="s">
        <v>43</v>
      </c>
      <c r="V146" t="s">
        <v>43</v>
      </c>
      <c r="W146" t="s">
        <v>44</v>
      </c>
      <c r="X146" t="s">
        <v>43</v>
      </c>
      <c r="Y146">
        <v>3</v>
      </c>
      <c r="Z146">
        <v>3</v>
      </c>
      <c r="AA146">
        <v>3</v>
      </c>
      <c r="AB146">
        <v>1</v>
      </c>
      <c r="AC146">
        <v>2</v>
      </c>
      <c r="AD146">
        <v>1</v>
      </c>
      <c r="AE146">
        <v>8</v>
      </c>
      <c r="AF146">
        <v>12</v>
      </c>
      <c r="AG146">
        <v>11</v>
      </c>
      <c r="AH146">
        <v>11</v>
      </c>
    </row>
    <row r="147" spans="1:34" x14ac:dyDescent="0.2">
      <c r="A147" t="s">
        <v>34</v>
      </c>
      <c r="B147" t="s">
        <v>35</v>
      </c>
      <c r="C147">
        <v>16</v>
      </c>
      <c r="D147" t="s">
        <v>36</v>
      </c>
      <c r="E147" t="s">
        <v>37</v>
      </c>
      <c r="F147" t="s">
        <v>38</v>
      </c>
      <c r="G147">
        <v>3</v>
      </c>
      <c r="H147">
        <v>3</v>
      </c>
      <c r="I147" t="s">
        <v>46</v>
      </c>
      <c r="J147" t="s">
        <v>46</v>
      </c>
      <c r="K147" t="s">
        <v>41</v>
      </c>
      <c r="L147" t="s">
        <v>46</v>
      </c>
      <c r="M147">
        <v>2</v>
      </c>
      <c r="N147">
        <v>1</v>
      </c>
      <c r="O147">
        <v>0</v>
      </c>
      <c r="P147" t="s">
        <v>44</v>
      </c>
      <c r="Q147" t="s">
        <v>43</v>
      </c>
      <c r="R147" t="s">
        <v>44</v>
      </c>
      <c r="S147">
        <f t="shared" si="2"/>
        <v>0</v>
      </c>
      <c r="T147" t="s">
        <v>43</v>
      </c>
      <c r="U147" t="s">
        <v>44</v>
      </c>
      <c r="V147" t="s">
        <v>43</v>
      </c>
      <c r="W147" t="s">
        <v>43</v>
      </c>
      <c r="X147" t="s">
        <v>43</v>
      </c>
      <c r="Y147">
        <v>4</v>
      </c>
      <c r="Z147">
        <v>3</v>
      </c>
      <c r="AA147">
        <v>2</v>
      </c>
      <c r="AB147">
        <v>1</v>
      </c>
      <c r="AC147">
        <v>1</v>
      </c>
      <c r="AD147">
        <v>5</v>
      </c>
      <c r="AE147">
        <v>4</v>
      </c>
      <c r="AF147">
        <v>9</v>
      </c>
      <c r="AG147">
        <v>9</v>
      </c>
      <c r="AH147">
        <v>10</v>
      </c>
    </row>
    <row r="148" spans="1:34" x14ac:dyDescent="0.2">
      <c r="A148" t="s">
        <v>34</v>
      </c>
      <c r="B148" t="s">
        <v>51</v>
      </c>
      <c r="C148">
        <v>16</v>
      </c>
      <c r="D148" t="s">
        <v>36</v>
      </c>
      <c r="E148" t="s">
        <v>48</v>
      </c>
      <c r="F148" t="s">
        <v>45</v>
      </c>
      <c r="G148">
        <v>1</v>
      </c>
      <c r="H148">
        <v>1</v>
      </c>
      <c r="I148" t="s">
        <v>49</v>
      </c>
      <c r="J148" t="s">
        <v>46</v>
      </c>
      <c r="K148" t="s">
        <v>41</v>
      </c>
      <c r="L148" t="s">
        <v>42</v>
      </c>
      <c r="M148">
        <v>1</v>
      </c>
      <c r="N148">
        <v>2</v>
      </c>
      <c r="O148">
        <v>2</v>
      </c>
      <c r="P148" t="s">
        <v>44</v>
      </c>
      <c r="Q148" t="s">
        <v>44</v>
      </c>
      <c r="R148" t="s">
        <v>44</v>
      </c>
      <c r="S148">
        <f t="shared" si="2"/>
        <v>0</v>
      </c>
      <c r="T148" t="s">
        <v>44</v>
      </c>
      <c r="U148" t="s">
        <v>43</v>
      </c>
      <c r="V148" t="s">
        <v>43</v>
      </c>
      <c r="W148" t="s">
        <v>44</v>
      </c>
      <c r="X148" t="s">
        <v>43</v>
      </c>
      <c r="Y148">
        <v>4</v>
      </c>
      <c r="Z148">
        <v>4</v>
      </c>
      <c r="AA148">
        <v>4</v>
      </c>
      <c r="AB148">
        <v>1</v>
      </c>
      <c r="AC148">
        <v>3</v>
      </c>
      <c r="AD148">
        <v>5</v>
      </c>
      <c r="AE148">
        <v>0</v>
      </c>
      <c r="AF148">
        <v>10</v>
      </c>
      <c r="AG148">
        <v>10</v>
      </c>
      <c r="AH148">
        <v>10</v>
      </c>
    </row>
    <row r="149" spans="1:34" x14ac:dyDescent="0.2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v>4</v>
      </c>
      <c r="H149">
        <v>4</v>
      </c>
      <c r="I149" t="s">
        <v>40</v>
      </c>
      <c r="J149" t="s">
        <v>40</v>
      </c>
      <c r="K149" t="s">
        <v>41</v>
      </c>
      <c r="L149" t="s">
        <v>42</v>
      </c>
      <c r="M149">
        <v>2</v>
      </c>
      <c r="N149">
        <v>1</v>
      </c>
      <c r="O149">
        <v>0</v>
      </c>
      <c r="P149" t="s">
        <v>44</v>
      </c>
      <c r="Q149" t="s">
        <v>44</v>
      </c>
      <c r="R149" t="s">
        <v>44</v>
      </c>
      <c r="S149">
        <f t="shared" si="2"/>
        <v>0</v>
      </c>
      <c r="T149" t="s">
        <v>43</v>
      </c>
      <c r="U149" t="s">
        <v>43</v>
      </c>
      <c r="V149" t="s">
        <v>43</v>
      </c>
      <c r="W149" t="s">
        <v>43</v>
      </c>
      <c r="X149" t="s">
        <v>44</v>
      </c>
      <c r="Y149">
        <v>4</v>
      </c>
      <c r="Z149">
        <v>3</v>
      </c>
      <c r="AA149">
        <v>2</v>
      </c>
      <c r="AB149">
        <v>1</v>
      </c>
      <c r="AC149">
        <v>1</v>
      </c>
      <c r="AD149">
        <v>5</v>
      </c>
      <c r="AE149">
        <v>6</v>
      </c>
      <c r="AF149">
        <v>13</v>
      </c>
      <c r="AG149">
        <v>14</v>
      </c>
      <c r="AH149">
        <v>14</v>
      </c>
    </row>
    <row r="150" spans="1:34" x14ac:dyDescent="0.2">
      <c r="A150" t="s">
        <v>34</v>
      </c>
      <c r="B150" t="s">
        <v>35</v>
      </c>
      <c r="C150">
        <v>15</v>
      </c>
      <c r="D150" t="s">
        <v>53</v>
      </c>
      <c r="E150" t="s">
        <v>37</v>
      </c>
      <c r="F150" t="s">
        <v>45</v>
      </c>
      <c r="G150">
        <v>1</v>
      </c>
      <c r="H150">
        <v>1</v>
      </c>
      <c r="I150" t="s">
        <v>46</v>
      </c>
      <c r="J150" t="s">
        <v>46</v>
      </c>
      <c r="K150" t="s">
        <v>41</v>
      </c>
      <c r="L150" t="s">
        <v>42</v>
      </c>
      <c r="M150">
        <v>3</v>
      </c>
      <c r="N150">
        <v>1</v>
      </c>
      <c r="O150">
        <v>1</v>
      </c>
      <c r="P150" t="s">
        <v>44</v>
      </c>
      <c r="Q150" t="s">
        <v>44</v>
      </c>
      <c r="R150" t="s">
        <v>44</v>
      </c>
      <c r="S150">
        <f t="shared" si="2"/>
        <v>0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>
        <v>5</v>
      </c>
      <c r="Z150">
        <v>5</v>
      </c>
      <c r="AA150">
        <v>5</v>
      </c>
      <c r="AB150">
        <v>1</v>
      </c>
      <c r="AC150">
        <v>1</v>
      </c>
      <c r="AD150">
        <v>1</v>
      </c>
      <c r="AE150">
        <v>2</v>
      </c>
      <c r="AF150">
        <v>8</v>
      </c>
      <c r="AG150">
        <v>9</v>
      </c>
      <c r="AH150">
        <v>9</v>
      </c>
    </row>
    <row r="151" spans="1:34" x14ac:dyDescent="0.2">
      <c r="A151" t="s">
        <v>34</v>
      </c>
      <c r="B151" t="s">
        <v>51</v>
      </c>
      <c r="C151">
        <v>15</v>
      </c>
      <c r="D151" t="s">
        <v>36</v>
      </c>
      <c r="E151" t="s">
        <v>37</v>
      </c>
      <c r="F151" t="s">
        <v>45</v>
      </c>
      <c r="G151">
        <v>4</v>
      </c>
      <c r="H151">
        <v>3</v>
      </c>
      <c r="I151" t="s">
        <v>40</v>
      </c>
      <c r="J151" t="s">
        <v>49</v>
      </c>
      <c r="K151" t="s">
        <v>41</v>
      </c>
      <c r="L151" t="s">
        <v>47</v>
      </c>
      <c r="M151">
        <v>2</v>
      </c>
      <c r="N151">
        <v>4</v>
      </c>
      <c r="O151">
        <v>0</v>
      </c>
      <c r="P151" t="s">
        <v>43</v>
      </c>
      <c r="Q151" t="s">
        <v>43</v>
      </c>
      <c r="R151" t="s">
        <v>44</v>
      </c>
      <c r="S151">
        <f t="shared" si="2"/>
        <v>0</v>
      </c>
      <c r="T151" t="s">
        <v>44</v>
      </c>
      <c r="U151" t="s">
        <v>43</v>
      </c>
      <c r="V151" t="s">
        <v>43</v>
      </c>
      <c r="W151" t="s">
        <v>43</v>
      </c>
      <c r="X151" t="s">
        <v>44</v>
      </c>
      <c r="Y151">
        <v>2</v>
      </c>
      <c r="Z151">
        <v>2</v>
      </c>
      <c r="AA151">
        <v>2</v>
      </c>
      <c r="AB151">
        <v>1</v>
      </c>
      <c r="AC151">
        <v>1</v>
      </c>
      <c r="AD151">
        <v>3</v>
      </c>
      <c r="AE151">
        <v>6</v>
      </c>
      <c r="AF151">
        <v>9</v>
      </c>
      <c r="AG151">
        <v>11</v>
      </c>
      <c r="AH151">
        <v>11</v>
      </c>
    </row>
    <row r="152" spans="1:34" x14ac:dyDescent="0.2">
      <c r="A152" t="s">
        <v>34</v>
      </c>
      <c r="B152" t="s">
        <v>35</v>
      </c>
      <c r="C152">
        <v>15</v>
      </c>
      <c r="D152" t="s">
        <v>36</v>
      </c>
      <c r="E152" t="s">
        <v>37</v>
      </c>
      <c r="F152" t="s">
        <v>38</v>
      </c>
      <c r="G152">
        <v>3</v>
      </c>
      <c r="H152">
        <v>3</v>
      </c>
      <c r="I152" t="s">
        <v>49</v>
      </c>
      <c r="J152" t="s">
        <v>49</v>
      </c>
      <c r="K152" t="s">
        <v>50</v>
      </c>
      <c r="L152" t="s">
        <v>42</v>
      </c>
      <c r="M152">
        <v>1</v>
      </c>
      <c r="N152">
        <v>2</v>
      </c>
      <c r="O152">
        <v>0</v>
      </c>
      <c r="P152" t="s">
        <v>44</v>
      </c>
      <c r="Q152" t="s">
        <v>44</v>
      </c>
      <c r="R152" t="s">
        <v>44</v>
      </c>
      <c r="S152">
        <f t="shared" si="2"/>
        <v>0</v>
      </c>
      <c r="T152" t="s">
        <v>44</v>
      </c>
      <c r="U152" t="s">
        <v>44</v>
      </c>
      <c r="V152" t="s">
        <v>43</v>
      </c>
      <c r="W152" t="s">
        <v>44</v>
      </c>
      <c r="X152" t="s">
        <v>43</v>
      </c>
      <c r="Y152">
        <v>1</v>
      </c>
      <c r="Z152">
        <v>3</v>
      </c>
      <c r="AA152">
        <v>2</v>
      </c>
      <c r="AB152">
        <v>2</v>
      </c>
      <c r="AC152">
        <v>3</v>
      </c>
      <c r="AD152">
        <v>1</v>
      </c>
      <c r="AE152">
        <v>24</v>
      </c>
      <c r="AF152">
        <v>9</v>
      </c>
      <c r="AG152">
        <v>8</v>
      </c>
      <c r="AH152">
        <v>9</v>
      </c>
    </row>
    <row r="153" spans="1:34" x14ac:dyDescent="0.2">
      <c r="A153" t="s">
        <v>34</v>
      </c>
      <c r="B153" t="s">
        <v>51</v>
      </c>
      <c r="C153">
        <v>16</v>
      </c>
      <c r="D153" t="s">
        <v>36</v>
      </c>
      <c r="E153" t="s">
        <v>37</v>
      </c>
      <c r="F153" t="s">
        <v>45</v>
      </c>
      <c r="G153">
        <v>4</v>
      </c>
      <c r="H153">
        <v>4</v>
      </c>
      <c r="I153" t="s">
        <v>49</v>
      </c>
      <c r="J153" t="s">
        <v>49</v>
      </c>
      <c r="K153" t="s">
        <v>41</v>
      </c>
      <c r="L153" t="s">
        <v>42</v>
      </c>
      <c r="M153">
        <v>1</v>
      </c>
      <c r="N153">
        <v>3</v>
      </c>
      <c r="O153">
        <v>0</v>
      </c>
      <c r="P153" t="s">
        <v>44</v>
      </c>
      <c r="Q153" t="s">
        <v>43</v>
      </c>
      <c r="R153" t="s">
        <v>44</v>
      </c>
      <c r="S153">
        <f t="shared" si="2"/>
        <v>0</v>
      </c>
      <c r="T153" t="s">
        <v>43</v>
      </c>
      <c r="U153" t="s">
        <v>43</v>
      </c>
      <c r="V153" t="s">
        <v>43</v>
      </c>
      <c r="W153" t="s">
        <v>43</v>
      </c>
      <c r="X153" t="s">
        <v>44</v>
      </c>
      <c r="Y153">
        <v>5</v>
      </c>
      <c r="Z153">
        <v>3</v>
      </c>
      <c r="AA153">
        <v>3</v>
      </c>
      <c r="AB153">
        <v>1</v>
      </c>
      <c r="AC153">
        <v>3</v>
      </c>
      <c r="AD153">
        <v>5</v>
      </c>
      <c r="AE153">
        <v>0</v>
      </c>
      <c r="AF153">
        <v>15</v>
      </c>
      <c r="AG153">
        <v>13</v>
      </c>
      <c r="AH153">
        <v>13</v>
      </c>
    </row>
    <row r="154" spans="1:34" x14ac:dyDescent="0.2">
      <c r="A154" t="s">
        <v>34</v>
      </c>
      <c r="B154" t="s">
        <v>51</v>
      </c>
      <c r="C154">
        <v>16</v>
      </c>
      <c r="D154" t="s">
        <v>36</v>
      </c>
      <c r="E154" t="s">
        <v>48</v>
      </c>
      <c r="F154" t="s">
        <v>45</v>
      </c>
      <c r="G154">
        <v>2</v>
      </c>
      <c r="H154">
        <v>2</v>
      </c>
      <c r="I154" t="s">
        <v>49</v>
      </c>
      <c r="J154" t="s">
        <v>49</v>
      </c>
      <c r="K154" t="s">
        <v>52</v>
      </c>
      <c r="L154" t="s">
        <v>47</v>
      </c>
      <c r="M154">
        <v>2</v>
      </c>
      <c r="N154">
        <v>1</v>
      </c>
      <c r="O154">
        <v>0</v>
      </c>
      <c r="P154" t="s">
        <v>44</v>
      </c>
      <c r="Q154" t="s">
        <v>43</v>
      </c>
      <c r="R154" t="s">
        <v>44</v>
      </c>
      <c r="S154">
        <f t="shared" si="2"/>
        <v>0</v>
      </c>
      <c r="T154" t="s">
        <v>43</v>
      </c>
      <c r="U154" t="s">
        <v>43</v>
      </c>
      <c r="V154" t="s">
        <v>43</v>
      </c>
      <c r="W154" t="s">
        <v>43</v>
      </c>
      <c r="X154" t="s">
        <v>44</v>
      </c>
      <c r="Y154">
        <v>2</v>
      </c>
      <c r="Z154">
        <v>3</v>
      </c>
      <c r="AA154">
        <v>3</v>
      </c>
      <c r="AB154">
        <v>2</v>
      </c>
      <c r="AC154">
        <v>2</v>
      </c>
      <c r="AD154">
        <v>2</v>
      </c>
      <c r="AE154">
        <v>4</v>
      </c>
      <c r="AF154">
        <v>12</v>
      </c>
      <c r="AG154">
        <v>11</v>
      </c>
      <c r="AH154">
        <v>11</v>
      </c>
    </row>
    <row r="155" spans="1:34" x14ac:dyDescent="0.2">
      <c r="A155" t="s">
        <v>34</v>
      </c>
      <c r="B155" t="s">
        <v>35</v>
      </c>
      <c r="C155">
        <v>15</v>
      </c>
      <c r="D155" t="s">
        <v>36</v>
      </c>
      <c r="E155" t="s">
        <v>37</v>
      </c>
      <c r="F155" t="s">
        <v>45</v>
      </c>
      <c r="G155">
        <v>4</v>
      </c>
      <c r="H155">
        <v>4</v>
      </c>
      <c r="I155" t="s">
        <v>40</v>
      </c>
      <c r="J155" t="s">
        <v>49</v>
      </c>
      <c r="K155" t="s">
        <v>41</v>
      </c>
      <c r="L155" t="s">
        <v>42</v>
      </c>
      <c r="M155">
        <v>1</v>
      </c>
      <c r="N155">
        <v>3</v>
      </c>
      <c r="O155">
        <v>0</v>
      </c>
      <c r="P155" t="s">
        <v>44</v>
      </c>
      <c r="Q155" t="s">
        <v>43</v>
      </c>
      <c r="R155" t="s">
        <v>44</v>
      </c>
      <c r="S155">
        <f t="shared" si="2"/>
        <v>0</v>
      </c>
      <c r="T155" t="s">
        <v>43</v>
      </c>
      <c r="U155" t="s">
        <v>43</v>
      </c>
      <c r="V155" t="s">
        <v>43</v>
      </c>
      <c r="W155" t="s">
        <v>43</v>
      </c>
      <c r="X155" t="s">
        <v>44</v>
      </c>
      <c r="Y155">
        <v>4</v>
      </c>
      <c r="Z155">
        <v>2</v>
      </c>
      <c r="AA155">
        <v>2</v>
      </c>
      <c r="AB155">
        <v>1</v>
      </c>
      <c r="AC155">
        <v>1</v>
      </c>
      <c r="AD155">
        <v>5</v>
      </c>
      <c r="AE155">
        <v>2</v>
      </c>
      <c r="AF155">
        <v>13</v>
      </c>
      <c r="AG155">
        <v>13</v>
      </c>
      <c r="AH155">
        <v>13</v>
      </c>
    </row>
    <row r="156" spans="1:34" x14ac:dyDescent="0.2">
      <c r="A156" t="s">
        <v>34</v>
      </c>
      <c r="B156" t="s">
        <v>35</v>
      </c>
      <c r="C156">
        <v>16</v>
      </c>
      <c r="D156" t="s">
        <v>36</v>
      </c>
      <c r="E156" t="s">
        <v>48</v>
      </c>
      <c r="F156" t="s">
        <v>45</v>
      </c>
      <c r="G156">
        <v>1</v>
      </c>
      <c r="H156">
        <v>1</v>
      </c>
      <c r="I156" t="s">
        <v>39</v>
      </c>
      <c r="J156" t="s">
        <v>39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44</v>
      </c>
      <c r="Q156" t="s">
        <v>44</v>
      </c>
      <c r="R156" t="s">
        <v>44</v>
      </c>
      <c r="S156">
        <f t="shared" si="2"/>
        <v>0</v>
      </c>
      <c r="T156" t="s">
        <v>44</v>
      </c>
      <c r="U156" t="s">
        <v>43</v>
      </c>
      <c r="V156" t="s">
        <v>43</v>
      </c>
      <c r="W156" t="s">
        <v>43</v>
      </c>
      <c r="X156" t="s">
        <v>44</v>
      </c>
      <c r="Y156">
        <v>3</v>
      </c>
      <c r="Z156">
        <v>4</v>
      </c>
      <c r="AA156">
        <v>4</v>
      </c>
      <c r="AB156">
        <v>3</v>
      </c>
      <c r="AC156">
        <v>3</v>
      </c>
      <c r="AD156">
        <v>1</v>
      </c>
      <c r="AE156">
        <v>4</v>
      </c>
      <c r="AF156">
        <v>10</v>
      </c>
      <c r="AG156">
        <v>11</v>
      </c>
      <c r="AH156">
        <v>11</v>
      </c>
    </row>
    <row r="157" spans="1:34" x14ac:dyDescent="0.2">
      <c r="A157" t="s">
        <v>34</v>
      </c>
      <c r="B157" t="s">
        <v>51</v>
      </c>
      <c r="C157">
        <v>17</v>
      </c>
      <c r="D157" t="s">
        <v>36</v>
      </c>
      <c r="E157" t="s">
        <v>37</v>
      </c>
      <c r="F157" t="s">
        <v>45</v>
      </c>
      <c r="G157">
        <v>2</v>
      </c>
      <c r="H157">
        <v>1</v>
      </c>
      <c r="I157" t="s">
        <v>46</v>
      </c>
      <c r="J157" t="s">
        <v>46</v>
      </c>
      <c r="K157" t="s">
        <v>50</v>
      </c>
      <c r="L157" t="s">
        <v>42</v>
      </c>
      <c r="M157">
        <v>1</v>
      </c>
      <c r="N157">
        <v>1</v>
      </c>
      <c r="O157">
        <v>0</v>
      </c>
      <c r="P157" t="s">
        <v>44</v>
      </c>
      <c r="Q157" t="s">
        <v>43</v>
      </c>
      <c r="R157" t="s">
        <v>44</v>
      </c>
      <c r="S157">
        <f t="shared" si="2"/>
        <v>0</v>
      </c>
      <c r="T157" t="s">
        <v>44</v>
      </c>
      <c r="U157" t="s">
        <v>43</v>
      </c>
      <c r="V157" t="s">
        <v>43</v>
      </c>
      <c r="W157" t="s">
        <v>43</v>
      </c>
      <c r="X157" t="s">
        <v>44</v>
      </c>
      <c r="Y157">
        <v>5</v>
      </c>
      <c r="Z157">
        <v>4</v>
      </c>
      <c r="AA157">
        <v>5</v>
      </c>
      <c r="AB157">
        <v>1</v>
      </c>
      <c r="AC157">
        <v>2</v>
      </c>
      <c r="AD157">
        <v>5</v>
      </c>
      <c r="AE157">
        <v>22</v>
      </c>
      <c r="AF157">
        <v>9</v>
      </c>
      <c r="AG157">
        <v>7</v>
      </c>
      <c r="AH157">
        <v>6</v>
      </c>
    </row>
    <row r="158" spans="1:34" x14ac:dyDescent="0.2">
      <c r="A158" t="s">
        <v>34</v>
      </c>
      <c r="B158" t="s">
        <v>35</v>
      </c>
      <c r="C158">
        <v>15</v>
      </c>
      <c r="D158" t="s">
        <v>36</v>
      </c>
      <c r="E158" t="s">
        <v>37</v>
      </c>
      <c r="F158" t="s">
        <v>45</v>
      </c>
      <c r="G158">
        <v>1</v>
      </c>
      <c r="H158">
        <v>1</v>
      </c>
      <c r="I158" t="s">
        <v>46</v>
      </c>
      <c r="J158" t="s">
        <v>49</v>
      </c>
      <c r="K158" t="s">
        <v>41</v>
      </c>
      <c r="L158" t="s">
        <v>47</v>
      </c>
      <c r="M158">
        <v>1</v>
      </c>
      <c r="N158">
        <v>2</v>
      </c>
      <c r="O158">
        <v>0</v>
      </c>
      <c r="P158" t="s">
        <v>44</v>
      </c>
      <c r="Q158" t="s">
        <v>43</v>
      </c>
      <c r="R158" t="s">
        <v>44</v>
      </c>
      <c r="S158">
        <f t="shared" si="2"/>
        <v>0</v>
      </c>
      <c r="T158" t="s">
        <v>44</v>
      </c>
      <c r="U158" t="s">
        <v>43</v>
      </c>
      <c r="V158" t="s">
        <v>43</v>
      </c>
      <c r="W158" t="s">
        <v>43</v>
      </c>
      <c r="X158" t="s">
        <v>44</v>
      </c>
      <c r="Y158">
        <v>4</v>
      </c>
      <c r="Z158">
        <v>4</v>
      </c>
      <c r="AA158">
        <v>2</v>
      </c>
      <c r="AB158">
        <v>1</v>
      </c>
      <c r="AC158">
        <v>2</v>
      </c>
      <c r="AD158">
        <v>5</v>
      </c>
      <c r="AE158">
        <v>0</v>
      </c>
      <c r="AF158">
        <v>12</v>
      </c>
      <c r="AG158">
        <v>12</v>
      </c>
      <c r="AH158">
        <v>12</v>
      </c>
    </row>
    <row r="159" spans="1:34" x14ac:dyDescent="0.2">
      <c r="A159" t="s">
        <v>34</v>
      </c>
      <c r="B159" t="s">
        <v>35</v>
      </c>
      <c r="C159">
        <v>15</v>
      </c>
      <c r="D159" t="s">
        <v>36</v>
      </c>
      <c r="E159" t="s">
        <v>48</v>
      </c>
      <c r="F159" t="s">
        <v>38</v>
      </c>
      <c r="G159">
        <v>2</v>
      </c>
      <c r="H159">
        <v>1</v>
      </c>
      <c r="I159" t="s">
        <v>39</v>
      </c>
      <c r="J159" t="s">
        <v>46</v>
      </c>
      <c r="K159" t="s">
        <v>50</v>
      </c>
      <c r="L159" t="s">
        <v>42</v>
      </c>
      <c r="M159">
        <v>2</v>
      </c>
      <c r="N159">
        <v>1</v>
      </c>
      <c r="O159">
        <v>0</v>
      </c>
      <c r="P159" t="s">
        <v>44</v>
      </c>
      <c r="Q159" t="s">
        <v>43</v>
      </c>
      <c r="R159" t="s">
        <v>44</v>
      </c>
      <c r="S159">
        <f t="shared" si="2"/>
        <v>0</v>
      </c>
      <c r="T159" t="s">
        <v>43</v>
      </c>
      <c r="U159" t="s">
        <v>43</v>
      </c>
      <c r="V159" t="s">
        <v>44</v>
      </c>
      <c r="W159" t="s">
        <v>43</v>
      </c>
      <c r="X159" t="s">
        <v>43</v>
      </c>
      <c r="Y159">
        <v>4</v>
      </c>
      <c r="Z159">
        <v>4</v>
      </c>
      <c r="AA159">
        <v>2</v>
      </c>
      <c r="AB159">
        <v>1</v>
      </c>
      <c r="AC159">
        <v>1</v>
      </c>
      <c r="AD159">
        <v>5</v>
      </c>
      <c r="AE159">
        <v>0</v>
      </c>
      <c r="AF159">
        <v>11</v>
      </c>
      <c r="AG159">
        <v>10</v>
      </c>
      <c r="AH159">
        <v>10</v>
      </c>
    </row>
    <row r="160" spans="1:34" x14ac:dyDescent="0.2">
      <c r="A160" t="s">
        <v>34</v>
      </c>
      <c r="B160" t="s">
        <v>35</v>
      </c>
      <c r="C160">
        <v>15</v>
      </c>
      <c r="D160" t="s">
        <v>36</v>
      </c>
      <c r="E160" t="s">
        <v>37</v>
      </c>
      <c r="F160" t="s">
        <v>45</v>
      </c>
      <c r="G160">
        <v>3</v>
      </c>
      <c r="H160">
        <v>2</v>
      </c>
      <c r="I160" t="s">
        <v>29</v>
      </c>
      <c r="J160" t="s">
        <v>49</v>
      </c>
      <c r="K160" t="s">
        <v>50</v>
      </c>
      <c r="L160" t="s">
        <v>47</v>
      </c>
      <c r="M160">
        <v>1</v>
      </c>
      <c r="N160">
        <v>2</v>
      </c>
      <c r="O160">
        <v>1</v>
      </c>
      <c r="P160" t="s">
        <v>44</v>
      </c>
      <c r="Q160" t="s">
        <v>43</v>
      </c>
      <c r="R160" t="s">
        <v>44</v>
      </c>
      <c r="S160">
        <f t="shared" si="2"/>
        <v>0</v>
      </c>
      <c r="T160" t="s">
        <v>44</v>
      </c>
      <c r="U160" t="s">
        <v>43</v>
      </c>
      <c r="V160" t="s">
        <v>43</v>
      </c>
      <c r="W160" t="s">
        <v>43</v>
      </c>
      <c r="X160" t="s">
        <v>44</v>
      </c>
      <c r="Y160">
        <v>3</v>
      </c>
      <c r="Z160">
        <v>3</v>
      </c>
      <c r="AA160">
        <v>2</v>
      </c>
      <c r="AB160">
        <v>1</v>
      </c>
      <c r="AC160">
        <v>1</v>
      </c>
      <c r="AD160">
        <v>3</v>
      </c>
      <c r="AE160">
        <v>2</v>
      </c>
      <c r="AF160">
        <v>11</v>
      </c>
      <c r="AG160">
        <v>11</v>
      </c>
      <c r="AH160">
        <v>11</v>
      </c>
    </row>
    <row r="161" spans="1:34" x14ac:dyDescent="0.2">
      <c r="A161" t="s">
        <v>34</v>
      </c>
      <c r="B161" t="s">
        <v>35</v>
      </c>
      <c r="C161">
        <v>15</v>
      </c>
      <c r="D161" t="s">
        <v>36</v>
      </c>
      <c r="E161" t="s">
        <v>37</v>
      </c>
      <c r="F161" t="s">
        <v>45</v>
      </c>
      <c r="G161">
        <v>1</v>
      </c>
      <c r="H161">
        <v>2</v>
      </c>
      <c r="I161" t="s">
        <v>39</v>
      </c>
      <c r="J161" t="s">
        <v>46</v>
      </c>
      <c r="K161" t="s">
        <v>41</v>
      </c>
      <c r="L161" t="s">
        <v>42</v>
      </c>
      <c r="M161">
        <v>1</v>
      </c>
      <c r="N161">
        <v>2</v>
      </c>
      <c r="O161">
        <v>0</v>
      </c>
      <c r="P161" t="s">
        <v>44</v>
      </c>
      <c r="Q161" t="s">
        <v>43</v>
      </c>
      <c r="R161" t="s">
        <v>44</v>
      </c>
      <c r="S161">
        <f t="shared" si="2"/>
        <v>0</v>
      </c>
      <c r="T161" t="s">
        <v>44</v>
      </c>
      <c r="U161" t="s">
        <v>44</v>
      </c>
      <c r="V161" t="s">
        <v>43</v>
      </c>
      <c r="W161" t="s">
        <v>43</v>
      </c>
      <c r="X161" t="s">
        <v>44</v>
      </c>
      <c r="Y161">
        <v>4</v>
      </c>
      <c r="Z161">
        <v>3</v>
      </c>
      <c r="AA161">
        <v>2</v>
      </c>
      <c r="AB161">
        <v>1</v>
      </c>
      <c r="AC161">
        <v>1</v>
      </c>
      <c r="AD161">
        <v>5</v>
      </c>
      <c r="AE161">
        <v>6</v>
      </c>
      <c r="AF161">
        <v>13</v>
      </c>
      <c r="AG161">
        <v>12</v>
      </c>
      <c r="AH161">
        <v>13</v>
      </c>
    </row>
    <row r="162" spans="1:34" x14ac:dyDescent="0.2">
      <c r="A162" t="s">
        <v>34</v>
      </c>
      <c r="B162" t="s">
        <v>35</v>
      </c>
      <c r="C162">
        <v>15</v>
      </c>
      <c r="D162" t="s">
        <v>36</v>
      </c>
      <c r="E162" t="s">
        <v>37</v>
      </c>
      <c r="F162" t="s">
        <v>45</v>
      </c>
      <c r="G162">
        <v>1</v>
      </c>
      <c r="H162">
        <v>2</v>
      </c>
      <c r="I162" t="s">
        <v>39</v>
      </c>
      <c r="J162" t="s">
        <v>49</v>
      </c>
      <c r="K162" t="s">
        <v>41</v>
      </c>
      <c r="L162" t="s">
        <v>47</v>
      </c>
      <c r="M162">
        <v>1</v>
      </c>
      <c r="N162">
        <v>2</v>
      </c>
      <c r="O162">
        <v>0</v>
      </c>
      <c r="P162" t="s">
        <v>44</v>
      </c>
      <c r="Q162" t="s">
        <v>44</v>
      </c>
      <c r="R162" t="s">
        <v>44</v>
      </c>
      <c r="S162">
        <f t="shared" si="2"/>
        <v>0</v>
      </c>
      <c r="T162" t="s">
        <v>44</v>
      </c>
      <c r="U162" t="s">
        <v>44</v>
      </c>
      <c r="V162" t="s">
        <v>43</v>
      </c>
      <c r="W162" t="s">
        <v>44</v>
      </c>
      <c r="X162" t="s">
        <v>43</v>
      </c>
      <c r="Y162">
        <v>2</v>
      </c>
      <c r="Z162">
        <v>3</v>
      </c>
      <c r="AA162">
        <v>4</v>
      </c>
      <c r="AB162">
        <v>2</v>
      </c>
      <c r="AC162">
        <v>4</v>
      </c>
      <c r="AD162">
        <v>1</v>
      </c>
      <c r="AE162">
        <v>6</v>
      </c>
      <c r="AF162">
        <v>11</v>
      </c>
      <c r="AG162">
        <v>11</v>
      </c>
      <c r="AH162">
        <v>11</v>
      </c>
    </row>
    <row r="163" spans="1:34" x14ac:dyDescent="0.2">
      <c r="A163" t="s">
        <v>34</v>
      </c>
      <c r="B163" t="s">
        <v>51</v>
      </c>
      <c r="C163">
        <v>16</v>
      </c>
      <c r="D163" t="s">
        <v>36</v>
      </c>
      <c r="E163" t="s">
        <v>37</v>
      </c>
      <c r="F163" t="s">
        <v>45</v>
      </c>
      <c r="G163">
        <v>4</v>
      </c>
      <c r="H163">
        <v>4</v>
      </c>
      <c r="I163" t="s">
        <v>40</v>
      </c>
      <c r="J163" t="s">
        <v>40</v>
      </c>
      <c r="K163" t="s">
        <v>41</v>
      </c>
      <c r="L163" t="s">
        <v>42</v>
      </c>
      <c r="M163">
        <v>1</v>
      </c>
      <c r="N163">
        <v>1</v>
      </c>
      <c r="O163">
        <v>0</v>
      </c>
      <c r="P163" t="s">
        <v>44</v>
      </c>
      <c r="Q163" t="s">
        <v>43</v>
      </c>
      <c r="R163" t="s">
        <v>44</v>
      </c>
      <c r="S163">
        <f t="shared" si="2"/>
        <v>0</v>
      </c>
      <c r="T163" t="s">
        <v>44</v>
      </c>
      <c r="U163" t="s">
        <v>43</v>
      </c>
      <c r="V163" t="s">
        <v>44</v>
      </c>
      <c r="W163" t="s">
        <v>43</v>
      </c>
      <c r="X163" t="s">
        <v>43</v>
      </c>
      <c r="Y163">
        <v>3</v>
      </c>
      <c r="Z163">
        <v>3</v>
      </c>
      <c r="AA163">
        <v>2</v>
      </c>
      <c r="AB163">
        <v>2</v>
      </c>
      <c r="AC163">
        <v>1</v>
      </c>
      <c r="AD163">
        <v>5</v>
      </c>
      <c r="AE163">
        <v>16</v>
      </c>
      <c r="AF163">
        <v>9</v>
      </c>
      <c r="AG163">
        <v>9</v>
      </c>
      <c r="AH163">
        <v>8</v>
      </c>
    </row>
    <row r="164" spans="1:34" x14ac:dyDescent="0.2">
      <c r="A164" t="s">
        <v>34</v>
      </c>
      <c r="B164" t="s">
        <v>51</v>
      </c>
      <c r="C164">
        <v>15</v>
      </c>
      <c r="D164" t="s">
        <v>36</v>
      </c>
      <c r="E164" t="s">
        <v>48</v>
      </c>
      <c r="F164" t="s">
        <v>38</v>
      </c>
      <c r="G164">
        <v>2</v>
      </c>
      <c r="H164">
        <v>1</v>
      </c>
      <c r="I164" t="s">
        <v>49</v>
      </c>
      <c r="J164" t="s">
        <v>46</v>
      </c>
      <c r="K164" t="s">
        <v>41</v>
      </c>
      <c r="L164" t="s">
        <v>42</v>
      </c>
      <c r="M164">
        <v>4</v>
      </c>
      <c r="N164">
        <v>1</v>
      </c>
      <c r="O164">
        <v>0</v>
      </c>
      <c r="P164" t="s">
        <v>44</v>
      </c>
      <c r="Q164" t="s">
        <v>44</v>
      </c>
      <c r="R164" t="s">
        <v>44</v>
      </c>
      <c r="S164">
        <f t="shared" si="2"/>
        <v>0</v>
      </c>
      <c r="T164" t="s">
        <v>44</v>
      </c>
      <c r="U164" t="s">
        <v>43</v>
      </c>
      <c r="V164" t="s">
        <v>43</v>
      </c>
      <c r="W164" t="s">
        <v>43</v>
      </c>
      <c r="X164" t="s">
        <v>44</v>
      </c>
      <c r="Y164">
        <v>4</v>
      </c>
      <c r="Z164">
        <v>5</v>
      </c>
      <c r="AA164">
        <v>5</v>
      </c>
      <c r="AB164">
        <v>2</v>
      </c>
      <c r="AC164">
        <v>5</v>
      </c>
      <c r="AD164">
        <v>5</v>
      </c>
      <c r="AE164">
        <v>0</v>
      </c>
      <c r="AF164">
        <v>12</v>
      </c>
      <c r="AG164">
        <v>11</v>
      </c>
      <c r="AH164">
        <v>11</v>
      </c>
    </row>
    <row r="165" spans="1:34" x14ac:dyDescent="0.2">
      <c r="A165" t="s">
        <v>34</v>
      </c>
      <c r="B165" t="s">
        <v>51</v>
      </c>
      <c r="C165">
        <v>18</v>
      </c>
      <c r="D165" t="s">
        <v>36</v>
      </c>
      <c r="E165" t="s">
        <v>48</v>
      </c>
      <c r="F165" t="s">
        <v>45</v>
      </c>
      <c r="G165">
        <v>1</v>
      </c>
      <c r="H165">
        <v>1</v>
      </c>
      <c r="I165" t="s">
        <v>46</v>
      </c>
      <c r="J165" t="s">
        <v>46</v>
      </c>
      <c r="K165" t="s">
        <v>41</v>
      </c>
      <c r="L165" t="s">
        <v>42</v>
      </c>
      <c r="M165">
        <v>1</v>
      </c>
      <c r="N165">
        <v>1</v>
      </c>
      <c r="O165">
        <v>2</v>
      </c>
      <c r="P165" t="s">
        <v>44</v>
      </c>
      <c r="Q165" t="s">
        <v>44</v>
      </c>
      <c r="R165" t="s">
        <v>44</v>
      </c>
      <c r="S165">
        <f t="shared" si="2"/>
        <v>0</v>
      </c>
      <c r="T165" t="s">
        <v>44</v>
      </c>
      <c r="U165" t="s">
        <v>43</v>
      </c>
      <c r="V165" t="s">
        <v>44</v>
      </c>
      <c r="W165" t="s">
        <v>43</v>
      </c>
      <c r="X165" t="s">
        <v>43</v>
      </c>
      <c r="Y165">
        <v>2</v>
      </c>
      <c r="Z165">
        <v>3</v>
      </c>
      <c r="AA165">
        <v>5</v>
      </c>
      <c r="AB165">
        <v>2</v>
      </c>
      <c r="AC165">
        <v>5</v>
      </c>
      <c r="AD165">
        <v>4</v>
      </c>
      <c r="AE165">
        <v>0</v>
      </c>
      <c r="AF165">
        <v>11</v>
      </c>
      <c r="AG165">
        <v>9</v>
      </c>
      <c r="AH165">
        <v>0</v>
      </c>
    </row>
    <row r="166" spans="1:34" x14ac:dyDescent="0.2">
      <c r="A166" t="s">
        <v>34</v>
      </c>
      <c r="B166" t="s">
        <v>51</v>
      </c>
      <c r="C166">
        <v>16</v>
      </c>
      <c r="D166" t="s">
        <v>36</v>
      </c>
      <c r="E166" t="s">
        <v>48</v>
      </c>
      <c r="F166" t="s">
        <v>45</v>
      </c>
      <c r="G166">
        <v>2</v>
      </c>
      <c r="H166">
        <v>1</v>
      </c>
      <c r="I166" t="s">
        <v>39</v>
      </c>
      <c r="J166" t="s">
        <v>46</v>
      </c>
      <c r="K166" t="s">
        <v>41</v>
      </c>
      <c r="L166" t="s">
        <v>42</v>
      </c>
      <c r="M166">
        <v>1</v>
      </c>
      <c r="N166">
        <v>1</v>
      </c>
      <c r="O166">
        <v>1</v>
      </c>
      <c r="P166" t="s">
        <v>44</v>
      </c>
      <c r="Q166" t="s">
        <v>44</v>
      </c>
      <c r="R166" t="s">
        <v>44</v>
      </c>
      <c r="S166">
        <f t="shared" si="2"/>
        <v>0</v>
      </c>
      <c r="T166" t="s">
        <v>43</v>
      </c>
      <c r="U166" t="s">
        <v>43</v>
      </c>
      <c r="V166" t="s">
        <v>43</v>
      </c>
      <c r="W166" t="s">
        <v>44</v>
      </c>
      <c r="X166" t="s">
        <v>43</v>
      </c>
      <c r="Y166">
        <v>4</v>
      </c>
      <c r="Z166">
        <v>4</v>
      </c>
      <c r="AA166">
        <v>4</v>
      </c>
      <c r="AB166">
        <v>3</v>
      </c>
      <c r="AC166">
        <v>5</v>
      </c>
      <c r="AD166">
        <v>5</v>
      </c>
      <c r="AE166">
        <v>6</v>
      </c>
      <c r="AF166">
        <v>9</v>
      </c>
      <c r="AG166">
        <v>10</v>
      </c>
      <c r="AH166">
        <v>10</v>
      </c>
    </row>
    <row r="167" spans="1:34" x14ac:dyDescent="0.2">
      <c r="A167" t="s">
        <v>34</v>
      </c>
      <c r="B167" t="s">
        <v>35</v>
      </c>
      <c r="C167">
        <v>15</v>
      </c>
      <c r="D167" t="s">
        <v>53</v>
      </c>
      <c r="E167" t="s">
        <v>37</v>
      </c>
      <c r="F167" t="s">
        <v>45</v>
      </c>
      <c r="G167">
        <v>3</v>
      </c>
      <c r="H167">
        <v>3</v>
      </c>
      <c r="I167" t="s">
        <v>49</v>
      </c>
      <c r="J167" t="s">
        <v>49</v>
      </c>
      <c r="K167" t="s">
        <v>52</v>
      </c>
      <c r="L167" t="s">
        <v>46</v>
      </c>
      <c r="M167">
        <v>2</v>
      </c>
      <c r="N167">
        <v>3</v>
      </c>
      <c r="O167">
        <v>0</v>
      </c>
      <c r="P167" t="s">
        <v>44</v>
      </c>
      <c r="Q167" t="s">
        <v>43</v>
      </c>
      <c r="R167" t="s">
        <v>43</v>
      </c>
      <c r="S167">
        <f t="shared" si="2"/>
        <v>1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>
        <v>4</v>
      </c>
      <c r="Z167">
        <v>2</v>
      </c>
      <c r="AA167">
        <v>1</v>
      </c>
      <c r="AB167">
        <v>2</v>
      </c>
      <c r="AC167">
        <v>3</v>
      </c>
      <c r="AD167">
        <v>3</v>
      </c>
      <c r="AE167">
        <v>2</v>
      </c>
      <c r="AF167">
        <v>13</v>
      </c>
      <c r="AG167">
        <v>13</v>
      </c>
      <c r="AH167">
        <v>13</v>
      </c>
    </row>
    <row r="168" spans="1:34" x14ac:dyDescent="0.2">
      <c r="A168" t="s">
        <v>34</v>
      </c>
      <c r="B168" t="s">
        <v>51</v>
      </c>
      <c r="C168">
        <v>19</v>
      </c>
      <c r="D168" t="s">
        <v>36</v>
      </c>
      <c r="E168" t="s">
        <v>37</v>
      </c>
      <c r="F168" t="s">
        <v>45</v>
      </c>
      <c r="G168">
        <v>3</v>
      </c>
      <c r="H168">
        <v>2</v>
      </c>
      <c r="I168" t="s">
        <v>49</v>
      </c>
      <c r="J168" t="s">
        <v>39</v>
      </c>
      <c r="K168" t="s">
        <v>50</v>
      </c>
      <c r="L168" t="s">
        <v>42</v>
      </c>
      <c r="M168">
        <v>1</v>
      </c>
      <c r="N168">
        <v>1</v>
      </c>
      <c r="O168">
        <v>0</v>
      </c>
      <c r="P168" t="s">
        <v>44</v>
      </c>
      <c r="Q168" t="s">
        <v>43</v>
      </c>
      <c r="R168" t="s">
        <v>44</v>
      </c>
      <c r="S168">
        <f t="shared" si="2"/>
        <v>0</v>
      </c>
      <c r="T168" t="s">
        <v>44</v>
      </c>
      <c r="U168" t="s">
        <v>43</v>
      </c>
      <c r="V168" t="s">
        <v>44</v>
      </c>
      <c r="W168" t="s">
        <v>43</v>
      </c>
      <c r="X168" t="s">
        <v>43</v>
      </c>
      <c r="Y168">
        <v>4</v>
      </c>
      <c r="Z168">
        <v>5</v>
      </c>
      <c r="AA168">
        <v>4</v>
      </c>
      <c r="AB168">
        <v>1</v>
      </c>
      <c r="AC168">
        <v>1</v>
      </c>
      <c r="AD168">
        <v>4</v>
      </c>
      <c r="AE168">
        <v>6</v>
      </c>
      <c r="AF168">
        <v>11</v>
      </c>
      <c r="AG168">
        <v>9</v>
      </c>
      <c r="AH168">
        <v>11</v>
      </c>
    </row>
    <row r="169" spans="1:34" x14ac:dyDescent="0.2">
      <c r="A169" t="s">
        <v>34</v>
      </c>
      <c r="B169" t="s">
        <v>35</v>
      </c>
      <c r="C169">
        <v>17</v>
      </c>
      <c r="D169" t="s">
        <v>36</v>
      </c>
      <c r="E169" t="s">
        <v>37</v>
      </c>
      <c r="F169" t="s">
        <v>45</v>
      </c>
      <c r="G169">
        <v>4</v>
      </c>
      <c r="H169">
        <v>4</v>
      </c>
      <c r="I169" t="s">
        <v>46</v>
      </c>
      <c r="J169" t="s">
        <v>40</v>
      </c>
      <c r="K169" t="s">
        <v>41</v>
      </c>
      <c r="L169" t="s">
        <v>42</v>
      </c>
      <c r="M169">
        <v>1</v>
      </c>
      <c r="N169">
        <v>1</v>
      </c>
      <c r="O169">
        <v>0</v>
      </c>
      <c r="P169" t="s">
        <v>43</v>
      </c>
      <c r="Q169" t="s">
        <v>43</v>
      </c>
      <c r="R169" t="s">
        <v>44</v>
      </c>
      <c r="S169">
        <f t="shared" si="2"/>
        <v>0</v>
      </c>
      <c r="T169" t="s">
        <v>44</v>
      </c>
      <c r="U169" t="s">
        <v>43</v>
      </c>
      <c r="V169" t="s">
        <v>43</v>
      </c>
      <c r="W169" t="s">
        <v>44</v>
      </c>
      <c r="X169" t="s">
        <v>43</v>
      </c>
      <c r="Y169">
        <v>4</v>
      </c>
      <c r="Z169">
        <v>2</v>
      </c>
      <c r="AA169">
        <v>1</v>
      </c>
      <c r="AB169">
        <v>1</v>
      </c>
      <c r="AC169">
        <v>1</v>
      </c>
      <c r="AD169">
        <v>4</v>
      </c>
      <c r="AE169">
        <v>0</v>
      </c>
      <c r="AF169">
        <v>13</v>
      </c>
      <c r="AG169">
        <v>13</v>
      </c>
      <c r="AH169">
        <v>13</v>
      </c>
    </row>
    <row r="170" spans="1:34" x14ac:dyDescent="0.2">
      <c r="A170" t="s">
        <v>34</v>
      </c>
      <c r="B170" t="s">
        <v>51</v>
      </c>
      <c r="C170">
        <v>15</v>
      </c>
      <c r="D170" t="s">
        <v>53</v>
      </c>
      <c r="E170" t="s">
        <v>37</v>
      </c>
      <c r="F170" t="s">
        <v>45</v>
      </c>
      <c r="G170">
        <v>2</v>
      </c>
      <c r="H170">
        <v>3</v>
      </c>
      <c r="I170" t="s">
        <v>39</v>
      </c>
      <c r="J170" t="s">
        <v>49</v>
      </c>
      <c r="K170" t="s">
        <v>41</v>
      </c>
      <c r="L170" t="s">
        <v>42</v>
      </c>
      <c r="M170">
        <v>1</v>
      </c>
      <c r="N170">
        <v>2</v>
      </c>
      <c r="O170">
        <v>0</v>
      </c>
      <c r="P170" t="s">
        <v>43</v>
      </c>
      <c r="Q170" t="s">
        <v>44</v>
      </c>
      <c r="R170" t="s">
        <v>43</v>
      </c>
      <c r="S170">
        <f t="shared" si="2"/>
        <v>1</v>
      </c>
      <c r="T170" t="s">
        <v>43</v>
      </c>
      <c r="U170" t="s">
        <v>43</v>
      </c>
      <c r="V170" t="s">
        <v>43</v>
      </c>
      <c r="W170" t="s">
        <v>44</v>
      </c>
      <c r="X170" t="s">
        <v>44</v>
      </c>
      <c r="Y170">
        <v>4</v>
      </c>
      <c r="Z170">
        <v>4</v>
      </c>
      <c r="AA170">
        <v>4</v>
      </c>
      <c r="AB170">
        <v>1</v>
      </c>
      <c r="AC170">
        <v>1</v>
      </c>
      <c r="AD170">
        <v>1</v>
      </c>
      <c r="AE170">
        <v>0</v>
      </c>
      <c r="AF170">
        <v>7</v>
      </c>
      <c r="AG170">
        <v>8</v>
      </c>
      <c r="AH170">
        <v>8</v>
      </c>
    </row>
    <row r="171" spans="1:34" x14ac:dyDescent="0.2">
      <c r="A171" t="s">
        <v>34</v>
      </c>
      <c r="B171" t="s">
        <v>51</v>
      </c>
      <c r="C171">
        <v>17</v>
      </c>
      <c r="D171" t="s">
        <v>53</v>
      </c>
      <c r="E171" t="s">
        <v>48</v>
      </c>
      <c r="F171" t="s">
        <v>45</v>
      </c>
      <c r="G171">
        <v>1</v>
      </c>
      <c r="H171">
        <v>2</v>
      </c>
      <c r="I171" t="s">
        <v>46</v>
      </c>
      <c r="J171" t="s">
        <v>46</v>
      </c>
      <c r="K171" t="s">
        <v>52</v>
      </c>
      <c r="L171" t="s">
        <v>42</v>
      </c>
      <c r="M171">
        <v>1</v>
      </c>
      <c r="N171">
        <v>1</v>
      </c>
      <c r="O171">
        <v>3</v>
      </c>
      <c r="P171" t="s">
        <v>44</v>
      </c>
      <c r="Q171" t="s">
        <v>44</v>
      </c>
      <c r="R171" t="s">
        <v>44</v>
      </c>
      <c r="S171">
        <f t="shared" si="2"/>
        <v>0</v>
      </c>
      <c r="T171" t="s">
        <v>44</v>
      </c>
      <c r="U171" t="s">
        <v>43</v>
      </c>
      <c r="V171" t="s">
        <v>43</v>
      </c>
      <c r="W171" t="s">
        <v>44</v>
      </c>
      <c r="X171" t="s">
        <v>44</v>
      </c>
      <c r="Y171">
        <v>2</v>
      </c>
      <c r="Z171">
        <v>2</v>
      </c>
      <c r="AA171">
        <v>2</v>
      </c>
      <c r="AB171">
        <v>3</v>
      </c>
      <c r="AC171">
        <v>3</v>
      </c>
      <c r="AD171">
        <v>5</v>
      </c>
      <c r="AE171">
        <v>14</v>
      </c>
      <c r="AF171">
        <v>9</v>
      </c>
      <c r="AG171">
        <v>8</v>
      </c>
      <c r="AH171">
        <v>10</v>
      </c>
    </row>
    <row r="172" spans="1:34" x14ac:dyDescent="0.2">
      <c r="A172" t="s">
        <v>34</v>
      </c>
      <c r="B172" t="s">
        <v>35</v>
      </c>
      <c r="C172">
        <v>18</v>
      </c>
      <c r="D172" t="s">
        <v>53</v>
      </c>
      <c r="E172" t="s">
        <v>37</v>
      </c>
      <c r="F172" t="s">
        <v>45</v>
      </c>
      <c r="G172">
        <v>1</v>
      </c>
      <c r="H172">
        <v>1</v>
      </c>
      <c r="I172" t="s">
        <v>39</v>
      </c>
      <c r="J172" t="s">
        <v>46</v>
      </c>
      <c r="K172" t="s">
        <v>41</v>
      </c>
      <c r="L172" t="s">
        <v>42</v>
      </c>
      <c r="M172">
        <v>3</v>
      </c>
      <c r="N172">
        <v>1</v>
      </c>
      <c r="O172">
        <v>3</v>
      </c>
      <c r="P172" t="s">
        <v>44</v>
      </c>
      <c r="Q172" t="s">
        <v>43</v>
      </c>
      <c r="R172" t="s">
        <v>44</v>
      </c>
      <c r="S172">
        <f t="shared" si="2"/>
        <v>0</v>
      </c>
      <c r="T172" t="s">
        <v>43</v>
      </c>
      <c r="U172" t="s">
        <v>44</v>
      </c>
      <c r="V172" t="s">
        <v>43</v>
      </c>
      <c r="W172" t="s">
        <v>44</v>
      </c>
      <c r="X172" t="s">
        <v>44</v>
      </c>
      <c r="Y172">
        <v>5</v>
      </c>
      <c r="Z172">
        <v>2</v>
      </c>
      <c r="AA172">
        <v>5</v>
      </c>
      <c r="AB172">
        <v>1</v>
      </c>
      <c r="AC172">
        <v>5</v>
      </c>
      <c r="AD172">
        <v>4</v>
      </c>
      <c r="AE172">
        <v>6</v>
      </c>
      <c r="AF172">
        <v>11</v>
      </c>
      <c r="AG172">
        <v>10</v>
      </c>
      <c r="AH172">
        <v>11</v>
      </c>
    </row>
    <row r="173" spans="1:34" x14ac:dyDescent="0.2">
      <c r="A173" t="s">
        <v>34</v>
      </c>
      <c r="B173" t="s">
        <v>51</v>
      </c>
      <c r="C173">
        <v>16</v>
      </c>
      <c r="D173" t="s">
        <v>53</v>
      </c>
      <c r="E173" t="s">
        <v>37</v>
      </c>
      <c r="F173" t="s">
        <v>45</v>
      </c>
      <c r="G173">
        <v>2</v>
      </c>
      <c r="H173">
        <v>2</v>
      </c>
      <c r="I173" t="s">
        <v>39</v>
      </c>
      <c r="J173" t="s">
        <v>46</v>
      </c>
      <c r="K173" t="s">
        <v>41</v>
      </c>
      <c r="L173" t="s">
        <v>42</v>
      </c>
      <c r="M173">
        <v>3</v>
      </c>
      <c r="N173">
        <v>1</v>
      </c>
      <c r="O173">
        <v>0</v>
      </c>
      <c r="P173" t="s">
        <v>44</v>
      </c>
      <c r="Q173" t="s">
        <v>44</v>
      </c>
      <c r="R173" t="s">
        <v>44</v>
      </c>
      <c r="S173">
        <f t="shared" si="2"/>
        <v>0</v>
      </c>
      <c r="T173" t="s">
        <v>44</v>
      </c>
      <c r="U173" t="s">
        <v>44</v>
      </c>
      <c r="V173" t="s">
        <v>43</v>
      </c>
      <c r="W173" t="s">
        <v>44</v>
      </c>
      <c r="X173" t="s">
        <v>44</v>
      </c>
      <c r="Y173">
        <v>4</v>
      </c>
      <c r="Z173">
        <v>2</v>
      </c>
      <c r="AA173">
        <v>2</v>
      </c>
      <c r="AB173">
        <v>1</v>
      </c>
      <c r="AC173">
        <v>2</v>
      </c>
      <c r="AD173">
        <v>3</v>
      </c>
      <c r="AE173">
        <v>4</v>
      </c>
      <c r="AF173">
        <v>12</v>
      </c>
      <c r="AG173">
        <v>10</v>
      </c>
      <c r="AH173">
        <v>11</v>
      </c>
    </row>
    <row r="174" spans="1:34" x14ac:dyDescent="0.2">
      <c r="A174" t="s">
        <v>34</v>
      </c>
      <c r="B174" t="s">
        <v>51</v>
      </c>
      <c r="C174">
        <v>16</v>
      </c>
      <c r="D174" t="s">
        <v>36</v>
      </c>
      <c r="E174" t="s">
        <v>37</v>
      </c>
      <c r="F174" t="s">
        <v>45</v>
      </c>
      <c r="G174">
        <v>3</v>
      </c>
      <c r="H174">
        <v>3</v>
      </c>
      <c r="I174" t="s">
        <v>46</v>
      </c>
      <c r="J174" t="s">
        <v>49</v>
      </c>
      <c r="K174" t="s">
        <v>41</v>
      </c>
      <c r="L174" t="s">
        <v>47</v>
      </c>
      <c r="M174">
        <v>1</v>
      </c>
      <c r="N174">
        <v>2</v>
      </c>
      <c r="O174">
        <v>1</v>
      </c>
      <c r="P174" t="s">
        <v>44</v>
      </c>
      <c r="Q174" t="s">
        <v>43</v>
      </c>
      <c r="R174" t="s">
        <v>44</v>
      </c>
      <c r="S174">
        <f t="shared" si="2"/>
        <v>0</v>
      </c>
      <c r="T174" t="s">
        <v>44</v>
      </c>
      <c r="U174" t="s">
        <v>43</v>
      </c>
      <c r="V174" t="s">
        <v>43</v>
      </c>
      <c r="W174" t="s">
        <v>43</v>
      </c>
      <c r="X174" t="s">
        <v>43</v>
      </c>
      <c r="Y174">
        <v>4</v>
      </c>
      <c r="Z174">
        <v>5</v>
      </c>
      <c r="AA174">
        <v>5</v>
      </c>
      <c r="AB174">
        <v>4</v>
      </c>
      <c r="AC174">
        <v>4</v>
      </c>
      <c r="AD174">
        <v>5</v>
      </c>
      <c r="AE174">
        <v>0</v>
      </c>
      <c r="AF174">
        <v>10</v>
      </c>
      <c r="AG174">
        <v>10</v>
      </c>
      <c r="AH174">
        <v>1</v>
      </c>
    </row>
    <row r="175" spans="1:34" x14ac:dyDescent="0.2">
      <c r="A175" t="s">
        <v>34</v>
      </c>
      <c r="B175" t="s">
        <v>51</v>
      </c>
      <c r="C175">
        <v>16</v>
      </c>
      <c r="D175" t="s">
        <v>36</v>
      </c>
      <c r="E175" t="s">
        <v>48</v>
      </c>
      <c r="F175" t="s">
        <v>45</v>
      </c>
      <c r="G175">
        <v>1</v>
      </c>
      <c r="H175">
        <v>2</v>
      </c>
      <c r="I175" t="s">
        <v>29</v>
      </c>
      <c r="J175" t="s">
        <v>49</v>
      </c>
      <c r="K175" t="s">
        <v>41</v>
      </c>
      <c r="L175" t="s">
        <v>42</v>
      </c>
      <c r="M175">
        <v>2</v>
      </c>
      <c r="N175">
        <v>1</v>
      </c>
      <c r="O175">
        <v>2</v>
      </c>
      <c r="P175" t="s">
        <v>44</v>
      </c>
      <c r="Q175" t="s">
        <v>44</v>
      </c>
      <c r="R175" t="s">
        <v>44</v>
      </c>
      <c r="S175">
        <f t="shared" si="2"/>
        <v>0</v>
      </c>
      <c r="T175" t="s">
        <v>44</v>
      </c>
      <c r="U175" t="s">
        <v>44</v>
      </c>
      <c r="V175" t="s">
        <v>43</v>
      </c>
      <c r="W175" t="s">
        <v>43</v>
      </c>
      <c r="X175" t="s">
        <v>44</v>
      </c>
      <c r="Y175">
        <v>4</v>
      </c>
      <c r="Z175">
        <v>4</v>
      </c>
      <c r="AA175">
        <v>5</v>
      </c>
      <c r="AB175">
        <v>3</v>
      </c>
      <c r="AC175">
        <v>5</v>
      </c>
      <c r="AD175">
        <v>5</v>
      </c>
      <c r="AE175">
        <v>0</v>
      </c>
      <c r="AF175">
        <v>9</v>
      </c>
      <c r="AG175">
        <v>8</v>
      </c>
      <c r="AH175">
        <v>10</v>
      </c>
    </row>
    <row r="176" spans="1:34" x14ac:dyDescent="0.2">
      <c r="A176" t="s">
        <v>34</v>
      </c>
      <c r="B176" t="s">
        <v>51</v>
      </c>
      <c r="C176">
        <v>17</v>
      </c>
      <c r="D176" t="s">
        <v>53</v>
      </c>
      <c r="E176" t="s">
        <v>48</v>
      </c>
      <c r="F176" t="s">
        <v>45</v>
      </c>
      <c r="G176">
        <v>2</v>
      </c>
      <c r="H176">
        <v>1</v>
      </c>
      <c r="I176" t="s">
        <v>39</v>
      </c>
      <c r="J176" t="s">
        <v>46</v>
      </c>
      <c r="K176" t="s">
        <v>41</v>
      </c>
      <c r="L176" t="s">
        <v>42</v>
      </c>
      <c r="M176">
        <v>2</v>
      </c>
      <c r="N176">
        <v>1</v>
      </c>
      <c r="O176">
        <v>1</v>
      </c>
      <c r="P176" t="s">
        <v>44</v>
      </c>
      <c r="Q176" t="s">
        <v>44</v>
      </c>
      <c r="R176" t="s">
        <v>43</v>
      </c>
      <c r="S176">
        <f t="shared" si="2"/>
        <v>1</v>
      </c>
      <c r="T176" t="s">
        <v>43</v>
      </c>
      <c r="U176" t="s">
        <v>43</v>
      </c>
      <c r="V176" t="s">
        <v>44</v>
      </c>
      <c r="W176" t="s">
        <v>43</v>
      </c>
      <c r="X176" t="s">
        <v>43</v>
      </c>
      <c r="Y176">
        <v>3</v>
      </c>
      <c r="Z176">
        <v>3</v>
      </c>
      <c r="AA176">
        <v>2</v>
      </c>
      <c r="AB176">
        <v>2</v>
      </c>
      <c r="AC176">
        <v>2</v>
      </c>
      <c r="AD176">
        <v>5</v>
      </c>
      <c r="AE176">
        <v>8</v>
      </c>
      <c r="AF176">
        <v>8</v>
      </c>
      <c r="AG176">
        <v>8</v>
      </c>
      <c r="AH176">
        <v>9</v>
      </c>
    </row>
    <row r="177" spans="1:34" x14ac:dyDescent="0.2">
      <c r="A177" t="s">
        <v>34</v>
      </c>
      <c r="B177" t="s">
        <v>51</v>
      </c>
      <c r="C177">
        <v>17</v>
      </c>
      <c r="D177" t="s">
        <v>53</v>
      </c>
      <c r="E177" t="s">
        <v>37</v>
      </c>
      <c r="F177" t="s">
        <v>45</v>
      </c>
      <c r="G177">
        <v>3</v>
      </c>
      <c r="H177">
        <v>2</v>
      </c>
      <c r="I177" t="s">
        <v>46</v>
      </c>
      <c r="J177" t="s">
        <v>46</v>
      </c>
      <c r="K177" t="s">
        <v>41</v>
      </c>
      <c r="L177" t="s">
        <v>42</v>
      </c>
      <c r="M177">
        <v>2</v>
      </c>
      <c r="N177">
        <v>2</v>
      </c>
      <c r="O177">
        <v>2</v>
      </c>
      <c r="P177" t="s">
        <v>43</v>
      </c>
      <c r="Q177" t="s">
        <v>43</v>
      </c>
      <c r="R177" t="s">
        <v>44</v>
      </c>
      <c r="S177">
        <f t="shared" si="2"/>
        <v>0</v>
      </c>
      <c r="T177" t="s">
        <v>44</v>
      </c>
      <c r="U177" t="s">
        <v>43</v>
      </c>
      <c r="V177" t="s">
        <v>43</v>
      </c>
      <c r="W177" t="s">
        <v>43</v>
      </c>
      <c r="X177" t="s">
        <v>43</v>
      </c>
      <c r="Y177">
        <v>4</v>
      </c>
      <c r="Z177">
        <v>4</v>
      </c>
      <c r="AA177">
        <v>4</v>
      </c>
      <c r="AB177">
        <v>1</v>
      </c>
      <c r="AC177">
        <v>4</v>
      </c>
      <c r="AD177">
        <v>3</v>
      </c>
      <c r="AE177">
        <v>4</v>
      </c>
      <c r="AF177">
        <v>7</v>
      </c>
      <c r="AG177">
        <v>6</v>
      </c>
      <c r="AH177">
        <v>8</v>
      </c>
    </row>
    <row r="178" spans="1:34" x14ac:dyDescent="0.2">
      <c r="A178" t="s">
        <v>34</v>
      </c>
      <c r="B178" t="s">
        <v>51</v>
      </c>
      <c r="C178">
        <v>15</v>
      </c>
      <c r="D178" t="s">
        <v>36</v>
      </c>
      <c r="E178" t="s">
        <v>48</v>
      </c>
      <c r="F178" t="s">
        <v>45</v>
      </c>
      <c r="G178">
        <v>1</v>
      </c>
      <c r="H178">
        <v>2</v>
      </c>
      <c r="I178" t="s">
        <v>46</v>
      </c>
      <c r="J178" t="s">
        <v>46</v>
      </c>
      <c r="K178" t="s">
        <v>41</v>
      </c>
      <c r="L178" t="s">
        <v>42</v>
      </c>
      <c r="M178">
        <v>2</v>
      </c>
      <c r="N178">
        <v>1</v>
      </c>
      <c r="O178">
        <v>0</v>
      </c>
      <c r="P178" t="s">
        <v>44</v>
      </c>
      <c r="Q178" t="s">
        <v>44</v>
      </c>
      <c r="R178" t="s">
        <v>44</v>
      </c>
      <c r="S178">
        <f t="shared" si="2"/>
        <v>0</v>
      </c>
      <c r="T178" t="s">
        <v>43</v>
      </c>
      <c r="U178" t="s">
        <v>43</v>
      </c>
      <c r="V178" t="s">
        <v>43</v>
      </c>
      <c r="W178" t="s">
        <v>44</v>
      </c>
      <c r="X178" t="s">
        <v>44</v>
      </c>
      <c r="Y178">
        <v>4</v>
      </c>
      <c r="Z178">
        <v>4</v>
      </c>
      <c r="AA178">
        <v>4</v>
      </c>
      <c r="AB178">
        <v>2</v>
      </c>
      <c r="AC178">
        <v>4</v>
      </c>
      <c r="AD178">
        <v>5</v>
      </c>
      <c r="AE178">
        <v>2</v>
      </c>
      <c r="AF178">
        <v>8</v>
      </c>
      <c r="AG178">
        <v>9</v>
      </c>
      <c r="AH178">
        <v>10</v>
      </c>
    </row>
    <row r="179" spans="1:34" x14ac:dyDescent="0.2">
      <c r="A179" t="s">
        <v>34</v>
      </c>
      <c r="B179" t="s">
        <v>51</v>
      </c>
      <c r="C179">
        <v>16</v>
      </c>
      <c r="D179" t="s">
        <v>36</v>
      </c>
      <c r="E179" t="s">
        <v>37</v>
      </c>
      <c r="F179" t="s">
        <v>45</v>
      </c>
      <c r="G179">
        <v>1</v>
      </c>
      <c r="H179">
        <v>3</v>
      </c>
      <c r="I179" t="s">
        <v>39</v>
      </c>
      <c r="J179" t="s">
        <v>49</v>
      </c>
      <c r="K179" t="s">
        <v>41</v>
      </c>
      <c r="L179" t="s">
        <v>47</v>
      </c>
      <c r="M179">
        <v>1</v>
      </c>
      <c r="N179">
        <v>1</v>
      </c>
      <c r="O179">
        <v>1</v>
      </c>
      <c r="P179" t="s">
        <v>44</v>
      </c>
      <c r="Q179" t="s">
        <v>44</v>
      </c>
      <c r="R179" t="s">
        <v>44</v>
      </c>
      <c r="S179">
        <f t="shared" si="2"/>
        <v>0</v>
      </c>
      <c r="T179" t="s">
        <v>44</v>
      </c>
      <c r="U179" t="s">
        <v>43</v>
      </c>
      <c r="V179" t="s">
        <v>44</v>
      </c>
      <c r="W179" t="s">
        <v>43</v>
      </c>
      <c r="X179" t="s">
        <v>44</v>
      </c>
      <c r="Y179">
        <v>5</v>
      </c>
      <c r="Z179">
        <v>3</v>
      </c>
      <c r="AA179">
        <v>3</v>
      </c>
      <c r="AB179">
        <v>1</v>
      </c>
      <c r="AC179">
        <v>4</v>
      </c>
      <c r="AD179">
        <v>2</v>
      </c>
      <c r="AE179">
        <v>2</v>
      </c>
      <c r="AF179">
        <v>9</v>
      </c>
      <c r="AG179">
        <v>8</v>
      </c>
      <c r="AH179">
        <v>8</v>
      </c>
    </row>
    <row r="180" spans="1:34" x14ac:dyDescent="0.2">
      <c r="A180" t="s">
        <v>34</v>
      </c>
      <c r="B180" t="s">
        <v>51</v>
      </c>
      <c r="C180">
        <v>17</v>
      </c>
      <c r="D180" t="s">
        <v>53</v>
      </c>
      <c r="E180" t="s">
        <v>48</v>
      </c>
      <c r="F180" t="s">
        <v>45</v>
      </c>
      <c r="G180">
        <v>1</v>
      </c>
      <c r="H180">
        <v>1</v>
      </c>
      <c r="I180" t="s">
        <v>46</v>
      </c>
      <c r="J180" t="s">
        <v>49</v>
      </c>
      <c r="K180" t="s">
        <v>41</v>
      </c>
      <c r="L180" t="s">
        <v>42</v>
      </c>
      <c r="M180">
        <v>4</v>
      </c>
      <c r="N180">
        <v>2</v>
      </c>
      <c r="O180">
        <v>0</v>
      </c>
      <c r="P180" t="s">
        <v>44</v>
      </c>
      <c r="Q180" t="s">
        <v>44</v>
      </c>
      <c r="R180" t="s">
        <v>44</v>
      </c>
      <c r="S180">
        <f t="shared" si="2"/>
        <v>0</v>
      </c>
      <c r="T180" t="s">
        <v>43</v>
      </c>
      <c r="U180" t="s">
        <v>43</v>
      </c>
      <c r="V180" t="s">
        <v>44</v>
      </c>
      <c r="W180" t="s">
        <v>44</v>
      </c>
      <c r="X180" t="s">
        <v>43</v>
      </c>
      <c r="Y180">
        <v>5</v>
      </c>
      <c r="Z180">
        <v>3</v>
      </c>
      <c r="AA180">
        <v>5</v>
      </c>
      <c r="AB180">
        <v>1</v>
      </c>
      <c r="AC180">
        <v>5</v>
      </c>
      <c r="AD180">
        <v>5</v>
      </c>
      <c r="AE180">
        <v>0</v>
      </c>
      <c r="AF180">
        <v>8</v>
      </c>
      <c r="AG180">
        <v>8</v>
      </c>
      <c r="AH180">
        <v>8</v>
      </c>
    </row>
    <row r="181" spans="1:34" x14ac:dyDescent="0.2">
      <c r="A181" t="s">
        <v>34</v>
      </c>
      <c r="B181" t="s">
        <v>51</v>
      </c>
      <c r="C181">
        <v>17</v>
      </c>
      <c r="D181" t="s">
        <v>36</v>
      </c>
      <c r="E181" t="s">
        <v>37</v>
      </c>
      <c r="F181" t="s">
        <v>45</v>
      </c>
      <c r="G181">
        <v>3</v>
      </c>
      <c r="H181">
        <v>2</v>
      </c>
      <c r="I181" t="s">
        <v>49</v>
      </c>
      <c r="J181" t="s">
        <v>49</v>
      </c>
      <c r="K181" t="s">
        <v>41</v>
      </c>
      <c r="L181" t="s">
        <v>42</v>
      </c>
      <c r="M181">
        <v>2</v>
      </c>
      <c r="N181">
        <v>1</v>
      </c>
      <c r="O181">
        <v>3</v>
      </c>
      <c r="P181" t="s">
        <v>44</v>
      </c>
      <c r="Q181" t="s">
        <v>43</v>
      </c>
      <c r="R181" t="s">
        <v>44</v>
      </c>
      <c r="S181">
        <f t="shared" si="2"/>
        <v>0</v>
      </c>
      <c r="T181" t="s">
        <v>43</v>
      </c>
      <c r="U181" t="s">
        <v>44</v>
      </c>
      <c r="V181" t="s">
        <v>44</v>
      </c>
      <c r="W181" t="s">
        <v>44</v>
      </c>
      <c r="X181" t="s">
        <v>44</v>
      </c>
      <c r="Y181">
        <v>4</v>
      </c>
      <c r="Z181">
        <v>5</v>
      </c>
      <c r="AA181">
        <v>2</v>
      </c>
      <c r="AB181">
        <v>1</v>
      </c>
      <c r="AC181">
        <v>1</v>
      </c>
      <c r="AD181">
        <v>2</v>
      </c>
      <c r="AE181">
        <v>10</v>
      </c>
      <c r="AF181">
        <v>8</v>
      </c>
      <c r="AG181">
        <v>7</v>
      </c>
      <c r="AH181">
        <v>8</v>
      </c>
    </row>
    <row r="182" spans="1:34" x14ac:dyDescent="0.2">
      <c r="A182" t="s">
        <v>34</v>
      </c>
      <c r="B182" t="s">
        <v>51</v>
      </c>
      <c r="C182">
        <v>16</v>
      </c>
      <c r="D182" t="s">
        <v>36</v>
      </c>
      <c r="E182" t="s">
        <v>37</v>
      </c>
      <c r="F182" t="s">
        <v>45</v>
      </c>
      <c r="G182">
        <v>2</v>
      </c>
      <c r="H182">
        <v>2</v>
      </c>
      <c r="I182" t="s">
        <v>46</v>
      </c>
      <c r="J182" t="s">
        <v>46</v>
      </c>
      <c r="K182" t="s">
        <v>41</v>
      </c>
      <c r="L182" t="s">
        <v>47</v>
      </c>
      <c r="M182">
        <v>1</v>
      </c>
      <c r="N182">
        <v>2</v>
      </c>
      <c r="O182">
        <v>0</v>
      </c>
      <c r="P182" t="s">
        <v>44</v>
      </c>
      <c r="Q182" t="s">
        <v>44</v>
      </c>
      <c r="R182" t="s">
        <v>44</v>
      </c>
      <c r="S182">
        <f t="shared" si="2"/>
        <v>0</v>
      </c>
      <c r="T182" t="s">
        <v>44</v>
      </c>
      <c r="U182" t="s">
        <v>43</v>
      </c>
      <c r="V182" t="s">
        <v>44</v>
      </c>
      <c r="W182" t="s">
        <v>43</v>
      </c>
      <c r="X182" t="s">
        <v>44</v>
      </c>
      <c r="Y182">
        <v>4</v>
      </c>
      <c r="Z182">
        <v>3</v>
      </c>
      <c r="AA182">
        <v>5</v>
      </c>
      <c r="AB182">
        <v>2</v>
      </c>
      <c r="AC182">
        <v>4</v>
      </c>
      <c r="AD182">
        <v>4</v>
      </c>
      <c r="AE182">
        <v>0</v>
      </c>
      <c r="AF182">
        <v>9</v>
      </c>
      <c r="AG182">
        <v>10</v>
      </c>
      <c r="AH182">
        <v>11</v>
      </c>
    </row>
    <row r="183" spans="1:34" x14ac:dyDescent="0.2">
      <c r="A183" t="s">
        <v>34</v>
      </c>
      <c r="B183" t="s">
        <v>35</v>
      </c>
      <c r="C183">
        <v>16</v>
      </c>
      <c r="D183" t="s">
        <v>36</v>
      </c>
      <c r="E183" t="s">
        <v>37</v>
      </c>
      <c r="F183" t="s">
        <v>45</v>
      </c>
      <c r="G183">
        <v>4</v>
      </c>
      <c r="H183">
        <v>2</v>
      </c>
      <c r="I183" t="s">
        <v>29</v>
      </c>
      <c r="J183" t="s">
        <v>49</v>
      </c>
      <c r="K183" t="s">
        <v>50</v>
      </c>
      <c r="L183" t="s">
        <v>47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44</v>
      </c>
      <c r="S183">
        <f t="shared" si="2"/>
        <v>0</v>
      </c>
      <c r="T183" t="s">
        <v>44</v>
      </c>
      <c r="U183" t="s">
        <v>43</v>
      </c>
      <c r="V183" t="s">
        <v>43</v>
      </c>
      <c r="W183" t="s">
        <v>43</v>
      </c>
      <c r="X183" t="s">
        <v>43</v>
      </c>
      <c r="Y183">
        <v>4</v>
      </c>
      <c r="Z183">
        <v>2</v>
      </c>
      <c r="AA183">
        <v>3</v>
      </c>
      <c r="AB183">
        <v>1</v>
      </c>
      <c r="AC183">
        <v>1</v>
      </c>
      <c r="AD183">
        <v>3</v>
      </c>
      <c r="AE183">
        <v>0</v>
      </c>
      <c r="AF183">
        <v>17</v>
      </c>
      <c r="AG183">
        <v>17</v>
      </c>
      <c r="AH183">
        <v>18</v>
      </c>
    </row>
    <row r="184" spans="1:34" x14ac:dyDescent="0.2">
      <c r="A184" t="s">
        <v>34</v>
      </c>
      <c r="B184" t="s">
        <v>35</v>
      </c>
      <c r="C184">
        <v>16</v>
      </c>
      <c r="D184" t="s">
        <v>36</v>
      </c>
      <c r="E184" t="s">
        <v>37</v>
      </c>
      <c r="F184" t="s">
        <v>45</v>
      </c>
      <c r="G184">
        <v>2</v>
      </c>
      <c r="H184">
        <v>2</v>
      </c>
      <c r="I184" t="s">
        <v>46</v>
      </c>
      <c r="J184" t="s">
        <v>46</v>
      </c>
      <c r="K184" t="s">
        <v>50</v>
      </c>
      <c r="L184" t="s">
        <v>42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>
        <f t="shared" si="2"/>
        <v>0</v>
      </c>
      <c r="T184" t="s">
        <v>44</v>
      </c>
      <c r="U184" t="s">
        <v>44</v>
      </c>
      <c r="V184" t="s">
        <v>43</v>
      </c>
      <c r="W184" t="s">
        <v>43</v>
      </c>
      <c r="X184" t="s">
        <v>44</v>
      </c>
      <c r="Y184">
        <v>5</v>
      </c>
      <c r="Z184">
        <v>1</v>
      </c>
      <c r="AA184">
        <v>5</v>
      </c>
      <c r="AB184">
        <v>1</v>
      </c>
      <c r="AC184">
        <v>1</v>
      </c>
      <c r="AD184">
        <v>4</v>
      </c>
      <c r="AE184">
        <v>0</v>
      </c>
      <c r="AF184">
        <v>12</v>
      </c>
      <c r="AG184">
        <v>12</v>
      </c>
      <c r="AH184">
        <v>13</v>
      </c>
    </row>
    <row r="185" spans="1:34" x14ac:dyDescent="0.2">
      <c r="A185" t="s">
        <v>34</v>
      </c>
      <c r="B185" t="s">
        <v>35</v>
      </c>
      <c r="C185">
        <v>16</v>
      </c>
      <c r="D185" t="s">
        <v>36</v>
      </c>
      <c r="E185" t="s">
        <v>37</v>
      </c>
      <c r="F185" t="s">
        <v>45</v>
      </c>
      <c r="G185">
        <v>4</v>
      </c>
      <c r="H185">
        <v>4</v>
      </c>
      <c r="I185" t="s">
        <v>29</v>
      </c>
      <c r="J185" t="s">
        <v>29</v>
      </c>
      <c r="K185" t="s">
        <v>52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>
        <f t="shared" si="2"/>
        <v>0</v>
      </c>
      <c r="T185" t="s">
        <v>44</v>
      </c>
      <c r="U185" t="s">
        <v>43</v>
      </c>
      <c r="V185" t="s">
        <v>43</v>
      </c>
      <c r="W185" t="s">
        <v>43</v>
      </c>
      <c r="X185" t="s">
        <v>43</v>
      </c>
      <c r="Y185">
        <v>4</v>
      </c>
      <c r="Z185">
        <v>4</v>
      </c>
      <c r="AA185">
        <v>2</v>
      </c>
      <c r="AB185">
        <v>1</v>
      </c>
      <c r="AC185">
        <v>1</v>
      </c>
      <c r="AD185">
        <v>3</v>
      </c>
      <c r="AE185">
        <v>0</v>
      </c>
      <c r="AF185">
        <v>16</v>
      </c>
      <c r="AG185">
        <v>16</v>
      </c>
      <c r="AH185">
        <v>17</v>
      </c>
    </row>
    <row r="186" spans="1:34" x14ac:dyDescent="0.2">
      <c r="A186" t="s">
        <v>34</v>
      </c>
      <c r="B186" t="s">
        <v>51</v>
      </c>
      <c r="C186">
        <v>16</v>
      </c>
      <c r="D186" t="s">
        <v>36</v>
      </c>
      <c r="E186" t="s">
        <v>37</v>
      </c>
      <c r="F186" t="s">
        <v>45</v>
      </c>
      <c r="G186">
        <v>3</v>
      </c>
      <c r="H186">
        <v>4</v>
      </c>
      <c r="I186" t="s">
        <v>46</v>
      </c>
      <c r="J186" t="s">
        <v>46</v>
      </c>
      <c r="K186" t="s">
        <v>41</v>
      </c>
      <c r="L186" t="s">
        <v>47</v>
      </c>
      <c r="M186">
        <v>3</v>
      </c>
      <c r="N186">
        <v>1</v>
      </c>
      <c r="O186">
        <v>1</v>
      </c>
      <c r="P186" t="s">
        <v>44</v>
      </c>
      <c r="Q186" t="s">
        <v>43</v>
      </c>
      <c r="R186" t="s">
        <v>44</v>
      </c>
      <c r="S186">
        <f t="shared" si="2"/>
        <v>0</v>
      </c>
      <c r="T186" t="s">
        <v>43</v>
      </c>
      <c r="U186" t="s">
        <v>44</v>
      </c>
      <c r="V186" t="s">
        <v>43</v>
      </c>
      <c r="W186" t="s">
        <v>43</v>
      </c>
      <c r="X186" t="s">
        <v>44</v>
      </c>
      <c r="Y186">
        <v>3</v>
      </c>
      <c r="Z186">
        <v>4</v>
      </c>
      <c r="AA186">
        <v>5</v>
      </c>
      <c r="AB186">
        <v>2</v>
      </c>
      <c r="AC186">
        <v>4</v>
      </c>
      <c r="AD186">
        <v>2</v>
      </c>
      <c r="AE186">
        <v>4</v>
      </c>
      <c r="AF186">
        <v>9</v>
      </c>
      <c r="AG186">
        <v>9</v>
      </c>
      <c r="AH186">
        <v>10</v>
      </c>
    </row>
    <row r="187" spans="1:34" x14ac:dyDescent="0.2">
      <c r="A187" t="s">
        <v>34</v>
      </c>
      <c r="B187" t="s">
        <v>51</v>
      </c>
      <c r="C187">
        <v>16</v>
      </c>
      <c r="D187" t="s">
        <v>36</v>
      </c>
      <c r="E187" t="s">
        <v>37</v>
      </c>
      <c r="F187" t="s">
        <v>45</v>
      </c>
      <c r="G187">
        <v>1</v>
      </c>
      <c r="H187">
        <v>0</v>
      </c>
      <c r="I187" t="s">
        <v>46</v>
      </c>
      <c r="J187" t="s">
        <v>46</v>
      </c>
      <c r="K187" t="s">
        <v>52</v>
      </c>
      <c r="L187" t="s">
        <v>42</v>
      </c>
      <c r="M187">
        <v>2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>
        <f t="shared" si="2"/>
        <v>0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>
        <v>4</v>
      </c>
      <c r="Z187">
        <v>3</v>
      </c>
      <c r="AA187">
        <v>2</v>
      </c>
      <c r="AB187">
        <v>1</v>
      </c>
      <c r="AC187">
        <v>1</v>
      </c>
      <c r="AD187">
        <v>3</v>
      </c>
      <c r="AE187">
        <v>0</v>
      </c>
      <c r="AF187">
        <v>16</v>
      </c>
      <c r="AG187">
        <v>17</v>
      </c>
      <c r="AH187">
        <v>18</v>
      </c>
    </row>
    <row r="188" spans="1:34" x14ac:dyDescent="0.2">
      <c r="A188" t="s">
        <v>34</v>
      </c>
      <c r="B188" t="s">
        <v>51</v>
      </c>
      <c r="C188">
        <v>17</v>
      </c>
      <c r="D188" t="s">
        <v>36</v>
      </c>
      <c r="E188" t="s">
        <v>48</v>
      </c>
      <c r="F188" t="s">
        <v>45</v>
      </c>
      <c r="G188">
        <v>4</v>
      </c>
      <c r="H188">
        <v>4</v>
      </c>
      <c r="I188" t="s">
        <v>40</v>
      </c>
      <c r="J188" t="s">
        <v>46</v>
      </c>
      <c r="K188" t="s">
        <v>52</v>
      </c>
      <c r="L188" t="s">
        <v>42</v>
      </c>
      <c r="M188">
        <v>1</v>
      </c>
      <c r="N188">
        <v>2</v>
      </c>
      <c r="O188">
        <v>0</v>
      </c>
      <c r="P188" t="s">
        <v>44</v>
      </c>
      <c r="Q188" t="s">
        <v>43</v>
      </c>
      <c r="R188" t="s">
        <v>44</v>
      </c>
      <c r="S188">
        <f t="shared" si="2"/>
        <v>0</v>
      </c>
      <c r="T188" t="s">
        <v>43</v>
      </c>
      <c r="U188" t="s">
        <v>43</v>
      </c>
      <c r="V188" t="s">
        <v>43</v>
      </c>
      <c r="W188" t="s">
        <v>43</v>
      </c>
      <c r="X188" t="s">
        <v>44</v>
      </c>
      <c r="Y188">
        <v>4</v>
      </c>
      <c r="Z188">
        <v>4</v>
      </c>
      <c r="AA188">
        <v>4</v>
      </c>
      <c r="AB188">
        <v>1</v>
      </c>
      <c r="AC188">
        <v>3</v>
      </c>
      <c r="AD188">
        <v>5</v>
      </c>
      <c r="AE188">
        <v>0</v>
      </c>
      <c r="AF188">
        <v>11</v>
      </c>
      <c r="AG188">
        <v>9</v>
      </c>
      <c r="AH188">
        <v>10</v>
      </c>
    </row>
    <row r="189" spans="1:34" x14ac:dyDescent="0.2">
      <c r="A189" t="s">
        <v>34</v>
      </c>
      <c r="B189" t="s">
        <v>35</v>
      </c>
      <c r="C189">
        <v>16</v>
      </c>
      <c r="D189" t="s">
        <v>36</v>
      </c>
      <c r="E189" t="s">
        <v>37</v>
      </c>
      <c r="F189" t="s">
        <v>45</v>
      </c>
      <c r="G189">
        <v>1</v>
      </c>
      <c r="H189">
        <v>3</v>
      </c>
      <c r="I189" t="s">
        <v>39</v>
      </c>
      <c r="J189" t="s">
        <v>49</v>
      </c>
      <c r="K189" t="s">
        <v>50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44</v>
      </c>
      <c r="S189">
        <f t="shared" si="2"/>
        <v>0</v>
      </c>
      <c r="T189" t="s">
        <v>43</v>
      </c>
      <c r="U189" t="s">
        <v>44</v>
      </c>
      <c r="V189" t="s">
        <v>43</v>
      </c>
      <c r="W189" t="s">
        <v>43</v>
      </c>
      <c r="X189" t="s">
        <v>43</v>
      </c>
      <c r="Y189">
        <v>4</v>
      </c>
      <c r="Z189">
        <v>3</v>
      </c>
      <c r="AA189">
        <v>5</v>
      </c>
      <c r="AB189">
        <v>1</v>
      </c>
      <c r="AC189">
        <v>1</v>
      </c>
      <c r="AD189">
        <v>3</v>
      </c>
      <c r="AE189">
        <v>0</v>
      </c>
      <c r="AF189">
        <v>14</v>
      </c>
      <c r="AG189">
        <v>13</v>
      </c>
      <c r="AH189">
        <v>13</v>
      </c>
    </row>
    <row r="190" spans="1:34" x14ac:dyDescent="0.2">
      <c r="A190" t="s">
        <v>34</v>
      </c>
      <c r="B190" t="s">
        <v>35</v>
      </c>
      <c r="C190">
        <v>16</v>
      </c>
      <c r="D190" t="s">
        <v>36</v>
      </c>
      <c r="E190" t="s">
        <v>48</v>
      </c>
      <c r="F190" t="s">
        <v>45</v>
      </c>
      <c r="G190">
        <v>3</v>
      </c>
      <c r="H190">
        <v>3</v>
      </c>
      <c r="I190" t="s">
        <v>46</v>
      </c>
      <c r="J190" t="s">
        <v>46</v>
      </c>
      <c r="K190" t="s">
        <v>52</v>
      </c>
      <c r="L190" t="s">
        <v>42</v>
      </c>
      <c r="M190">
        <v>2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>
        <f t="shared" si="2"/>
        <v>0</v>
      </c>
      <c r="T190" t="s">
        <v>43</v>
      </c>
      <c r="U190" t="s">
        <v>43</v>
      </c>
      <c r="V190" t="s">
        <v>43</v>
      </c>
      <c r="W190" t="s">
        <v>43</v>
      </c>
      <c r="X190" t="s">
        <v>44</v>
      </c>
      <c r="Y190">
        <v>4</v>
      </c>
      <c r="Z190">
        <v>4</v>
      </c>
      <c r="AA190">
        <v>5</v>
      </c>
      <c r="AB190">
        <v>1</v>
      </c>
      <c r="AC190">
        <v>1</v>
      </c>
      <c r="AD190">
        <v>4</v>
      </c>
      <c r="AE190">
        <v>0</v>
      </c>
      <c r="AF190">
        <v>14</v>
      </c>
      <c r="AG190">
        <v>14</v>
      </c>
      <c r="AH190">
        <v>15</v>
      </c>
    </row>
    <row r="191" spans="1:34" x14ac:dyDescent="0.2">
      <c r="A191" t="s">
        <v>34</v>
      </c>
      <c r="B191" t="s">
        <v>51</v>
      </c>
      <c r="C191">
        <v>17</v>
      </c>
      <c r="D191" t="s">
        <v>36</v>
      </c>
      <c r="E191" t="s">
        <v>48</v>
      </c>
      <c r="F191" t="s">
        <v>45</v>
      </c>
      <c r="G191">
        <v>4</v>
      </c>
      <c r="H191">
        <v>3</v>
      </c>
      <c r="I191" t="s">
        <v>40</v>
      </c>
      <c r="J191" t="s">
        <v>46</v>
      </c>
      <c r="K191" t="s">
        <v>41</v>
      </c>
      <c r="L191" t="s">
        <v>42</v>
      </c>
      <c r="M191">
        <v>2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>
        <f t="shared" si="2"/>
        <v>0</v>
      </c>
      <c r="T191" t="s">
        <v>43</v>
      </c>
      <c r="U191" t="s">
        <v>43</v>
      </c>
      <c r="V191" t="s">
        <v>43</v>
      </c>
      <c r="W191" t="s">
        <v>43</v>
      </c>
      <c r="X191" t="s">
        <v>44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0</v>
      </c>
      <c r="AF191">
        <v>10</v>
      </c>
      <c r="AG191">
        <v>11</v>
      </c>
      <c r="AH191">
        <v>11</v>
      </c>
    </row>
    <row r="192" spans="1:34" x14ac:dyDescent="0.2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v>2</v>
      </c>
      <c r="H192">
        <v>2</v>
      </c>
      <c r="I192" t="s">
        <v>49</v>
      </c>
      <c r="J192" t="s">
        <v>46</v>
      </c>
      <c r="K192" t="s">
        <v>52</v>
      </c>
      <c r="L192" t="s">
        <v>42</v>
      </c>
      <c r="M192">
        <v>2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>
        <f t="shared" si="2"/>
        <v>0</v>
      </c>
      <c r="T192" t="s">
        <v>43</v>
      </c>
      <c r="U192" t="s">
        <v>44</v>
      </c>
      <c r="V192" t="s">
        <v>43</v>
      </c>
      <c r="W192" t="s">
        <v>43</v>
      </c>
      <c r="X192" t="s">
        <v>44</v>
      </c>
      <c r="Y192">
        <v>3</v>
      </c>
      <c r="Z192">
        <v>4</v>
      </c>
      <c r="AA192">
        <v>4</v>
      </c>
      <c r="AB192">
        <v>1</v>
      </c>
      <c r="AC192">
        <v>4</v>
      </c>
      <c r="AD192">
        <v>5</v>
      </c>
      <c r="AE192">
        <v>0</v>
      </c>
      <c r="AF192">
        <v>13</v>
      </c>
      <c r="AG192">
        <v>12</v>
      </c>
      <c r="AH192">
        <v>14</v>
      </c>
    </row>
    <row r="193" spans="1:34" x14ac:dyDescent="0.2">
      <c r="A193" t="s">
        <v>34</v>
      </c>
      <c r="B193" t="s">
        <v>51</v>
      </c>
      <c r="C193">
        <v>17</v>
      </c>
      <c r="D193" t="s">
        <v>36</v>
      </c>
      <c r="E193" t="s">
        <v>37</v>
      </c>
      <c r="F193" t="s">
        <v>45</v>
      </c>
      <c r="G193">
        <v>3</v>
      </c>
      <c r="H193">
        <v>3</v>
      </c>
      <c r="I193" t="s">
        <v>46</v>
      </c>
      <c r="J193" t="s">
        <v>46</v>
      </c>
      <c r="K193" t="s">
        <v>52</v>
      </c>
      <c r="L193" t="s">
        <v>47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>
        <f t="shared" si="2"/>
        <v>0</v>
      </c>
      <c r="T193" t="s">
        <v>43</v>
      </c>
      <c r="U193" t="s">
        <v>44</v>
      </c>
      <c r="V193" t="s">
        <v>43</v>
      </c>
      <c r="W193" t="s">
        <v>43</v>
      </c>
      <c r="X193" t="s">
        <v>44</v>
      </c>
      <c r="Y193">
        <v>4</v>
      </c>
      <c r="Z193">
        <v>3</v>
      </c>
      <c r="AA193">
        <v>4</v>
      </c>
      <c r="AB193">
        <v>1</v>
      </c>
      <c r="AC193">
        <v>4</v>
      </c>
      <c r="AD193">
        <v>4</v>
      </c>
      <c r="AE193">
        <v>4</v>
      </c>
      <c r="AF193">
        <v>11</v>
      </c>
      <c r="AG193">
        <v>9</v>
      </c>
      <c r="AH193">
        <v>10</v>
      </c>
    </row>
    <row r="194" spans="1:34" x14ac:dyDescent="0.2">
      <c r="A194" t="s">
        <v>34</v>
      </c>
      <c r="B194" t="s">
        <v>51</v>
      </c>
      <c r="C194">
        <v>16</v>
      </c>
      <c r="D194" t="s">
        <v>53</v>
      </c>
      <c r="E194" t="s">
        <v>37</v>
      </c>
      <c r="F194" t="s">
        <v>45</v>
      </c>
      <c r="G194">
        <v>4</v>
      </c>
      <c r="H194">
        <v>2</v>
      </c>
      <c r="I194" t="s">
        <v>40</v>
      </c>
      <c r="J194" t="s">
        <v>49</v>
      </c>
      <c r="K194" t="s">
        <v>46</v>
      </c>
      <c r="L194" t="s">
        <v>42</v>
      </c>
      <c r="M194">
        <v>1</v>
      </c>
      <c r="N194">
        <v>1</v>
      </c>
      <c r="O194">
        <v>0</v>
      </c>
      <c r="P194" t="s">
        <v>44</v>
      </c>
      <c r="Q194" t="s">
        <v>43</v>
      </c>
      <c r="R194" t="s">
        <v>44</v>
      </c>
      <c r="S194">
        <f t="shared" si="2"/>
        <v>0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>
        <v>4</v>
      </c>
      <c r="Z194">
        <v>3</v>
      </c>
      <c r="AA194">
        <v>3</v>
      </c>
      <c r="AB194">
        <v>3</v>
      </c>
      <c r="AC194">
        <v>4</v>
      </c>
      <c r="AD194">
        <v>3</v>
      </c>
      <c r="AE194">
        <v>8</v>
      </c>
      <c r="AF194">
        <v>10</v>
      </c>
      <c r="AG194">
        <v>9</v>
      </c>
      <c r="AH194">
        <v>11</v>
      </c>
    </row>
    <row r="195" spans="1:34" x14ac:dyDescent="0.2">
      <c r="A195" t="s">
        <v>34</v>
      </c>
      <c r="B195" t="s">
        <v>51</v>
      </c>
      <c r="C195">
        <v>17</v>
      </c>
      <c r="D195" t="s">
        <v>36</v>
      </c>
      <c r="E195" t="s">
        <v>37</v>
      </c>
      <c r="F195" t="s">
        <v>45</v>
      </c>
      <c r="G195">
        <v>4</v>
      </c>
      <c r="H195">
        <v>3</v>
      </c>
      <c r="I195" t="s">
        <v>46</v>
      </c>
      <c r="J195" t="s">
        <v>46</v>
      </c>
      <c r="K195" t="s">
        <v>41</v>
      </c>
      <c r="L195" t="s">
        <v>42</v>
      </c>
      <c r="M195">
        <v>1</v>
      </c>
      <c r="N195">
        <v>2</v>
      </c>
      <c r="O195">
        <v>0</v>
      </c>
      <c r="P195" t="s">
        <v>44</v>
      </c>
      <c r="Q195" t="s">
        <v>43</v>
      </c>
      <c r="R195" t="s">
        <v>43</v>
      </c>
      <c r="S195">
        <f t="shared" ref="S195:S258" si="3">IF(R195="yes",1,0)</f>
        <v>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>
        <v>5</v>
      </c>
      <c r="Z195">
        <v>2</v>
      </c>
      <c r="AA195">
        <v>3</v>
      </c>
      <c r="AB195">
        <v>1</v>
      </c>
      <c r="AC195">
        <v>1</v>
      </c>
      <c r="AD195">
        <v>2</v>
      </c>
      <c r="AE195">
        <v>4</v>
      </c>
      <c r="AF195">
        <v>11</v>
      </c>
      <c r="AG195">
        <v>11</v>
      </c>
      <c r="AH195">
        <v>13</v>
      </c>
    </row>
    <row r="196" spans="1:34" x14ac:dyDescent="0.2">
      <c r="A196" t="s">
        <v>34</v>
      </c>
      <c r="B196" t="s">
        <v>51</v>
      </c>
      <c r="C196">
        <v>16</v>
      </c>
      <c r="D196" t="s">
        <v>36</v>
      </c>
      <c r="E196" t="s">
        <v>37</v>
      </c>
      <c r="F196" t="s">
        <v>45</v>
      </c>
      <c r="G196">
        <v>4</v>
      </c>
      <c r="H196">
        <v>3</v>
      </c>
      <c r="I196" t="s">
        <v>40</v>
      </c>
      <c r="J196" t="s">
        <v>46</v>
      </c>
      <c r="K196" t="s">
        <v>50</v>
      </c>
      <c r="L196" t="s">
        <v>42</v>
      </c>
      <c r="M196">
        <v>1</v>
      </c>
      <c r="N196">
        <v>2</v>
      </c>
      <c r="O196">
        <v>0</v>
      </c>
      <c r="P196" t="s">
        <v>44</v>
      </c>
      <c r="Q196" t="s">
        <v>43</v>
      </c>
      <c r="R196" t="s">
        <v>43</v>
      </c>
      <c r="S196">
        <f t="shared" si="3"/>
        <v>1</v>
      </c>
      <c r="T196" t="s">
        <v>43</v>
      </c>
      <c r="U196" t="s">
        <v>43</v>
      </c>
      <c r="V196" t="s">
        <v>43</v>
      </c>
      <c r="W196" t="s">
        <v>43</v>
      </c>
      <c r="X196" t="s">
        <v>44</v>
      </c>
      <c r="Y196">
        <v>3</v>
      </c>
      <c r="Z196">
        <v>4</v>
      </c>
      <c r="AA196">
        <v>3</v>
      </c>
      <c r="AB196">
        <v>2</v>
      </c>
      <c r="AC196">
        <v>3</v>
      </c>
      <c r="AD196">
        <v>3</v>
      </c>
      <c r="AE196">
        <v>4</v>
      </c>
      <c r="AF196">
        <v>11</v>
      </c>
      <c r="AG196">
        <v>10</v>
      </c>
      <c r="AH196">
        <v>11</v>
      </c>
    </row>
    <row r="197" spans="1:34" x14ac:dyDescent="0.2">
      <c r="A197" t="s">
        <v>34</v>
      </c>
      <c r="B197" t="s">
        <v>51</v>
      </c>
      <c r="C197">
        <v>16</v>
      </c>
      <c r="D197" t="s">
        <v>36</v>
      </c>
      <c r="E197" t="s">
        <v>37</v>
      </c>
      <c r="F197" t="s">
        <v>45</v>
      </c>
      <c r="G197">
        <v>3</v>
      </c>
      <c r="H197">
        <v>3</v>
      </c>
      <c r="I197" t="s">
        <v>49</v>
      </c>
      <c r="J197" t="s">
        <v>46</v>
      </c>
      <c r="K197" t="s">
        <v>50</v>
      </c>
      <c r="L197" t="s">
        <v>42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>
        <f t="shared" si="3"/>
        <v>0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>
        <v>4</v>
      </c>
      <c r="Z197">
        <v>2</v>
      </c>
      <c r="AA197">
        <v>3</v>
      </c>
      <c r="AB197">
        <v>1</v>
      </c>
      <c r="AC197">
        <v>2</v>
      </c>
      <c r="AD197">
        <v>3</v>
      </c>
      <c r="AE197">
        <v>0</v>
      </c>
      <c r="AF197">
        <v>11</v>
      </c>
      <c r="AG197">
        <v>12</v>
      </c>
      <c r="AH197">
        <v>13</v>
      </c>
    </row>
    <row r="198" spans="1:34" x14ac:dyDescent="0.2">
      <c r="A198" t="s">
        <v>34</v>
      </c>
      <c r="B198" t="s">
        <v>35</v>
      </c>
      <c r="C198">
        <v>17</v>
      </c>
      <c r="D198" t="s">
        <v>36</v>
      </c>
      <c r="E198" t="s">
        <v>37</v>
      </c>
      <c r="F198" t="s">
        <v>45</v>
      </c>
      <c r="G198">
        <v>2</v>
      </c>
      <c r="H198">
        <v>4</v>
      </c>
      <c r="I198" t="s">
        <v>49</v>
      </c>
      <c r="J198" t="s">
        <v>49</v>
      </c>
      <c r="K198" t="s">
        <v>52</v>
      </c>
      <c r="L198" t="s">
        <v>47</v>
      </c>
      <c r="M198">
        <v>1</v>
      </c>
      <c r="N198">
        <v>2</v>
      </c>
      <c r="O198">
        <v>0</v>
      </c>
      <c r="P198" t="s">
        <v>44</v>
      </c>
      <c r="Q198" t="s">
        <v>43</v>
      </c>
      <c r="R198" t="s">
        <v>44</v>
      </c>
      <c r="S198">
        <f t="shared" si="3"/>
        <v>0</v>
      </c>
      <c r="T198" t="s">
        <v>43</v>
      </c>
      <c r="U198" t="s">
        <v>43</v>
      </c>
      <c r="V198" t="s">
        <v>43</v>
      </c>
      <c r="W198" t="s">
        <v>44</v>
      </c>
      <c r="X198" t="s">
        <v>44</v>
      </c>
      <c r="Y198">
        <v>5</v>
      </c>
      <c r="Z198">
        <v>4</v>
      </c>
      <c r="AA198">
        <v>2</v>
      </c>
      <c r="AB198">
        <v>2</v>
      </c>
      <c r="AC198">
        <v>3</v>
      </c>
      <c r="AD198">
        <v>5</v>
      </c>
      <c r="AE198">
        <v>0</v>
      </c>
      <c r="AF198">
        <v>17</v>
      </c>
      <c r="AG198">
        <v>18</v>
      </c>
      <c r="AH198">
        <v>17</v>
      </c>
    </row>
    <row r="199" spans="1:34" x14ac:dyDescent="0.2">
      <c r="A199" t="s">
        <v>34</v>
      </c>
      <c r="B199" t="s">
        <v>35</v>
      </c>
      <c r="C199">
        <v>17</v>
      </c>
      <c r="D199" t="s">
        <v>36</v>
      </c>
      <c r="E199" t="s">
        <v>48</v>
      </c>
      <c r="F199" t="s">
        <v>45</v>
      </c>
      <c r="G199">
        <v>3</v>
      </c>
      <c r="H199">
        <v>3</v>
      </c>
      <c r="I199" t="s">
        <v>46</v>
      </c>
      <c r="J199" t="s">
        <v>46</v>
      </c>
      <c r="K199" t="s">
        <v>52</v>
      </c>
      <c r="L199" t="s">
        <v>42</v>
      </c>
      <c r="M199">
        <v>1</v>
      </c>
      <c r="N199">
        <v>2</v>
      </c>
      <c r="O199">
        <v>0</v>
      </c>
      <c r="P199" t="s">
        <v>44</v>
      </c>
      <c r="Q199" t="s">
        <v>43</v>
      </c>
      <c r="R199" t="s">
        <v>44</v>
      </c>
      <c r="S199">
        <f t="shared" si="3"/>
        <v>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>
        <v>5</v>
      </c>
      <c r="Z199">
        <v>3</v>
      </c>
      <c r="AA199">
        <v>3</v>
      </c>
      <c r="AB199">
        <v>2</v>
      </c>
      <c r="AC199">
        <v>3</v>
      </c>
      <c r="AD199">
        <v>1</v>
      </c>
      <c r="AE199">
        <v>32</v>
      </c>
      <c r="AF199">
        <v>14</v>
      </c>
      <c r="AG199">
        <v>13</v>
      </c>
      <c r="AH199">
        <v>14</v>
      </c>
    </row>
    <row r="200" spans="1:34" x14ac:dyDescent="0.2">
      <c r="A200" t="s">
        <v>34</v>
      </c>
      <c r="B200" t="s">
        <v>35</v>
      </c>
      <c r="C200">
        <v>16</v>
      </c>
      <c r="D200" t="s">
        <v>36</v>
      </c>
      <c r="E200" t="s">
        <v>37</v>
      </c>
      <c r="F200" t="s">
        <v>45</v>
      </c>
      <c r="G200">
        <v>3</v>
      </c>
      <c r="H200">
        <v>2</v>
      </c>
      <c r="I200" t="s">
        <v>46</v>
      </c>
      <c r="J200" t="s">
        <v>46</v>
      </c>
      <c r="K200" t="s">
        <v>52</v>
      </c>
      <c r="L200" t="s">
        <v>42</v>
      </c>
      <c r="M200">
        <v>1</v>
      </c>
      <c r="N200">
        <v>2</v>
      </c>
      <c r="O200">
        <v>0</v>
      </c>
      <c r="P200" t="s">
        <v>44</v>
      </c>
      <c r="Q200" t="s">
        <v>43</v>
      </c>
      <c r="R200" t="s">
        <v>44</v>
      </c>
      <c r="S200">
        <f t="shared" si="3"/>
        <v>0</v>
      </c>
      <c r="T200" t="s">
        <v>44</v>
      </c>
      <c r="U200" t="s">
        <v>43</v>
      </c>
      <c r="V200" t="s">
        <v>43</v>
      </c>
      <c r="W200" t="s">
        <v>43</v>
      </c>
      <c r="X200" t="s">
        <v>44</v>
      </c>
      <c r="Y200">
        <v>1</v>
      </c>
      <c r="Z200">
        <v>2</v>
      </c>
      <c r="AA200">
        <v>2</v>
      </c>
      <c r="AB200">
        <v>1</v>
      </c>
      <c r="AC200">
        <v>2</v>
      </c>
      <c r="AD200">
        <v>1</v>
      </c>
      <c r="AE200">
        <v>8</v>
      </c>
      <c r="AF200">
        <v>14</v>
      </c>
      <c r="AG200">
        <v>15</v>
      </c>
      <c r="AH200">
        <v>16</v>
      </c>
    </row>
    <row r="201" spans="1:34" x14ac:dyDescent="0.2">
      <c r="A201" t="s">
        <v>34</v>
      </c>
      <c r="B201" t="s">
        <v>51</v>
      </c>
      <c r="C201">
        <v>17</v>
      </c>
      <c r="D201" t="s">
        <v>36</v>
      </c>
      <c r="E201" t="s">
        <v>37</v>
      </c>
      <c r="F201" t="s">
        <v>45</v>
      </c>
      <c r="G201">
        <v>3</v>
      </c>
      <c r="H201">
        <v>3</v>
      </c>
      <c r="I201" t="s">
        <v>49</v>
      </c>
      <c r="J201" t="s">
        <v>49</v>
      </c>
      <c r="K201" t="s">
        <v>46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44</v>
      </c>
      <c r="S201">
        <f t="shared" si="3"/>
        <v>0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>
        <v>4</v>
      </c>
      <c r="Z201">
        <v>3</v>
      </c>
      <c r="AA201">
        <v>4</v>
      </c>
      <c r="AB201">
        <v>2</v>
      </c>
      <c r="AC201">
        <v>3</v>
      </c>
      <c r="AD201">
        <v>4</v>
      </c>
      <c r="AE201">
        <v>6</v>
      </c>
      <c r="AF201">
        <v>11</v>
      </c>
      <c r="AG201">
        <v>13</v>
      </c>
      <c r="AH201">
        <v>14</v>
      </c>
    </row>
    <row r="202" spans="1:34" x14ac:dyDescent="0.2">
      <c r="A202" t="s">
        <v>34</v>
      </c>
      <c r="B202" t="s">
        <v>51</v>
      </c>
      <c r="C202">
        <v>16</v>
      </c>
      <c r="D202" t="s">
        <v>36</v>
      </c>
      <c r="E202" t="s">
        <v>37</v>
      </c>
      <c r="F202" t="s">
        <v>45</v>
      </c>
      <c r="G202">
        <v>1</v>
      </c>
      <c r="H202">
        <v>2</v>
      </c>
      <c r="I202" t="s">
        <v>49</v>
      </c>
      <c r="J202" t="s">
        <v>49</v>
      </c>
      <c r="K202" t="s">
        <v>46</v>
      </c>
      <c r="L202" t="s">
        <v>42</v>
      </c>
      <c r="M202">
        <v>1</v>
      </c>
      <c r="N202">
        <v>1</v>
      </c>
      <c r="O202">
        <v>0</v>
      </c>
      <c r="P202" t="s">
        <v>44</v>
      </c>
      <c r="Q202" t="s">
        <v>43</v>
      </c>
      <c r="R202" t="s">
        <v>44</v>
      </c>
      <c r="S202">
        <f t="shared" si="3"/>
        <v>0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>
        <v>3</v>
      </c>
      <c r="Z202">
        <v>3</v>
      </c>
      <c r="AA202">
        <v>3</v>
      </c>
      <c r="AB202">
        <v>1</v>
      </c>
      <c r="AC202">
        <v>2</v>
      </c>
      <c r="AD202">
        <v>3</v>
      </c>
      <c r="AE202">
        <v>0</v>
      </c>
      <c r="AF202">
        <v>10</v>
      </c>
      <c r="AG202">
        <v>9</v>
      </c>
      <c r="AH202">
        <v>11</v>
      </c>
    </row>
    <row r="203" spans="1:34" x14ac:dyDescent="0.2">
      <c r="A203" t="s">
        <v>34</v>
      </c>
      <c r="B203" t="s">
        <v>51</v>
      </c>
      <c r="C203">
        <v>16</v>
      </c>
      <c r="D203" t="s">
        <v>36</v>
      </c>
      <c r="E203" t="s">
        <v>48</v>
      </c>
      <c r="F203" t="s">
        <v>45</v>
      </c>
      <c r="G203">
        <v>2</v>
      </c>
      <c r="H203">
        <v>1</v>
      </c>
      <c r="I203" t="s">
        <v>46</v>
      </c>
      <c r="J203" t="s">
        <v>46</v>
      </c>
      <c r="K203" t="s">
        <v>41</v>
      </c>
      <c r="L203" t="s">
        <v>42</v>
      </c>
      <c r="M203">
        <v>1</v>
      </c>
      <c r="N203">
        <v>2</v>
      </c>
      <c r="O203">
        <v>0</v>
      </c>
      <c r="P203" t="s">
        <v>44</v>
      </c>
      <c r="Q203" t="s">
        <v>44</v>
      </c>
      <c r="R203" t="s">
        <v>44</v>
      </c>
      <c r="S203">
        <f t="shared" si="3"/>
        <v>0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>
        <v>4</v>
      </c>
      <c r="Z203">
        <v>2</v>
      </c>
      <c r="AA203">
        <v>3</v>
      </c>
      <c r="AB203">
        <v>1</v>
      </c>
      <c r="AC203">
        <v>2</v>
      </c>
      <c r="AD203">
        <v>5</v>
      </c>
      <c r="AE203">
        <v>0</v>
      </c>
      <c r="AF203">
        <v>13</v>
      </c>
      <c r="AG203">
        <v>14</v>
      </c>
      <c r="AH203">
        <v>16</v>
      </c>
    </row>
    <row r="204" spans="1:34" x14ac:dyDescent="0.2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38</v>
      </c>
      <c r="G204">
        <v>3</v>
      </c>
      <c r="H204">
        <v>3</v>
      </c>
      <c r="I204" t="s">
        <v>29</v>
      </c>
      <c r="J204" t="s">
        <v>46</v>
      </c>
      <c r="K204" t="s">
        <v>52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44</v>
      </c>
      <c r="S204">
        <f t="shared" si="3"/>
        <v>0</v>
      </c>
      <c r="T204" t="s">
        <v>44</v>
      </c>
      <c r="U204" t="s">
        <v>44</v>
      </c>
      <c r="V204" t="s">
        <v>43</v>
      </c>
      <c r="W204" t="s">
        <v>43</v>
      </c>
      <c r="X204" t="s">
        <v>43</v>
      </c>
      <c r="Y204">
        <v>3</v>
      </c>
      <c r="Z204">
        <v>3</v>
      </c>
      <c r="AA204">
        <v>3</v>
      </c>
      <c r="AB204">
        <v>1</v>
      </c>
      <c r="AC204">
        <v>3</v>
      </c>
      <c r="AD204">
        <v>3</v>
      </c>
      <c r="AE204">
        <v>10</v>
      </c>
      <c r="AF204">
        <v>12</v>
      </c>
      <c r="AG204">
        <v>13</v>
      </c>
      <c r="AH204">
        <v>14</v>
      </c>
    </row>
    <row r="205" spans="1:34" x14ac:dyDescent="0.2">
      <c r="A205" t="s">
        <v>34</v>
      </c>
      <c r="B205" t="s">
        <v>51</v>
      </c>
      <c r="C205">
        <v>17</v>
      </c>
      <c r="D205" t="s">
        <v>53</v>
      </c>
      <c r="E205" t="s">
        <v>37</v>
      </c>
      <c r="F205" t="s">
        <v>45</v>
      </c>
      <c r="G205">
        <v>1</v>
      </c>
      <c r="H205">
        <v>2</v>
      </c>
      <c r="I205" t="s">
        <v>39</v>
      </c>
      <c r="J205" t="s">
        <v>46</v>
      </c>
      <c r="K205" t="s">
        <v>50</v>
      </c>
      <c r="L205" t="s">
        <v>42</v>
      </c>
      <c r="M205">
        <v>1</v>
      </c>
      <c r="N205">
        <v>2</v>
      </c>
      <c r="O205">
        <v>0</v>
      </c>
      <c r="P205" t="s">
        <v>44</v>
      </c>
      <c r="Q205" t="s">
        <v>44</v>
      </c>
      <c r="R205" t="s">
        <v>44</v>
      </c>
      <c r="S205">
        <f t="shared" si="3"/>
        <v>0</v>
      </c>
      <c r="T205" t="s">
        <v>44</v>
      </c>
      <c r="U205" t="s">
        <v>43</v>
      </c>
      <c r="V205" t="s">
        <v>43</v>
      </c>
      <c r="W205" t="s">
        <v>44</v>
      </c>
      <c r="X205" t="s">
        <v>44</v>
      </c>
      <c r="Y205">
        <v>3</v>
      </c>
      <c r="Z205">
        <v>1</v>
      </c>
      <c r="AA205">
        <v>3</v>
      </c>
      <c r="AB205">
        <v>1</v>
      </c>
      <c r="AC205">
        <v>5</v>
      </c>
      <c r="AD205">
        <v>3</v>
      </c>
      <c r="AE205">
        <v>6</v>
      </c>
      <c r="AF205">
        <v>9</v>
      </c>
      <c r="AG205">
        <v>9</v>
      </c>
      <c r="AH205">
        <v>10</v>
      </c>
    </row>
    <row r="206" spans="1:34" x14ac:dyDescent="0.2">
      <c r="A206" t="s">
        <v>34</v>
      </c>
      <c r="B206" t="s">
        <v>35</v>
      </c>
      <c r="C206">
        <v>16</v>
      </c>
      <c r="D206" t="s">
        <v>36</v>
      </c>
      <c r="E206" t="s">
        <v>37</v>
      </c>
      <c r="F206" t="s">
        <v>45</v>
      </c>
      <c r="G206">
        <v>2</v>
      </c>
      <c r="H206">
        <v>3</v>
      </c>
      <c r="I206" t="s">
        <v>49</v>
      </c>
      <c r="J206" t="s">
        <v>49</v>
      </c>
      <c r="K206" t="s">
        <v>41</v>
      </c>
      <c r="L206" t="s">
        <v>42</v>
      </c>
      <c r="M206">
        <v>1</v>
      </c>
      <c r="N206">
        <v>2</v>
      </c>
      <c r="O206">
        <v>0</v>
      </c>
      <c r="P206" t="s">
        <v>44</v>
      </c>
      <c r="Q206" t="s">
        <v>44</v>
      </c>
      <c r="R206" t="s">
        <v>44</v>
      </c>
      <c r="S206">
        <f t="shared" si="3"/>
        <v>0</v>
      </c>
      <c r="T206" t="s">
        <v>44</v>
      </c>
      <c r="U206" t="s">
        <v>43</v>
      </c>
      <c r="V206" t="s">
        <v>43</v>
      </c>
      <c r="W206" t="s">
        <v>43</v>
      </c>
      <c r="X206" t="s">
        <v>44</v>
      </c>
      <c r="Y206">
        <v>4</v>
      </c>
      <c r="Z206">
        <v>3</v>
      </c>
      <c r="AA206">
        <v>3</v>
      </c>
      <c r="AB206">
        <v>1</v>
      </c>
      <c r="AC206">
        <v>1</v>
      </c>
      <c r="AD206">
        <v>2</v>
      </c>
      <c r="AE206">
        <v>6</v>
      </c>
      <c r="AF206">
        <v>12</v>
      </c>
      <c r="AG206">
        <v>12</v>
      </c>
      <c r="AH206">
        <v>13</v>
      </c>
    </row>
    <row r="207" spans="1:34" x14ac:dyDescent="0.2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v>1</v>
      </c>
      <c r="H207">
        <v>1</v>
      </c>
      <c r="I207" t="s">
        <v>39</v>
      </c>
      <c r="J207" t="s">
        <v>49</v>
      </c>
      <c r="K207" t="s">
        <v>41</v>
      </c>
      <c r="L207" t="s">
        <v>42</v>
      </c>
      <c r="M207">
        <v>1</v>
      </c>
      <c r="N207">
        <v>2</v>
      </c>
      <c r="O207">
        <v>0</v>
      </c>
      <c r="P207" t="s">
        <v>44</v>
      </c>
      <c r="Q207" t="s">
        <v>44</v>
      </c>
      <c r="R207" t="s">
        <v>44</v>
      </c>
      <c r="S207">
        <f t="shared" si="3"/>
        <v>0</v>
      </c>
      <c r="T207" t="s">
        <v>43</v>
      </c>
      <c r="U207" t="s">
        <v>43</v>
      </c>
      <c r="V207" t="s">
        <v>43</v>
      </c>
      <c r="W207" t="s">
        <v>43</v>
      </c>
      <c r="X207" t="s">
        <v>44</v>
      </c>
      <c r="Y207">
        <v>5</v>
      </c>
      <c r="Z207">
        <v>3</v>
      </c>
      <c r="AA207">
        <v>3</v>
      </c>
      <c r="AB207">
        <v>1</v>
      </c>
      <c r="AC207">
        <v>1</v>
      </c>
      <c r="AD207">
        <v>3</v>
      </c>
      <c r="AE207">
        <v>0</v>
      </c>
      <c r="AF207">
        <v>12</v>
      </c>
      <c r="AG207">
        <v>11</v>
      </c>
      <c r="AH207">
        <v>12</v>
      </c>
    </row>
    <row r="208" spans="1:34" x14ac:dyDescent="0.2">
      <c r="A208" t="s">
        <v>34</v>
      </c>
      <c r="B208" t="s">
        <v>51</v>
      </c>
      <c r="C208">
        <v>17</v>
      </c>
      <c r="D208" t="s">
        <v>36</v>
      </c>
      <c r="E208" t="s">
        <v>37</v>
      </c>
      <c r="F208" t="s">
        <v>45</v>
      </c>
      <c r="G208">
        <v>1</v>
      </c>
      <c r="H208">
        <v>2</v>
      </c>
      <c r="I208" t="s">
        <v>39</v>
      </c>
      <c r="J208" t="s">
        <v>49</v>
      </c>
      <c r="K208" t="s">
        <v>46</v>
      </c>
      <c r="L208" t="s">
        <v>46</v>
      </c>
      <c r="M208">
        <v>2</v>
      </c>
      <c r="N208">
        <v>2</v>
      </c>
      <c r="O208">
        <v>0</v>
      </c>
      <c r="P208" t="s">
        <v>44</v>
      </c>
      <c r="Q208" t="s">
        <v>44</v>
      </c>
      <c r="R208" t="s">
        <v>44</v>
      </c>
      <c r="S208">
        <f t="shared" si="3"/>
        <v>0</v>
      </c>
      <c r="T208" t="s">
        <v>43</v>
      </c>
      <c r="U208" t="s">
        <v>44</v>
      </c>
      <c r="V208" t="s">
        <v>43</v>
      </c>
      <c r="W208" t="s">
        <v>43</v>
      </c>
      <c r="X208" t="s">
        <v>44</v>
      </c>
      <c r="Y208">
        <v>4</v>
      </c>
      <c r="Z208">
        <v>4</v>
      </c>
      <c r="AA208">
        <v>4</v>
      </c>
      <c r="AB208">
        <v>4</v>
      </c>
      <c r="AC208">
        <v>5</v>
      </c>
      <c r="AD208">
        <v>5</v>
      </c>
      <c r="AE208">
        <v>16</v>
      </c>
      <c r="AF208">
        <v>10</v>
      </c>
      <c r="AG208">
        <v>11</v>
      </c>
      <c r="AH208">
        <v>12</v>
      </c>
    </row>
    <row r="209" spans="1:34" x14ac:dyDescent="0.2">
      <c r="A209" t="s">
        <v>34</v>
      </c>
      <c r="B209" t="s">
        <v>51</v>
      </c>
      <c r="C209">
        <v>16</v>
      </c>
      <c r="D209" t="s">
        <v>53</v>
      </c>
      <c r="E209" t="s">
        <v>37</v>
      </c>
      <c r="F209" t="s">
        <v>45</v>
      </c>
      <c r="G209">
        <v>3</v>
      </c>
      <c r="H209">
        <v>3</v>
      </c>
      <c r="I209" t="s">
        <v>49</v>
      </c>
      <c r="J209" t="s">
        <v>49</v>
      </c>
      <c r="K209" t="s">
        <v>52</v>
      </c>
      <c r="L209" t="s">
        <v>42</v>
      </c>
      <c r="M209">
        <v>1</v>
      </c>
      <c r="N209">
        <v>1</v>
      </c>
      <c r="O209">
        <v>0</v>
      </c>
      <c r="P209" t="s">
        <v>44</v>
      </c>
      <c r="Q209" t="s">
        <v>43</v>
      </c>
      <c r="R209" t="s">
        <v>44</v>
      </c>
      <c r="S209">
        <f t="shared" si="3"/>
        <v>0</v>
      </c>
      <c r="T209" t="s">
        <v>43</v>
      </c>
      <c r="U209" t="s">
        <v>43</v>
      </c>
      <c r="V209" t="s">
        <v>43</v>
      </c>
      <c r="W209" t="s">
        <v>43</v>
      </c>
      <c r="X209" t="s">
        <v>44</v>
      </c>
      <c r="Y209">
        <v>4</v>
      </c>
      <c r="Z209">
        <v>3</v>
      </c>
      <c r="AA209">
        <v>2</v>
      </c>
      <c r="AB209">
        <v>3</v>
      </c>
      <c r="AC209">
        <v>4</v>
      </c>
      <c r="AD209">
        <v>5</v>
      </c>
      <c r="AE209">
        <v>0</v>
      </c>
      <c r="AF209">
        <v>11</v>
      </c>
      <c r="AG209">
        <v>10</v>
      </c>
      <c r="AH209">
        <v>10</v>
      </c>
    </row>
    <row r="210" spans="1:34" x14ac:dyDescent="0.2">
      <c r="A210" t="s">
        <v>34</v>
      </c>
      <c r="B210" t="s">
        <v>51</v>
      </c>
      <c r="C210">
        <v>16</v>
      </c>
      <c r="D210" t="s">
        <v>36</v>
      </c>
      <c r="E210" t="s">
        <v>37</v>
      </c>
      <c r="F210" t="s">
        <v>45</v>
      </c>
      <c r="G210">
        <v>2</v>
      </c>
      <c r="H210">
        <v>3</v>
      </c>
      <c r="I210" t="s">
        <v>46</v>
      </c>
      <c r="J210" t="s">
        <v>46</v>
      </c>
      <c r="K210" t="s">
        <v>50</v>
      </c>
      <c r="L210" t="s">
        <v>47</v>
      </c>
      <c r="M210">
        <v>2</v>
      </c>
      <c r="N210">
        <v>1</v>
      </c>
      <c r="O210">
        <v>0</v>
      </c>
      <c r="P210" t="s">
        <v>44</v>
      </c>
      <c r="Q210" t="s">
        <v>44</v>
      </c>
      <c r="R210" t="s">
        <v>44</v>
      </c>
      <c r="S210">
        <f t="shared" si="3"/>
        <v>0</v>
      </c>
      <c r="T210" t="s">
        <v>44</v>
      </c>
      <c r="U210" t="s">
        <v>43</v>
      </c>
      <c r="V210" t="s">
        <v>43</v>
      </c>
      <c r="W210" t="s">
        <v>43</v>
      </c>
      <c r="X210" t="s">
        <v>44</v>
      </c>
      <c r="Y210">
        <v>5</v>
      </c>
      <c r="Z210">
        <v>3</v>
      </c>
      <c r="AA210">
        <v>3</v>
      </c>
      <c r="AB210">
        <v>1</v>
      </c>
      <c r="AC210">
        <v>1</v>
      </c>
      <c r="AD210">
        <v>3</v>
      </c>
      <c r="AE210">
        <v>0</v>
      </c>
      <c r="AF210">
        <v>13</v>
      </c>
      <c r="AG210">
        <v>12</v>
      </c>
      <c r="AH210">
        <v>12</v>
      </c>
    </row>
    <row r="211" spans="1:34" x14ac:dyDescent="0.2">
      <c r="A211" t="s">
        <v>34</v>
      </c>
      <c r="B211" t="s">
        <v>35</v>
      </c>
      <c r="C211">
        <v>17</v>
      </c>
      <c r="D211" t="s">
        <v>36</v>
      </c>
      <c r="E211" t="s">
        <v>48</v>
      </c>
      <c r="F211" t="s">
        <v>45</v>
      </c>
      <c r="G211">
        <v>2</v>
      </c>
      <c r="H211">
        <v>4</v>
      </c>
      <c r="I211" t="s">
        <v>49</v>
      </c>
      <c r="J211" t="s">
        <v>49</v>
      </c>
      <c r="K211" t="s">
        <v>41</v>
      </c>
      <c r="L211" t="s">
        <v>47</v>
      </c>
      <c r="M211">
        <v>1</v>
      </c>
      <c r="N211">
        <v>2</v>
      </c>
      <c r="O211">
        <v>0</v>
      </c>
      <c r="P211" t="s">
        <v>44</v>
      </c>
      <c r="Q211" t="s">
        <v>44</v>
      </c>
      <c r="R211" t="s">
        <v>44</v>
      </c>
      <c r="S211">
        <f t="shared" si="3"/>
        <v>0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>
        <v>4</v>
      </c>
      <c r="Z211">
        <v>3</v>
      </c>
      <c r="AA211">
        <v>2</v>
      </c>
      <c r="AB211">
        <v>1</v>
      </c>
      <c r="AC211">
        <v>1</v>
      </c>
      <c r="AD211">
        <v>5</v>
      </c>
      <c r="AE211">
        <v>8</v>
      </c>
      <c r="AF211">
        <v>14</v>
      </c>
      <c r="AG211">
        <v>15</v>
      </c>
      <c r="AH211">
        <v>16</v>
      </c>
    </row>
    <row r="212" spans="1:34" x14ac:dyDescent="0.2">
      <c r="A212" t="s">
        <v>34</v>
      </c>
      <c r="B212" t="s">
        <v>51</v>
      </c>
      <c r="C212">
        <v>17</v>
      </c>
      <c r="D212" t="s">
        <v>36</v>
      </c>
      <c r="E212" t="s">
        <v>37</v>
      </c>
      <c r="F212" t="s">
        <v>45</v>
      </c>
      <c r="G212">
        <v>4</v>
      </c>
      <c r="H212">
        <v>4</v>
      </c>
      <c r="I212" t="s">
        <v>49</v>
      </c>
      <c r="J212" t="s">
        <v>40</v>
      </c>
      <c r="K212" t="s">
        <v>50</v>
      </c>
      <c r="L212" t="s">
        <v>42</v>
      </c>
      <c r="M212">
        <v>1</v>
      </c>
      <c r="N212">
        <v>1</v>
      </c>
      <c r="O212">
        <v>0</v>
      </c>
      <c r="P212" t="s">
        <v>44</v>
      </c>
      <c r="Q212" t="s">
        <v>44</v>
      </c>
      <c r="R212" t="s">
        <v>44</v>
      </c>
      <c r="S212">
        <f t="shared" si="3"/>
        <v>0</v>
      </c>
      <c r="T212" t="s">
        <v>44</v>
      </c>
      <c r="U212" t="s">
        <v>43</v>
      </c>
      <c r="V212" t="s">
        <v>43</v>
      </c>
      <c r="W212" t="s">
        <v>43</v>
      </c>
      <c r="X212" t="s">
        <v>44</v>
      </c>
      <c r="Y212">
        <v>5</v>
      </c>
      <c r="Z212">
        <v>2</v>
      </c>
      <c r="AA212">
        <v>3</v>
      </c>
      <c r="AB212">
        <v>1</v>
      </c>
      <c r="AC212">
        <v>2</v>
      </c>
      <c r="AD212">
        <v>5</v>
      </c>
      <c r="AE212">
        <v>4</v>
      </c>
      <c r="AF212">
        <v>13</v>
      </c>
      <c r="AG212">
        <v>13</v>
      </c>
      <c r="AH212">
        <v>14</v>
      </c>
    </row>
    <row r="213" spans="1:34" x14ac:dyDescent="0.2">
      <c r="A213" t="s">
        <v>34</v>
      </c>
      <c r="B213" t="s">
        <v>51</v>
      </c>
      <c r="C213">
        <v>16</v>
      </c>
      <c r="D213" t="s">
        <v>53</v>
      </c>
      <c r="E213" t="s">
        <v>48</v>
      </c>
      <c r="F213" t="s">
        <v>45</v>
      </c>
      <c r="G213">
        <v>3</v>
      </c>
      <c r="H213">
        <v>3</v>
      </c>
      <c r="I213" t="s">
        <v>40</v>
      </c>
      <c r="J213" t="s">
        <v>46</v>
      </c>
      <c r="K213" t="s">
        <v>50</v>
      </c>
      <c r="L213" t="s">
        <v>47</v>
      </c>
      <c r="M213">
        <v>3</v>
      </c>
      <c r="N213">
        <v>1</v>
      </c>
      <c r="O213">
        <v>0</v>
      </c>
      <c r="P213" t="s">
        <v>44</v>
      </c>
      <c r="Q213" t="s">
        <v>43</v>
      </c>
      <c r="R213" t="s">
        <v>44</v>
      </c>
      <c r="S213">
        <f t="shared" si="3"/>
        <v>0</v>
      </c>
      <c r="T213" t="s">
        <v>43</v>
      </c>
      <c r="U213" t="s">
        <v>43</v>
      </c>
      <c r="V213" t="s">
        <v>43</v>
      </c>
      <c r="W213" t="s">
        <v>43</v>
      </c>
      <c r="X213" t="s">
        <v>44</v>
      </c>
      <c r="Y213">
        <v>3</v>
      </c>
      <c r="Z213">
        <v>3</v>
      </c>
      <c r="AA213">
        <v>4</v>
      </c>
      <c r="AB213">
        <v>3</v>
      </c>
      <c r="AC213">
        <v>5</v>
      </c>
      <c r="AD213">
        <v>3</v>
      </c>
      <c r="AE213">
        <v>16</v>
      </c>
      <c r="AF213">
        <v>10</v>
      </c>
      <c r="AG213">
        <v>11</v>
      </c>
      <c r="AH213">
        <v>12</v>
      </c>
    </row>
    <row r="214" spans="1:34" x14ac:dyDescent="0.2">
      <c r="A214" t="s">
        <v>34</v>
      </c>
      <c r="B214" t="s">
        <v>35</v>
      </c>
      <c r="C214">
        <v>17</v>
      </c>
      <c r="D214" t="s">
        <v>36</v>
      </c>
      <c r="E214" t="s">
        <v>37</v>
      </c>
      <c r="F214" t="s">
        <v>45</v>
      </c>
      <c r="G214">
        <v>4</v>
      </c>
      <c r="H214">
        <v>4</v>
      </c>
      <c r="I214" t="s">
        <v>49</v>
      </c>
      <c r="J214" t="s">
        <v>40</v>
      </c>
      <c r="K214" t="s">
        <v>50</v>
      </c>
      <c r="L214" t="s">
        <v>42</v>
      </c>
      <c r="M214">
        <v>2</v>
      </c>
      <c r="N214">
        <v>1</v>
      </c>
      <c r="O214">
        <v>1</v>
      </c>
      <c r="P214" t="s">
        <v>44</v>
      </c>
      <c r="Q214" t="s">
        <v>43</v>
      </c>
      <c r="R214" t="s">
        <v>44</v>
      </c>
      <c r="S214">
        <f t="shared" si="3"/>
        <v>0</v>
      </c>
      <c r="T214" t="s">
        <v>44</v>
      </c>
      <c r="U214" t="s">
        <v>43</v>
      </c>
      <c r="V214" t="s">
        <v>43</v>
      </c>
      <c r="W214" t="s">
        <v>43</v>
      </c>
      <c r="X214" t="s">
        <v>44</v>
      </c>
      <c r="Y214">
        <v>4</v>
      </c>
      <c r="Z214">
        <v>2</v>
      </c>
      <c r="AA214">
        <v>4</v>
      </c>
      <c r="AB214">
        <v>2</v>
      </c>
      <c r="AC214">
        <v>3</v>
      </c>
      <c r="AD214">
        <v>2</v>
      </c>
      <c r="AE214">
        <v>30</v>
      </c>
      <c r="AF214">
        <v>14</v>
      </c>
      <c r="AG214">
        <v>15</v>
      </c>
      <c r="AH214">
        <v>16</v>
      </c>
    </row>
    <row r="215" spans="1:34" x14ac:dyDescent="0.2">
      <c r="A215" t="s">
        <v>34</v>
      </c>
      <c r="B215" t="s">
        <v>35</v>
      </c>
      <c r="C215">
        <v>16</v>
      </c>
      <c r="D215" t="s">
        <v>36</v>
      </c>
      <c r="E215" t="s">
        <v>48</v>
      </c>
      <c r="F215" t="s">
        <v>45</v>
      </c>
      <c r="G215">
        <v>4</v>
      </c>
      <c r="H215">
        <v>4</v>
      </c>
      <c r="I215" t="s">
        <v>40</v>
      </c>
      <c r="J215" t="s">
        <v>40</v>
      </c>
      <c r="K215" t="s">
        <v>52</v>
      </c>
      <c r="L215" t="s">
        <v>42</v>
      </c>
      <c r="M215">
        <v>1</v>
      </c>
      <c r="N215">
        <v>2</v>
      </c>
      <c r="O215">
        <v>0</v>
      </c>
      <c r="P215" t="s">
        <v>44</v>
      </c>
      <c r="Q215" t="s">
        <v>43</v>
      </c>
      <c r="R215" t="s">
        <v>44</v>
      </c>
      <c r="S215">
        <f t="shared" si="3"/>
        <v>0</v>
      </c>
      <c r="T215" t="s">
        <v>44</v>
      </c>
      <c r="U215" t="s">
        <v>43</v>
      </c>
      <c r="V215" t="s">
        <v>43</v>
      </c>
      <c r="W215" t="s">
        <v>43</v>
      </c>
      <c r="X215" t="s">
        <v>44</v>
      </c>
      <c r="Y215">
        <v>4</v>
      </c>
      <c r="Z215">
        <v>5</v>
      </c>
      <c r="AA215">
        <v>2</v>
      </c>
      <c r="AB215">
        <v>1</v>
      </c>
      <c r="AC215">
        <v>2</v>
      </c>
      <c r="AD215">
        <v>3</v>
      </c>
      <c r="AE215">
        <v>0</v>
      </c>
      <c r="AF215">
        <v>11</v>
      </c>
      <c r="AG215">
        <v>10</v>
      </c>
      <c r="AH215">
        <v>11</v>
      </c>
    </row>
    <row r="216" spans="1:34" x14ac:dyDescent="0.2">
      <c r="A216" t="s">
        <v>34</v>
      </c>
      <c r="B216" t="s">
        <v>35</v>
      </c>
      <c r="C216">
        <v>16</v>
      </c>
      <c r="D216" t="s">
        <v>36</v>
      </c>
      <c r="E216" t="s">
        <v>37</v>
      </c>
      <c r="F216" t="s">
        <v>45</v>
      </c>
      <c r="G216">
        <v>4</v>
      </c>
      <c r="H216">
        <v>3</v>
      </c>
      <c r="I216" t="s">
        <v>29</v>
      </c>
      <c r="J216" t="s">
        <v>46</v>
      </c>
      <c r="K216" t="s">
        <v>50</v>
      </c>
      <c r="L216" t="s">
        <v>42</v>
      </c>
      <c r="M216">
        <v>1</v>
      </c>
      <c r="N216">
        <v>2</v>
      </c>
      <c r="O216">
        <v>0</v>
      </c>
      <c r="P216" t="s">
        <v>44</v>
      </c>
      <c r="Q216" t="s">
        <v>43</v>
      </c>
      <c r="R216" t="s">
        <v>44</v>
      </c>
      <c r="S216">
        <f t="shared" si="3"/>
        <v>0</v>
      </c>
      <c r="T216" t="s">
        <v>43</v>
      </c>
      <c r="U216" t="s">
        <v>43</v>
      </c>
      <c r="V216" t="s">
        <v>43</v>
      </c>
      <c r="W216" t="s">
        <v>43</v>
      </c>
      <c r="X216" t="s">
        <v>44</v>
      </c>
      <c r="Y216">
        <v>4</v>
      </c>
      <c r="Z216">
        <v>3</v>
      </c>
      <c r="AA216">
        <v>5</v>
      </c>
      <c r="AB216">
        <v>1</v>
      </c>
      <c r="AC216">
        <v>5</v>
      </c>
      <c r="AD216">
        <v>2</v>
      </c>
      <c r="AE216">
        <v>2</v>
      </c>
      <c r="AF216">
        <v>14</v>
      </c>
      <c r="AG216">
        <v>14</v>
      </c>
      <c r="AH216">
        <v>15</v>
      </c>
    </row>
    <row r="217" spans="1:34" x14ac:dyDescent="0.2">
      <c r="A217" t="s">
        <v>34</v>
      </c>
      <c r="B217" t="s">
        <v>35</v>
      </c>
      <c r="C217">
        <v>16</v>
      </c>
      <c r="D217" t="s">
        <v>36</v>
      </c>
      <c r="E217" t="s">
        <v>37</v>
      </c>
      <c r="F217" t="s">
        <v>45</v>
      </c>
      <c r="G217">
        <v>2</v>
      </c>
      <c r="H217">
        <v>3</v>
      </c>
      <c r="I217" t="s">
        <v>46</v>
      </c>
      <c r="J217" t="s">
        <v>46</v>
      </c>
      <c r="K217" t="s">
        <v>52</v>
      </c>
      <c r="L217" t="s">
        <v>42</v>
      </c>
      <c r="M217">
        <v>1</v>
      </c>
      <c r="N217">
        <v>2</v>
      </c>
      <c r="O217">
        <v>0</v>
      </c>
      <c r="P217" t="s">
        <v>43</v>
      </c>
      <c r="Q217" t="s">
        <v>43</v>
      </c>
      <c r="R217" t="s">
        <v>44</v>
      </c>
      <c r="S217">
        <f t="shared" si="3"/>
        <v>0</v>
      </c>
      <c r="T217" t="s">
        <v>43</v>
      </c>
      <c r="U217" t="s">
        <v>43</v>
      </c>
      <c r="V217" t="s">
        <v>43</v>
      </c>
      <c r="W217" t="s">
        <v>44</v>
      </c>
      <c r="X217" t="s">
        <v>44</v>
      </c>
      <c r="Y217">
        <v>4</v>
      </c>
      <c r="Z217">
        <v>4</v>
      </c>
      <c r="AA217">
        <v>3</v>
      </c>
      <c r="AB217">
        <v>1</v>
      </c>
      <c r="AC217">
        <v>3</v>
      </c>
      <c r="AD217">
        <v>4</v>
      </c>
      <c r="AE217">
        <v>4</v>
      </c>
      <c r="AF217">
        <v>11</v>
      </c>
      <c r="AG217">
        <v>12</v>
      </c>
      <c r="AH217">
        <v>12</v>
      </c>
    </row>
    <row r="218" spans="1:34" x14ac:dyDescent="0.2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v>1</v>
      </c>
      <c r="H218">
        <v>1</v>
      </c>
      <c r="I218" t="s">
        <v>46</v>
      </c>
      <c r="J218" t="s">
        <v>46</v>
      </c>
      <c r="K218" t="s">
        <v>41</v>
      </c>
      <c r="L218" t="s">
        <v>42</v>
      </c>
      <c r="M218">
        <v>1</v>
      </c>
      <c r="N218">
        <v>2</v>
      </c>
      <c r="O218">
        <v>0</v>
      </c>
      <c r="P218" t="s">
        <v>44</v>
      </c>
      <c r="Q218" t="s">
        <v>43</v>
      </c>
      <c r="R218" t="s">
        <v>44</v>
      </c>
      <c r="S218">
        <f t="shared" si="3"/>
        <v>0</v>
      </c>
      <c r="T218" t="s">
        <v>44</v>
      </c>
      <c r="U218" t="s">
        <v>44</v>
      </c>
      <c r="V218" t="s">
        <v>43</v>
      </c>
      <c r="W218" t="s">
        <v>44</v>
      </c>
      <c r="X218" t="s">
        <v>44</v>
      </c>
      <c r="Y218">
        <v>4</v>
      </c>
      <c r="Z218">
        <v>4</v>
      </c>
      <c r="AA218">
        <v>4</v>
      </c>
      <c r="AB218">
        <v>1</v>
      </c>
      <c r="AC218">
        <v>3</v>
      </c>
      <c r="AD218">
        <v>1</v>
      </c>
      <c r="AE218">
        <v>0</v>
      </c>
      <c r="AF218">
        <v>14</v>
      </c>
      <c r="AG218">
        <v>15</v>
      </c>
      <c r="AH218">
        <v>15</v>
      </c>
    </row>
    <row r="219" spans="1:34" x14ac:dyDescent="0.2">
      <c r="A219" t="s">
        <v>34</v>
      </c>
      <c r="B219" t="s">
        <v>35</v>
      </c>
      <c r="C219">
        <v>17</v>
      </c>
      <c r="D219" t="s">
        <v>53</v>
      </c>
      <c r="E219" t="s">
        <v>37</v>
      </c>
      <c r="F219" t="s">
        <v>45</v>
      </c>
      <c r="G219">
        <v>2</v>
      </c>
      <c r="H219">
        <v>2</v>
      </c>
      <c r="I219" t="s">
        <v>46</v>
      </c>
      <c r="J219" t="s">
        <v>46</v>
      </c>
      <c r="K219" t="s">
        <v>52</v>
      </c>
      <c r="L219" t="s">
        <v>42</v>
      </c>
      <c r="M219">
        <v>1</v>
      </c>
      <c r="N219">
        <v>1</v>
      </c>
      <c r="O219">
        <v>0</v>
      </c>
      <c r="P219" t="s">
        <v>44</v>
      </c>
      <c r="Q219" t="s">
        <v>43</v>
      </c>
      <c r="R219" t="s">
        <v>44</v>
      </c>
      <c r="S219">
        <f t="shared" si="3"/>
        <v>0</v>
      </c>
      <c r="T219" t="s">
        <v>44</v>
      </c>
      <c r="U219" t="s">
        <v>43</v>
      </c>
      <c r="V219" t="s">
        <v>43</v>
      </c>
      <c r="W219" t="s">
        <v>43</v>
      </c>
      <c r="X219" t="s">
        <v>44</v>
      </c>
      <c r="Y219">
        <v>5</v>
      </c>
      <c r="Z219">
        <v>3</v>
      </c>
      <c r="AA219">
        <v>2</v>
      </c>
      <c r="AB219">
        <v>1</v>
      </c>
      <c r="AC219">
        <v>2</v>
      </c>
      <c r="AD219">
        <v>3</v>
      </c>
      <c r="AE219">
        <v>21</v>
      </c>
      <c r="AF219">
        <v>13</v>
      </c>
      <c r="AG219">
        <v>13</v>
      </c>
      <c r="AH219">
        <v>13</v>
      </c>
    </row>
    <row r="220" spans="1:34" x14ac:dyDescent="0.2">
      <c r="A220" t="s">
        <v>34</v>
      </c>
      <c r="B220" t="s">
        <v>35</v>
      </c>
      <c r="C220">
        <v>16</v>
      </c>
      <c r="D220" t="s">
        <v>53</v>
      </c>
      <c r="E220" t="s">
        <v>37</v>
      </c>
      <c r="F220" t="s">
        <v>45</v>
      </c>
      <c r="G220">
        <v>2</v>
      </c>
      <c r="H220">
        <v>2</v>
      </c>
      <c r="I220" t="s">
        <v>49</v>
      </c>
      <c r="J220" t="s">
        <v>49</v>
      </c>
      <c r="K220" t="s">
        <v>52</v>
      </c>
      <c r="L220" t="s">
        <v>42</v>
      </c>
      <c r="M220">
        <v>2</v>
      </c>
      <c r="N220">
        <v>4</v>
      </c>
      <c r="O220">
        <v>0</v>
      </c>
      <c r="P220" t="s">
        <v>44</v>
      </c>
      <c r="Q220" t="s">
        <v>43</v>
      </c>
      <c r="R220" t="s">
        <v>44</v>
      </c>
      <c r="S220">
        <f t="shared" si="3"/>
        <v>0</v>
      </c>
      <c r="T220" t="s">
        <v>43</v>
      </c>
      <c r="U220" t="s">
        <v>44</v>
      </c>
      <c r="V220" t="s">
        <v>43</v>
      </c>
      <c r="W220" t="s">
        <v>43</v>
      </c>
      <c r="X220" t="s">
        <v>44</v>
      </c>
      <c r="Y220">
        <v>5</v>
      </c>
      <c r="Z220">
        <v>3</v>
      </c>
      <c r="AA220">
        <v>5</v>
      </c>
      <c r="AB220">
        <v>1</v>
      </c>
      <c r="AC220">
        <v>1</v>
      </c>
      <c r="AD220">
        <v>5</v>
      </c>
      <c r="AE220">
        <v>6</v>
      </c>
      <c r="AF220">
        <v>13</v>
      </c>
      <c r="AG220">
        <v>13</v>
      </c>
      <c r="AH220">
        <v>13</v>
      </c>
    </row>
    <row r="221" spans="1:34" x14ac:dyDescent="0.2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v>3</v>
      </c>
      <c r="H221">
        <v>4</v>
      </c>
      <c r="I221" t="s">
        <v>39</v>
      </c>
      <c r="J221" t="s">
        <v>49</v>
      </c>
      <c r="K221" t="s">
        <v>50</v>
      </c>
      <c r="L221" t="s">
        <v>42</v>
      </c>
      <c r="M221">
        <v>1</v>
      </c>
      <c r="N221">
        <v>3</v>
      </c>
      <c r="O221">
        <v>1</v>
      </c>
      <c r="P221" t="s">
        <v>44</v>
      </c>
      <c r="Q221" t="s">
        <v>43</v>
      </c>
      <c r="R221" t="s">
        <v>43</v>
      </c>
      <c r="S221">
        <f t="shared" si="3"/>
        <v>1</v>
      </c>
      <c r="T221" t="s">
        <v>44</v>
      </c>
      <c r="U221" t="s">
        <v>43</v>
      </c>
      <c r="V221" t="s">
        <v>43</v>
      </c>
      <c r="W221" t="s">
        <v>43</v>
      </c>
      <c r="X221" t="s">
        <v>43</v>
      </c>
      <c r="Y221">
        <v>4</v>
      </c>
      <c r="Z221">
        <v>4</v>
      </c>
      <c r="AA221">
        <v>3</v>
      </c>
      <c r="AB221">
        <v>3</v>
      </c>
      <c r="AC221">
        <v>4</v>
      </c>
      <c r="AD221">
        <v>5</v>
      </c>
      <c r="AE221">
        <v>14</v>
      </c>
      <c r="AF221">
        <v>8</v>
      </c>
      <c r="AG221">
        <v>9</v>
      </c>
      <c r="AH221">
        <v>8</v>
      </c>
    </row>
    <row r="222" spans="1:34" x14ac:dyDescent="0.2">
      <c r="A222" t="s">
        <v>34</v>
      </c>
      <c r="B222" t="s">
        <v>35</v>
      </c>
      <c r="C222">
        <v>16</v>
      </c>
      <c r="D222" t="s">
        <v>36</v>
      </c>
      <c r="E222" t="s">
        <v>37</v>
      </c>
      <c r="F222" t="s">
        <v>38</v>
      </c>
      <c r="G222">
        <v>3</v>
      </c>
      <c r="H222">
        <v>1</v>
      </c>
      <c r="I222" t="s">
        <v>49</v>
      </c>
      <c r="J222" t="s">
        <v>46</v>
      </c>
      <c r="K222" t="s">
        <v>41</v>
      </c>
      <c r="L222" t="s">
        <v>42</v>
      </c>
      <c r="M222">
        <v>1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>
        <f t="shared" si="3"/>
        <v>0</v>
      </c>
      <c r="T222" t="s">
        <v>44</v>
      </c>
      <c r="U222" t="s">
        <v>43</v>
      </c>
      <c r="V222" t="s">
        <v>43</v>
      </c>
      <c r="W222" t="s">
        <v>43</v>
      </c>
      <c r="X222" t="s">
        <v>44</v>
      </c>
      <c r="Y222">
        <v>2</v>
      </c>
      <c r="Z222">
        <v>3</v>
      </c>
      <c r="AA222">
        <v>3</v>
      </c>
      <c r="AB222">
        <v>2</v>
      </c>
      <c r="AC222">
        <v>2</v>
      </c>
      <c r="AD222">
        <v>4</v>
      </c>
      <c r="AE222">
        <v>2</v>
      </c>
      <c r="AF222">
        <v>11</v>
      </c>
      <c r="AG222">
        <v>11</v>
      </c>
      <c r="AH222">
        <v>12</v>
      </c>
    </row>
    <row r="223" spans="1:34" x14ac:dyDescent="0.2">
      <c r="A223" t="s">
        <v>34</v>
      </c>
      <c r="B223" t="s">
        <v>35</v>
      </c>
      <c r="C223">
        <v>16</v>
      </c>
      <c r="D223" t="s">
        <v>36</v>
      </c>
      <c r="E223" t="s">
        <v>37</v>
      </c>
      <c r="F223" t="s">
        <v>45</v>
      </c>
      <c r="G223">
        <v>4</v>
      </c>
      <c r="H223">
        <v>3</v>
      </c>
      <c r="I223" t="s">
        <v>40</v>
      </c>
      <c r="J223" t="s">
        <v>46</v>
      </c>
      <c r="K223" t="s">
        <v>46</v>
      </c>
      <c r="L223" t="s">
        <v>42</v>
      </c>
      <c r="M223">
        <v>1</v>
      </c>
      <c r="N223">
        <v>2</v>
      </c>
      <c r="O223">
        <v>0</v>
      </c>
      <c r="P223" t="s">
        <v>44</v>
      </c>
      <c r="Q223" t="s">
        <v>44</v>
      </c>
      <c r="R223" t="s">
        <v>44</v>
      </c>
      <c r="S223">
        <f t="shared" si="3"/>
        <v>0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>
        <v>1</v>
      </c>
      <c r="Z223">
        <v>3</v>
      </c>
      <c r="AA223">
        <v>2</v>
      </c>
      <c r="AB223">
        <v>1</v>
      </c>
      <c r="AC223">
        <v>1</v>
      </c>
      <c r="AD223">
        <v>1</v>
      </c>
      <c r="AE223">
        <v>4</v>
      </c>
      <c r="AF223">
        <v>14</v>
      </c>
      <c r="AG223">
        <v>15</v>
      </c>
      <c r="AH223">
        <v>15</v>
      </c>
    </row>
    <row r="224" spans="1:34" x14ac:dyDescent="0.2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v>1</v>
      </c>
      <c r="H224">
        <v>1</v>
      </c>
      <c r="I224" t="s">
        <v>39</v>
      </c>
      <c r="J224" t="s">
        <v>46</v>
      </c>
      <c r="K224" t="s">
        <v>50</v>
      </c>
      <c r="L224" t="s">
        <v>42</v>
      </c>
      <c r="M224">
        <v>2</v>
      </c>
      <c r="N224">
        <v>1</v>
      </c>
      <c r="O224">
        <v>0</v>
      </c>
      <c r="P224" t="s">
        <v>44</v>
      </c>
      <c r="Q224" t="s">
        <v>43</v>
      </c>
      <c r="R224" t="s">
        <v>44</v>
      </c>
      <c r="S224">
        <f t="shared" si="3"/>
        <v>0</v>
      </c>
      <c r="T224" t="s">
        <v>44</v>
      </c>
      <c r="U224" t="s">
        <v>43</v>
      </c>
      <c r="V224" t="s">
        <v>43</v>
      </c>
      <c r="W224" t="s">
        <v>44</v>
      </c>
      <c r="X224" t="s">
        <v>44</v>
      </c>
      <c r="Y224">
        <v>4</v>
      </c>
      <c r="Z224">
        <v>3</v>
      </c>
      <c r="AA224">
        <v>2</v>
      </c>
      <c r="AB224">
        <v>1</v>
      </c>
      <c r="AC224">
        <v>4</v>
      </c>
      <c r="AD224">
        <v>5</v>
      </c>
      <c r="AE224">
        <v>2</v>
      </c>
      <c r="AF224">
        <v>12</v>
      </c>
      <c r="AG224">
        <v>13</v>
      </c>
      <c r="AH224">
        <v>13</v>
      </c>
    </row>
    <row r="225" spans="1:34" x14ac:dyDescent="0.2">
      <c r="A225" t="s">
        <v>34</v>
      </c>
      <c r="B225" t="s">
        <v>35</v>
      </c>
      <c r="C225">
        <v>17</v>
      </c>
      <c r="D225" t="s">
        <v>53</v>
      </c>
      <c r="E225" t="s">
        <v>37</v>
      </c>
      <c r="F225" t="s">
        <v>45</v>
      </c>
      <c r="G225">
        <v>4</v>
      </c>
      <c r="H225">
        <v>3</v>
      </c>
      <c r="I225" t="s">
        <v>40</v>
      </c>
      <c r="J225" t="s">
        <v>46</v>
      </c>
      <c r="K225" t="s">
        <v>52</v>
      </c>
      <c r="L225" t="s">
        <v>42</v>
      </c>
      <c r="M225">
        <v>2</v>
      </c>
      <c r="N225">
        <v>3</v>
      </c>
      <c r="O225">
        <v>0</v>
      </c>
      <c r="P225" t="s">
        <v>44</v>
      </c>
      <c r="Q225" t="s">
        <v>43</v>
      </c>
      <c r="R225" t="s">
        <v>44</v>
      </c>
      <c r="S225">
        <f t="shared" si="3"/>
        <v>0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>
        <v>4</v>
      </c>
      <c r="Z225">
        <v>4</v>
      </c>
      <c r="AA225">
        <v>2</v>
      </c>
      <c r="AB225">
        <v>1</v>
      </c>
      <c r="AC225">
        <v>1</v>
      </c>
      <c r="AD225">
        <v>4</v>
      </c>
      <c r="AE225">
        <v>0</v>
      </c>
      <c r="AF225">
        <v>11</v>
      </c>
      <c r="AG225">
        <v>12</v>
      </c>
      <c r="AH225">
        <v>12</v>
      </c>
    </row>
    <row r="226" spans="1:34" x14ac:dyDescent="0.2">
      <c r="A226" t="s">
        <v>34</v>
      </c>
      <c r="B226" t="s">
        <v>35</v>
      </c>
      <c r="C226">
        <v>19</v>
      </c>
      <c r="D226" t="s">
        <v>36</v>
      </c>
      <c r="E226" t="s">
        <v>37</v>
      </c>
      <c r="F226" t="s">
        <v>45</v>
      </c>
      <c r="G226">
        <v>3</v>
      </c>
      <c r="H226">
        <v>3</v>
      </c>
      <c r="I226" t="s">
        <v>46</v>
      </c>
      <c r="J226" t="s">
        <v>46</v>
      </c>
      <c r="K226" t="s">
        <v>52</v>
      </c>
      <c r="L226" t="s">
        <v>46</v>
      </c>
      <c r="M226">
        <v>1</v>
      </c>
      <c r="N226">
        <v>4</v>
      </c>
      <c r="O226">
        <v>0</v>
      </c>
      <c r="P226" t="s">
        <v>44</v>
      </c>
      <c r="Q226" t="s">
        <v>43</v>
      </c>
      <c r="R226" t="s">
        <v>44</v>
      </c>
      <c r="S226">
        <f t="shared" si="3"/>
        <v>0</v>
      </c>
      <c r="T226" t="s">
        <v>43</v>
      </c>
      <c r="U226" t="s">
        <v>43</v>
      </c>
      <c r="V226" t="s">
        <v>43</v>
      </c>
      <c r="W226" t="s">
        <v>43</v>
      </c>
      <c r="X226" t="s">
        <v>44</v>
      </c>
      <c r="Y226">
        <v>4</v>
      </c>
      <c r="Z226">
        <v>3</v>
      </c>
      <c r="AA226">
        <v>3</v>
      </c>
      <c r="AB226">
        <v>1</v>
      </c>
      <c r="AC226">
        <v>2</v>
      </c>
      <c r="AD226">
        <v>3</v>
      </c>
      <c r="AE226">
        <v>4</v>
      </c>
      <c r="AF226">
        <v>12</v>
      </c>
      <c r="AG226">
        <v>12</v>
      </c>
      <c r="AH226">
        <v>12</v>
      </c>
    </row>
    <row r="227" spans="1:34" x14ac:dyDescent="0.2">
      <c r="A227" t="s">
        <v>34</v>
      </c>
      <c r="B227" t="s">
        <v>51</v>
      </c>
      <c r="C227">
        <v>17</v>
      </c>
      <c r="D227" t="s">
        <v>36</v>
      </c>
      <c r="E227" t="s">
        <v>48</v>
      </c>
      <c r="F227" t="s">
        <v>45</v>
      </c>
      <c r="G227">
        <v>4</v>
      </c>
      <c r="H227">
        <v>4</v>
      </c>
      <c r="I227" t="s">
        <v>49</v>
      </c>
      <c r="J227" t="s">
        <v>46</v>
      </c>
      <c r="K227" t="s">
        <v>50</v>
      </c>
      <c r="L227" t="s">
        <v>42</v>
      </c>
      <c r="M227">
        <v>1</v>
      </c>
      <c r="N227">
        <v>2</v>
      </c>
      <c r="O227">
        <v>0</v>
      </c>
      <c r="P227" t="s">
        <v>44</v>
      </c>
      <c r="Q227" t="s">
        <v>43</v>
      </c>
      <c r="R227" t="s">
        <v>44</v>
      </c>
      <c r="S227">
        <f t="shared" si="3"/>
        <v>0</v>
      </c>
      <c r="T227" t="s">
        <v>44</v>
      </c>
      <c r="U227" t="s">
        <v>43</v>
      </c>
      <c r="V227" t="s">
        <v>43</v>
      </c>
      <c r="W227" t="s">
        <v>43</v>
      </c>
      <c r="X227" t="s">
        <v>43</v>
      </c>
      <c r="Y227">
        <v>5</v>
      </c>
      <c r="Z227">
        <v>3</v>
      </c>
      <c r="AA227">
        <v>5</v>
      </c>
      <c r="AB227">
        <v>4</v>
      </c>
      <c r="AC227">
        <v>5</v>
      </c>
      <c r="AD227">
        <v>3</v>
      </c>
      <c r="AE227">
        <v>15</v>
      </c>
      <c r="AF227">
        <v>13</v>
      </c>
      <c r="AG227">
        <v>12</v>
      </c>
      <c r="AH227">
        <v>12</v>
      </c>
    </row>
    <row r="228" spans="1:34" x14ac:dyDescent="0.2">
      <c r="A228" t="s">
        <v>34</v>
      </c>
      <c r="B228" t="s">
        <v>35</v>
      </c>
      <c r="C228">
        <v>16</v>
      </c>
      <c r="D228" t="s">
        <v>36</v>
      </c>
      <c r="E228" t="s">
        <v>37</v>
      </c>
      <c r="F228" t="s">
        <v>38</v>
      </c>
      <c r="G228">
        <v>2</v>
      </c>
      <c r="H228">
        <v>2</v>
      </c>
      <c r="I228" t="s">
        <v>46</v>
      </c>
      <c r="J228" t="s">
        <v>46</v>
      </c>
      <c r="K228" t="s">
        <v>52</v>
      </c>
      <c r="L228" t="s">
        <v>42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44</v>
      </c>
      <c r="S228">
        <f t="shared" si="3"/>
        <v>0</v>
      </c>
      <c r="T228" t="s">
        <v>44</v>
      </c>
      <c r="U228" t="s">
        <v>43</v>
      </c>
      <c r="V228" t="s">
        <v>43</v>
      </c>
      <c r="W228" t="s">
        <v>43</v>
      </c>
      <c r="X228" t="s">
        <v>44</v>
      </c>
      <c r="Y228">
        <v>3</v>
      </c>
      <c r="Z228">
        <v>3</v>
      </c>
      <c r="AA228">
        <v>4</v>
      </c>
      <c r="AB228">
        <v>1</v>
      </c>
      <c r="AC228">
        <v>1</v>
      </c>
      <c r="AD228">
        <v>4</v>
      </c>
      <c r="AE228">
        <v>0</v>
      </c>
      <c r="AF228">
        <v>13</v>
      </c>
      <c r="AG228">
        <v>13</v>
      </c>
      <c r="AH228">
        <v>13</v>
      </c>
    </row>
    <row r="229" spans="1:34" x14ac:dyDescent="0.2">
      <c r="A229" t="s">
        <v>34</v>
      </c>
      <c r="B229" t="s">
        <v>51</v>
      </c>
      <c r="C229">
        <v>18</v>
      </c>
      <c r="D229" t="s">
        <v>36</v>
      </c>
      <c r="E229" t="s">
        <v>37</v>
      </c>
      <c r="F229" t="s">
        <v>45</v>
      </c>
      <c r="G229">
        <v>2</v>
      </c>
      <c r="H229">
        <v>2</v>
      </c>
      <c r="I229" t="s">
        <v>49</v>
      </c>
      <c r="J229" t="s">
        <v>46</v>
      </c>
      <c r="K229" t="s">
        <v>50</v>
      </c>
      <c r="L229" t="s">
        <v>42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44</v>
      </c>
      <c r="S229">
        <f t="shared" si="3"/>
        <v>0</v>
      </c>
      <c r="T229" t="s">
        <v>43</v>
      </c>
      <c r="U229" t="s">
        <v>43</v>
      </c>
      <c r="V229" t="s">
        <v>43</v>
      </c>
      <c r="W229" t="s">
        <v>43</v>
      </c>
      <c r="X229" t="s">
        <v>44</v>
      </c>
      <c r="Y229">
        <v>4</v>
      </c>
      <c r="Z229">
        <v>4</v>
      </c>
      <c r="AA229">
        <v>4</v>
      </c>
      <c r="AB229">
        <v>2</v>
      </c>
      <c r="AC229">
        <v>4</v>
      </c>
      <c r="AD229">
        <v>5</v>
      </c>
      <c r="AE229">
        <v>10</v>
      </c>
      <c r="AF229">
        <v>12</v>
      </c>
      <c r="AG229">
        <v>11</v>
      </c>
      <c r="AH229">
        <v>11</v>
      </c>
    </row>
    <row r="230" spans="1:34" x14ac:dyDescent="0.2">
      <c r="A230" t="s">
        <v>34</v>
      </c>
      <c r="B230" t="s">
        <v>35</v>
      </c>
      <c r="C230">
        <v>17</v>
      </c>
      <c r="D230" t="s">
        <v>53</v>
      </c>
      <c r="E230" t="s">
        <v>48</v>
      </c>
      <c r="F230" t="s">
        <v>45</v>
      </c>
      <c r="G230">
        <v>4</v>
      </c>
      <c r="H230">
        <v>4</v>
      </c>
      <c r="I230" t="s">
        <v>49</v>
      </c>
      <c r="J230" t="s">
        <v>46</v>
      </c>
      <c r="K230" t="s">
        <v>46</v>
      </c>
      <c r="L230" t="s">
        <v>42</v>
      </c>
      <c r="M230">
        <v>1</v>
      </c>
      <c r="N230">
        <v>1</v>
      </c>
      <c r="O230">
        <v>0</v>
      </c>
      <c r="P230" t="s">
        <v>44</v>
      </c>
      <c r="Q230" t="s">
        <v>43</v>
      </c>
      <c r="R230" t="s">
        <v>44</v>
      </c>
      <c r="S230">
        <f t="shared" si="3"/>
        <v>0</v>
      </c>
      <c r="T230" t="s">
        <v>44</v>
      </c>
      <c r="U230" t="s">
        <v>43</v>
      </c>
      <c r="V230" t="s">
        <v>43</v>
      </c>
      <c r="W230" t="s">
        <v>44</v>
      </c>
      <c r="X230" t="s">
        <v>44</v>
      </c>
      <c r="Y230">
        <v>5</v>
      </c>
      <c r="Z230">
        <v>2</v>
      </c>
      <c r="AA230">
        <v>1</v>
      </c>
      <c r="AB230">
        <v>1</v>
      </c>
      <c r="AC230">
        <v>2</v>
      </c>
      <c r="AD230">
        <v>3</v>
      </c>
      <c r="AE230">
        <v>6</v>
      </c>
      <c r="AF230">
        <v>12</v>
      </c>
      <c r="AG230">
        <v>11</v>
      </c>
      <c r="AH230">
        <v>11</v>
      </c>
    </row>
    <row r="231" spans="1:34" x14ac:dyDescent="0.2">
      <c r="A231" t="s">
        <v>34</v>
      </c>
      <c r="B231" t="s">
        <v>35</v>
      </c>
      <c r="C231">
        <v>17</v>
      </c>
      <c r="D231" t="s">
        <v>36</v>
      </c>
      <c r="E231" t="s">
        <v>48</v>
      </c>
      <c r="F231" t="s">
        <v>45</v>
      </c>
      <c r="G231">
        <v>3</v>
      </c>
      <c r="H231">
        <v>2</v>
      </c>
      <c r="I231" t="s">
        <v>46</v>
      </c>
      <c r="J231" t="s">
        <v>46</v>
      </c>
      <c r="K231" t="s">
        <v>52</v>
      </c>
      <c r="L231" t="s">
        <v>42</v>
      </c>
      <c r="M231">
        <v>2</v>
      </c>
      <c r="N231">
        <v>2</v>
      </c>
      <c r="O231">
        <v>0</v>
      </c>
      <c r="P231" t="s">
        <v>44</v>
      </c>
      <c r="Q231" t="s">
        <v>44</v>
      </c>
      <c r="R231" t="s">
        <v>44</v>
      </c>
      <c r="S231">
        <f t="shared" si="3"/>
        <v>0</v>
      </c>
      <c r="T231" t="s">
        <v>44</v>
      </c>
      <c r="U231" t="s">
        <v>43</v>
      </c>
      <c r="V231" t="s">
        <v>43</v>
      </c>
      <c r="W231" t="s">
        <v>43</v>
      </c>
      <c r="X231" t="s">
        <v>44</v>
      </c>
      <c r="Y231">
        <v>4</v>
      </c>
      <c r="Z231">
        <v>4</v>
      </c>
      <c r="AA231">
        <v>4</v>
      </c>
      <c r="AB231">
        <v>1</v>
      </c>
      <c r="AC231">
        <v>3</v>
      </c>
      <c r="AD231">
        <v>1</v>
      </c>
      <c r="AE231">
        <v>2</v>
      </c>
      <c r="AF231">
        <v>14</v>
      </c>
      <c r="AG231">
        <v>16</v>
      </c>
      <c r="AH231">
        <v>15</v>
      </c>
    </row>
    <row r="232" spans="1:34" x14ac:dyDescent="0.2">
      <c r="A232" t="s">
        <v>34</v>
      </c>
      <c r="B232" t="s">
        <v>35</v>
      </c>
      <c r="C232">
        <v>17</v>
      </c>
      <c r="D232" t="s">
        <v>36</v>
      </c>
      <c r="E232" t="s">
        <v>37</v>
      </c>
      <c r="F232" t="s">
        <v>45</v>
      </c>
      <c r="G232">
        <v>4</v>
      </c>
      <c r="H232">
        <v>3</v>
      </c>
      <c r="I232" t="s">
        <v>46</v>
      </c>
      <c r="J232" t="s">
        <v>46</v>
      </c>
      <c r="K232" t="s">
        <v>52</v>
      </c>
      <c r="L232" t="s">
        <v>42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>
        <f t="shared" si="3"/>
        <v>0</v>
      </c>
      <c r="T232" t="s">
        <v>44</v>
      </c>
      <c r="U232" t="s">
        <v>43</v>
      </c>
      <c r="V232" t="s">
        <v>43</v>
      </c>
      <c r="W232" t="s">
        <v>43</v>
      </c>
      <c r="X232" t="s">
        <v>43</v>
      </c>
      <c r="Y232">
        <v>3</v>
      </c>
      <c r="Z232">
        <v>4</v>
      </c>
      <c r="AA232">
        <v>5</v>
      </c>
      <c r="AB232">
        <v>2</v>
      </c>
      <c r="AC232">
        <v>4</v>
      </c>
      <c r="AD232">
        <v>1</v>
      </c>
      <c r="AE232">
        <v>16</v>
      </c>
      <c r="AF232">
        <v>11</v>
      </c>
      <c r="AG232">
        <v>9</v>
      </c>
      <c r="AH232">
        <v>10</v>
      </c>
    </row>
    <row r="233" spans="1:34" x14ac:dyDescent="0.2">
      <c r="A233" t="s">
        <v>34</v>
      </c>
      <c r="B233" t="s">
        <v>51</v>
      </c>
      <c r="C233">
        <v>18</v>
      </c>
      <c r="D233" t="s">
        <v>36</v>
      </c>
      <c r="E233" t="s">
        <v>48</v>
      </c>
      <c r="F233" t="s">
        <v>45</v>
      </c>
      <c r="G233">
        <v>3</v>
      </c>
      <c r="H233">
        <v>3</v>
      </c>
      <c r="I233" t="s">
        <v>49</v>
      </c>
      <c r="J233" t="s">
        <v>29</v>
      </c>
      <c r="K233" t="s">
        <v>50</v>
      </c>
      <c r="L233" t="s">
        <v>47</v>
      </c>
      <c r="M233">
        <v>1</v>
      </c>
      <c r="N233">
        <v>2</v>
      </c>
      <c r="O233">
        <v>0</v>
      </c>
      <c r="P233" t="s">
        <v>44</v>
      </c>
      <c r="Q233" t="s">
        <v>43</v>
      </c>
      <c r="R233" t="s">
        <v>44</v>
      </c>
      <c r="S233">
        <f t="shared" si="3"/>
        <v>0</v>
      </c>
      <c r="T233" t="s">
        <v>44</v>
      </c>
      <c r="U233" t="s">
        <v>43</v>
      </c>
      <c r="V233" t="s">
        <v>43</v>
      </c>
      <c r="W233" t="s">
        <v>43</v>
      </c>
      <c r="X233" t="s">
        <v>44</v>
      </c>
      <c r="Y233">
        <v>3</v>
      </c>
      <c r="Z233">
        <v>2</v>
      </c>
      <c r="AA233">
        <v>4</v>
      </c>
      <c r="AB233">
        <v>2</v>
      </c>
      <c r="AC233">
        <v>4</v>
      </c>
      <c r="AD233">
        <v>4</v>
      </c>
      <c r="AE233">
        <v>10</v>
      </c>
      <c r="AF233">
        <v>10</v>
      </c>
      <c r="AG233">
        <v>10</v>
      </c>
      <c r="AH233">
        <v>10</v>
      </c>
    </row>
    <row r="234" spans="1:34" x14ac:dyDescent="0.2">
      <c r="A234" t="s">
        <v>34</v>
      </c>
      <c r="B234" t="s">
        <v>35</v>
      </c>
      <c r="C234">
        <v>17</v>
      </c>
      <c r="D234" t="s">
        <v>36</v>
      </c>
      <c r="E234" t="s">
        <v>37</v>
      </c>
      <c r="F234" t="s">
        <v>45</v>
      </c>
      <c r="G234">
        <v>2</v>
      </c>
      <c r="H234">
        <v>3</v>
      </c>
      <c r="I234" t="s">
        <v>39</v>
      </c>
      <c r="J234" t="s">
        <v>46</v>
      </c>
      <c r="K234" t="s">
        <v>50</v>
      </c>
      <c r="L234" t="s">
        <v>47</v>
      </c>
      <c r="M234">
        <v>2</v>
      </c>
      <c r="N234">
        <v>1</v>
      </c>
      <c r="O234">
        <v>0</v>
      </c>
      <c r="P234" t="s">
        <v>44</v>
      </c>
      <c r="Q234" t="s">
        <v>43</v>
      </c>
      <c r="R234" t="s">
        <v>44</v>
      </c>
      <c r="S234">
        <f t="shared" si="3"/>
        <v>0</v>
      </c>
      <c r="T234" t="s">
        <v>44</v>
      </c>
      <c r="U234" t="s">
        <v>43</v>
      </c>
      <c r="V234" t="s">
        <v>43</v>
      </c>
      <c r="W234" t="s">
        <v>44</v>
      </c>
      <c r="X234" t="s">
        <v>44</v>
      </c>
      <c r="Y234">
        <v>3</v>
      </c>
      <c r="Z234">
        <v>3</v>
      </c>
      <c r="AA234">
        <v>3</v>
      </c>
      <c r="AB234">
        <v>1</v>
      </c>
      <c r="AC234">
        <v>4</v>
      </c>
      <c r="AD234">
        <v>3</v>
      </c>
      <c r="AE234">
        <v>4</v>
      </c>
      <c r="AF234">
        <v>12</v>
      </c>
      <c r="AG234">
        <v>13</v>
      </c>
      <c r="AH234">
        <v>13</v>
      </c>
    </row>
    <row r="235" spans="1:34" x14ac:dyDescent="0.2">
      <c r="A235" t="s">
        <v>34</v>
      </c>
      <c r="B235" t="s">
        <v>35</v>
      </c>
      <c r="C235">
        <v>17</v>
      </c>
      <c r="D235" t="s">
        <v>36</v>
      </c>
      <c r="E235" t="s">
        <v>37</v>
      </c>
      <c r="F235" t="s">
        <v>45</v>
      </c>
      <c r="G235">
        <v>2</v>
      </c>
      <c r="H235">
        <v>2</v>
      </c>
      <c r="I235" t="s">
        <v>39</v>
      </c>
      <c r="J235" t="s">
        <v>39</v>
      </c>
      <c r="K235" t="s">
        <v>41</v>
      </c>
      <c r="L235" t="s">
        <v>42</v>
      </c>
      <c r="M235">
        <v>1</v>
      </c>
      <c r="N235">
        <v>3</v>
      </c>
      <c r="O235">
        <v>0</v>
      </c>
      <c r="P235" t="s">
        <v>44</v>
      </c>
      <c r="Q235" t="s">
        <v>43</v>
      </c>
      <c r="R235" t="s">
        <v>44</v>
      </c>
      <c r="S235">
        <f t="shared" si="3"/>
        <v>0</v>
      </c>
      <c r="T235" t="s">
        <v>43</v>
      </c>
      <c r="U235" t="s">
        <v>43</v>
      </c>
      <c r="V235" t="s">
        <v>43</v>
      </c>
      <c r="W235" t="s">
        <v>43</v>
      </c>
      <c r="X235" t="s">
        <v>44</v>
      </c>
      <c r="Y235">
        <v>4</v>
      </c>
      <c r="Z235">
        <v>3</v>
      </c>
      <c r="AA235">
        <v>3</v>
      </c>
      <c r="AB235">
        <v>1</v>
      </c>
      <c r="AC235">
        <v>1</v>
      </c>
      <c r="AD235">
        <v>4</v>
      </c>
      <c r="AE235">
        <v>0</v>
      </c>
      <c r="AF235">
        <v>12</v>
      </c>
      <c r="AG235">
        <v>12</v>
      </c>
      <c r="AH235">
        <v>13</v>
      </c>
    </row>
    <row r="236" spans="1:34" x14ac:dyDescent="0.2">
      <c r="A236" t="s">
        <v>34</v>
      </c>
      <c r="B236" t="s">
        <v>35</v>
      </c>
      <c r="C236">
        <v>17</v>
      </c>
      <c r="D236" t="s">
        <v>53</v>
      </c>
      <c r="E236" t="s">
        <v>37</v>
      </c>
      <c r="F236" t="s">
        <v>45</v>
      </c>
      <c r="G236">
        <v>2</v>
      </c>
      <c r="H236">
        <v>1</v>
      </c>
      <c r="I236" t="s">
        <v>39</v>
      </c>
      <c r="J236" t="s">
        <v>49</v>
      </c>
      <c r="K236" t="s">
        <v>52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44</v>
      </c>
      <c r="S236">
        <f t="shared" si="3"/>
        <v>0</v>
      </c>
      <c r="T236" t="s">
        <v>43</v>
      </c>
      <c r="U236" t="s">
        <v>43</v>
      </c>
      <c r="V236" t="s">
        <v>43</v>
      </c>
      <c r="W236" t="s">
        <v>43</v>
      </c>
      <c r="X236" t="s">
        <v>44</v>
      </c>
      <c r="Y236">
        <v>4</v>
      </c>
      <c r="Z236">
        <v>2</v>
      </c>
      <c r="AA236">
        <v>5</v>
      </c>
      <c r="AB236">
        <v>1</v>
      </c>
      <c r="AC236">
        <v>2</v>
      </c>
      <c r="AD236">
        <v>5</v>
      </c>
      <c r="AE236">
        <v>0</v>
      </c>
      <c r="AF236">
        <v>11</v>
      </c>
      <c r="AG236">
        <v>10</v>
      </c>
      <c r="AH236">
        <v>11</v>
      </c>
    </row>
    <row r="237" spans="1:34" x14ac:dyDescent="0.2">
      <c r="A237" t="s">
        <v>34</v>
      </c>
      <c r="B237" t="s">
        <v>35</v>
      </c>
      <c r="C237">
        <v>17</v>
      </c>
      <c r="D237" t="s">
        <v>36</v>
      </c>
      <c r="E237" t="s">
        <v>37</v>
      </c>
      <c r="F237" t="s">
        <v>45</v>
      </c>
      <c r="G237">
        <v>1</v>
      </c>
      <c r="H237">
        <v>1</v>
      </c>
      <c r="I237" t="s">
        <v>39</v>
      </c>
      <c r="J237" t="s">
        <v>46</v>
      </c>
      <c r="K237" t="s">
        <v>52</v>
      </c>
      <c r="L237" t="s">
        <v>42</v>
      </c>
      <c r="M237">
        <v>1</v>
      </c>
      <c r="N237">
        <v>3</v>
      </c>
      <c r="O237">
        <v>0</v>
      </c>
      <c r="P237" t="s">
        <v>44</v>
      </c>
      <c r="Q237" t="s">
        <v>43</v>
      </c>
      <c r="R237" t="s">
        <v>44</v>
      </c>
      <c r="S237">
        <f t="shared" si="3"/>
        <v>0</v>
      </c>
      <c r="T237" t="s">
        <v>43</v>
      </c>
      <c r="U237" t="s">
        <v>43</v>
      </c>
      <c r="V237" t="s">
        <v>43</v>
      </c>
      <c r="W237" t="s">
        <v>44</v>
      </c>
      <c r="X237" t="s">
        <v>43</v>
      </c>
      <c r="Y237">
        <v>4</v>
      </c>
      <c r="Z237">
        <v>3</v>
      </c>
      <c r="AA237">
        <v>4</v>
      </c>
      <c r="AB237">
        <v>1</v>
      </c>
      <c r="AC237">
        <v>1</v>
      </c>
      <c r="AD237">
        <v>5</v>
      </c>
      <c r="AE237">
        <v>12</v>
      </c>
      <c r="AF237">
        <v>12</v>
      </c>
      <c r="AG237">
        <v>12</v>
      </c>
      <c r="AH237">
        <v>12</v>
      </c>
    </row>
    <row r="238" spans="1:34" x14ac:dyDescent="0.2">
      <c r="A238" t="s">
        <v>34</v>
      </c>
      <c r="B238" t="s">
        <v>35</v>
      </c>
      <c r="C238">
        <v>16</v>
      </c>
      <c r="D238" t="s">
        <v>36</v>
      </c>
      <c r="E238" t="s">
        <v>37</v>
      </c>
      <c r="F238" t="s">
        <v>45</v>
      </c>
      <c r="G238">
        <v>2</v>
      </c>
      <c r="H238">
        <v>3</v>
      </c>
      <c r="I238" t="s">
        <v>49</v>
      </c>
      <c r="J238" t="s">
        <v>40</v>
      </c>
      <c r="K238" t="s">
        <v>46</v>
      </c>
      <c r="L238" t="s">
        <v>42</v>
      </c>
      <c r="M238">
        <v>1</v>
      </c>
      <c r="N238">
        <v>2</v>
      </c>
      <c r="O238">
        <v>0</v>
      </c>
      <c r="P238" t="s">
        <v>43</v>
      </c>
      <c r="Q238" t="s">
        <v>44</v>
      </c>
      <c r="R238" t="s">
        <v>44</v>
      </c>
      <c r="S238">
        <f t="shared" si="3"/>
        <v>0</v>
      </c>
      <c r="T238" t="s">
        <v>44</v>
      </c>
      <c r="U238" t="s">
        <v>43</v>
      </c>
      <c r="V238" t="s">
        <v>43</v>
      </c>
      <c r="W238" t="s">
        <v>43</v>
      </c>
      <c r="X238" t="s">
        <v>44</v>
      </c>
      <c r="Y238">
        <v>2</v>
      </c>
      <c r="Z238">
        <v>3</v>
      </c>
      <c r="AA238">
        <v>1</v>
      </c>
      <c r="AB238">
        <v>1</v>
      </c>
      <c r="AC238">
        <v>1</v>
      </c>
      <c r="AD238">
        <v>3</v>
      </c>
      <c r="AE238">
        <v>0</v>
      </c>
      <c r="AF238">
        <v>13</v>
      </c>
      <c r="AG238">
        <v>13</v>
      </c>
      <c r="AH238">
        <v>14</v>
      </c>
    </row>
    <row r="239" spans="1:34" x14ac:dyDescent="0.2">
      <c r="A239" t="s">
        <v>34</v>
      </c>
      <c r="B239" t="s">
        <v>51</v>
      </c>
      <c r="C239">
        <v>18</v>
      </c>
      <c r="D239" t="s">
        <v>36</v>
      </c>
      <c r="E239" t="s">
        <v>37</v>
      </c>
      <c r="F239" t="s">
        <v>45</v>
      </c>
      <c r="G239">
        <v>2</v>
      </c>
      <c r="H239">
        <v>2</v>
      </c>
      <c r="I239" t="s">
        <v>46</v>
      </c>
      <c r="J239" t="s">
        <v>46</v>
      </c>
      <c r="K239" t="s">
        <v>50</v>
      </c>
      <c r="L239" t="s">
        <v>42</v>
      </c>
      <c r="M239">
        <v>2</v>
      </c>
      <c r="N239">
        <v>2</v>
      </c>
      <c r="O239">
        <v>3</v>
      </c>
      <c r="P239" t="s">
        <v>44</v>
      </c>
      <c r="Q239" t="s">
        <v>43</v>
      </c>
      <c r="R239" t="s">
        <v>43</v>
      </c>
      <c r="S239">
        <f t="shared" si="3"/>
        <v>1</v>
      </c>
      <c r="T239" t="s">
        <v>44</v>
      </c>
      <c r="U239" t="s">
        <v>43</v>
      </c>
      <c r="V239" t="s">
        <v>43</v>
      </c>
      <c r="W239" t="s">
        <v>43</v>
      </c>
      <c r="X239" t="s">
        <v>44</v>
      </c>
      <c r="Y239">
        <v>3</v>
      </c>
      <c r="Z239">
        <v>3</v>
      </c>
      <c r="AA239">
        <v>3</v>
      </c>
      <c r="AB239">
        <v>5</v>
      </c>
      <c r="AC239">
        <v>5</v>
      </c>
      <c r="AD239">
        <v>4</v>
      </c>
      <c r="AE239">
        <v>9</v>
      </c>
      <c r="AF239">
        <v>10</v>
      </c>
      <c r="AG239">
        <v>9</v>
      </c>
      <c r="AH239">
        <v>10</v>
      </c>
    </row>
    <row r="240" spans="1:34" x14ac:dyDescent="0.2">
      <c r="A240" t="s">
        <v>34</v>
      </c>
      <c r="B240" t="s">
        <v>35</v>
      </c>
      <c r="C240">
        <v>16</v>
      </c>
      <c r="D240" t="s">
        <v>36</v>
      </c>
      <c r="E240" t="s">
        <v>37</v>
      </c>
      <c r="F240" t="s">
        <v>45</v>
      </c>
      <c r="G240">
        <v>4</v>
      </c>
      <c r="H240">
        <v>4</v>
      </c>
      <c r="I240" t="s">
        <v>40</v>
      </c>
      <c r="J240" t="s">
        <v>49</v>
      </c>
      <c r="K240" t="s">
        <v>50</v>
      </c>
      <c r="L240" t="s">
        <v>42</v>
      </c>
      <c r="M240">
        <v>1</v>
      </c>
      <c r="N240">
        <v>3</v>
      </c>
      <c r="O240">
        <v>0</v>
      </c>
      <c r="P240" t="s">
        <v>44</v>
      </c>
      <c r="Q240" t="s">
        <v>43</v>
      </c>
      <c r="R240" t="s">
        <v>44</v>
      </c>
      <c r="S240">
        <f t="shared" si="3"/>
        <v>0</v>
      </c>
      <c r="T240" t="s">
        <v>43</v>
      </c>
      <c r="U240" t="s">
        <v>44</v>
      </c>
      <c r="V240" t="s">
        <v>43</v>
      </c>
      <c r="W240" t="s">
        <v>43</v>
      </c>
      <c r="X240" t="s">
        <v>44</v>
      </c>
      <c r="Y240">
        <v>5</v>
      </c>
      <c r="Z240">
        <v>3</v>
      </c>
      <c r="AA240">
        <v>2</v>
      </c>
      <c r="AB240">
        <v>1</v>
      </c>
      <c r="AC240">
        <v>1</v>
      </c>
      <c r="AD240">
        <v>5</v>
      </c>
      <c r="AE240">
        <v>4</v>
      </c>
      <c r="AF240">
        <v>15</v>
      </c>
      <c r="AG240">
        <v>16</v>
      </c>
      <c r="AH240">
        <v>16</v>
      </c>
    </row>
    <row r="241" spans="1:34" x14ac:dyDescent="0.2">
      <c r="A241" t="s">
        <v>34</v>
      </c>
      <c r="B241" t="s">
        <v>35</v>
      </c>
      <c r="C241">
        <v>18</v>
      </c>
      <c r="D241" t="s">
        <v>53</v>
      </c>
      <c r="E241" t="s">
        <v>37</v>
      </c>
      <c r="F241" t="s">
        <v>45</v>
      </c>
      <c r="G241">
        <v>3</v>
      </c>
      <c r="H241">
        <v>1</v>
      </c>
      <c r="I241" t="s">
        <v>46</v>
      </c>
      <c r="J241" t="s">
        <v>46</v>
      </c>
      <c r="K241" t="s">
        <v>52</v>
      </c>
      <c r="L241" t="s">
        <v>42</v>
      </c>
      <c r="M241">
        <v>1</v>
      </c>
      <c r="N241">
        <v>2</v>
      </c>
      <c r="O241">
        <v>0</v>
      </c>
      <c r="P241" t="s">
        <v>44</v>
      </c>
      <c r="Q241" t="s">
        <v>44</v>
      </c>
      <c r="R241" t="s">
        <v>44</v>
      </c>
      <c r="S241">
        <f t="shared" si="3"/>
        <v>0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>
        <v>5</v>
      </c>
      <c r="Z241">
        <v>3</v>
      </c>
      <c r="AA241">
        <v>3</v>
      </c>
      <c r="AB241">
        <v>1</v>
      </c>
      <c r="AC241">
        <v>1</v>
      </c>
      <c r="AD241">
        <v>4</v>
      </c>
      <c r="AE241">
        <v>4</v>
      </c>
      <c r="AF241">
        <v>8</v>
      </c>
      <c r="AG241">
        <v>8</v>
      </c>
      <c r="AH241">
        <v>8</v>
      </c>
    </row>
    <row r="242" spans="1:34" x14ac:dyDescent="0.2">
      <c r="A242" t="s">
        <v>34</v>
      </c>
      <c r="B242" t="s">
        <v>35</v>
      </c>
      <c r="C242">
        <v>17</v>
      </c>
      <c r="D242" t="s">
        <v>36</v>
      </c>
      <c r="E242" t="s">
        <v>37</v>
      </c>
      <c r="F242" t="s">
        <v>45</v>
      </c>
      <c r="G242">
        <v>3</v>
      </c>
      <c r="H242">
        <v>2</v>
      </c>
      <c r="I242" t="s">
        <v>46</v>
      </c>
      <c r="J242" t="s">
        <v>46</v>
      </c>
      <c r="K242" t="s">
        <v>41</v>
      </c>
      <c r="L242" t="s">
        <v>42</v>
      </c>
      <c r="M242">
        <v>1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>
        <f t="shared" si="3"/>
        <v>0</v>
      </c>
      <c r="T242" t="s">
        <v>43</v>
      </c>
      <c r="U242" t="s">
        <v>44</v>
      </c>
      <c r="V242" t="s">
        <v>43</v>
      </c>
      <c r="W242" t="s">
        <v>43</v>
      </c>
      <c r="X242" t="s">
        <v>44</v>
      </c>
      <c r="Y242">
        <v>5</v>
      </c>
      <c r="Z242">
        <v>3</v>
      </c>
      <c r="AA242">
        <v>4</v>
      </c>
      <c r="AB242">
        <v>1</v>
      </c>
      <c r="AC242">
        <v>3</v>
      </c>
      <c r="AD242">
        <v>3</v>
      </c>
      <c r="AE242">
        <v>2</v>
      </c>
      <c r="AF242">
        <v>17</v>
      </c>
      <c r="AG242">
        <v>18</v>
      </c>
      <c r="AH242">
        <v>17</v>
      </c>
    </row>
    <row r="243" spans="1:34" x14ac:dyDescent="0.2">
      <c r="A243" t="s">
        <v>34</v>
      </c>
      <c r="B243" t="s">
        <v>51</v>
      </c>
      <c r="C243">
        <v>17</v>
      </c>
      <c r="D243" t="s">
        <v>36</v>
      </c>
      <c r="E243" t="s">
        <v>48</v>
      </c>
      <c r="F243" t="s">
        <v>45</v>
      </c>
      <c r="G243">
        <v>2</v>
      </c>
      <c r="H243">
        <v>3</v>
      </c>
      <c r="I243" t="s">
        <v>49</v>
      </c>
      <c r="J243" t="s">
        <v>49</v>
      </c>
      <c r="K243" t="s">
        <v>52</v>
      </c>
      <c r="L243" t="s">
        <v>47</v>
      </c>
      <c r="M243">
        <v>1</v>
      </c>
      <c r="N243">
        <v>2</v>
      </c>
      <c r="O243">
        <v>0</v>
      </c>
      <c r="P243" t="s">
        <v>44</v>
      </c>
      <c r="Q243" t="s">
        <v>43</v>
      </c>
      <c r="R243" t="s">
        <v>44</v>
      </c>
      <c r="S243">
        <f t="shared" si="3"/>
        <v>0</v>
      </c>
      <c r="T243" t="s">
        <v>44</v>
      </c>
      <c r="U243" t="s">
        <v>44</v>
      </c>
      <c r="V243" t="s">
        <v>43</v>
      </c>
      <c r="W243" t="s">
        <v>43</v>
      </c>
      <c r="X243" t="s">
        <v>44</v>
      </c>
      <c r="Y243">
        <v>5</v>
      </c>
      <c r="Z243">
        <v>3</v>
      </c>
      <c r="AA243">
        <v>3</v>
      </c>
      <c r="AB243">
        <v>1</v>
      </c>
      <c r="AC243">
        <v>3</v>
      </c>
      <c r="AD243">
        <v>3</v>
      </c>
      <c r="AE243">
        <v>0</v>
      </c>
      <c r="AF243">
        <v>10</v>
      </c>
      <c r="AG243">
        <v>11</v>
      </c>
      <c r="AH243">
        <v>11</v>
      </c>
    </row>
    <row r="244" spans="1:34" x14ac:dyDescent="0.2">
      <c r="A244" t="s">
        <v>34</v>
      </c>
      <c r="B244" t="s">
        <v>51</v>
      </c>
      <c r="C244">
        <v>18</v>
      </c>
      <c r="D244" t="s">
        <v>36</v>
      </c>
      <c r="E244" t="s">
        <v>48</v>
      </c>
      <c r="F244" t="s">
        <v>45</v>
      </c>
      <c r="G244">
        <v>2</v>
      </c>
      <c r="H244">
        <v>1</v>
      </c>
      <c r="I244" t="s">
        <v>39</v>
      </c>
      <c r="J244" t="s">
        <v>46</v>
      </c>
      <c r="K244" t="s">
        <v>41</v>
      </c>
      <c r="L244" t="s">
        <v>42</v>
      </c>
      <c r="M244">
        <v>4</v>
      </c>
      <c r="N244">
        <v>2</v>
      </c>
      <c r="O244">
        <v>0</v>
      </c>
      <c r="P244" t="s">
        <v>43</v>
      </c>
      <c r="Q244" t="s">
        <v>43</v>
      </c>
      <c r="R244" t="s">
        <v>44</v>
      </c>
      <c r="S244">
        <f t="shared" si="3"/>
        <v>0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>
        <v>4</v>
      </c>
      <c r="Z244">
        <v>3</v>
      </c>
      <c r="AA244">
        <v>2</v>
      </c>
      <c r="AB244">
        <v>4</v>
      </c>
      <c r="AC244">
        <v>5</v>
      </c>
      <c r="AD244">
        <v>3</v>
      </c>
      <c r="AE244">
        <v>2</v>
      </c>
      <c r="AF244">
        <v>9</v>
      </c>
      <c r="AG244">
        <v>10</v>
      </c>
      <c r="AH244">
        <v>11</v>
      </c>
    </row>
    <row r="245" spans="1:34" x14ac:dyDescent="0.2">
      <c r="A245" t="s">
        <v>34</v>
      </c>
      <c r="B245" t="s">
        <v>35</v>
      </c>
      <c r="C245">
        <v>17</v>
      </c>
      <c r="D245" t="s">
        <v>36</v>
      </c>
      <c r="E245" t="s">
        <v>37</v>
      </c>
      <c r="F245" t="s">
        <v>38</v>
      </c>
      <c r="G245">
        <v>2</v>
      </c>
      <c r="H245">
        <v>1</v>
      </c>
      <c r="I245" t="s">
        <v>46</v>
      </c>
      <c r="J245" t="s">
        <v>46</v>
      </c>
      <c r="K245" t="s">
        <v>41</v>
      </c>
      <c r="L245" t="s">
        <v>42</v>
      </c>
      <c r="M245">
        <v>2</v>
      </c>
      <c r="N245">
        <v>3</v>
      </c>
      <c r="O245">
        <v>0</v>
      </c>
      <c r="P245" t="s">
        <v>44</v>
      </c>
      <c r="Q245" t="s">
        <v>44</v>
      </c>
      <c r="R245" t="s">
        <v>44</v>
      </c>
      <c r="S245">
        <f t="shared" si="3"/>
        <v>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>
        <v>3</v>
      </c>
      <c r="Z245">
        <v>2</v>
      </c>
      <c r="AA245">
        <v>3</v>
      </c>
      <c r="AB245">
        <v>1</v>
      </c>
      <c r="AC245">
        <v>2</v>
      </c>
      <c r="AD245">
        <v>3</v>
      </c>
      <c r="AE245">
        <v>0</v>
      </c>
      <c r="AF245">
        <v>15</v>
      </c>
      <c r="AG245">
        <v>15</v>
      </c>
      <c r="AH245">
        <v>16</v>
      </c>
    </row>
    <row r="246" spans="1:34" x14ac:dyDescent="0.2">
      <c r="A246" t="s">
        <v>34</v>
      </c>
      <c r="B246" t="s">
        <v>35</v>
      </c>
      <c r="C246">
        <v>17</v>
      </c>
      <c r="D246" t="s">
        <v>36</v>
      </c>
      <c r="E246" t="s">
        <v>48</v>
      </c>
      <c r="F246" t="s">
        <v>45</v>
      </c>
      <c r="G246">
        <v>4</v>
      </c>
      <c r="H246">
        <v>3</v>
      </c>
      <c r="I246" t="s">
        <v>29</v>
      </c>
      <c r="J246" t="s">
        <v>46</v>
      </c>
      <c r="K246" t="s">
        <v>52</v>
      </c>
      <c r="L246" t="s">
        <v>47</v>
      </c>
      <c r="M246">
        <v>1</v>
      </c>
      <c r="N246">
        <v>2</v>
      </c>
      <c r="O246">
        <v>0</v>
      </c>
      <c r="P246" t="s">
        <v>44</v>
      </c>
      <c r="Q246" t="s">
        <v>44</v>
      </c>
      <c r="R246" t="s">
        <v>44</v>
      </c>
      <c r="S246">
        <f t="shared" si="3"/>
        <v>0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>
        <v>3</v>
      </c>
      <c r="Z246">
        <v>2</v>
      </c>
      <c r="AA246">
        <v>3</v>
      </c>
      <c r="AB246">
        <v>1</v>
      </c>
      <c r="AC246">
        <v>2</v>
      </c>
      <c r="AD246">
        <v>3</v>
      </c>
      <c r="AE246">
        <v>0</v>
      </c>
      <c r="AF246">
        <v>14</v>
      </c>
      <c r="AG246">
        <v>12</v>
      </c>
      <c r="AH246">
        <v>12</v>
      </c>
    </row>
    <row r="247" spans="1:34" x14ac:dyDescent="0.2">
      <c r="A247" t="s">
        <v>34</v>
      </c>
      <c r="B247" t="s">
        <v>51</v>
      </c>
      <c r="C247">
        <v>17</v>
      </c>
      <c r="D247" t="s">
        <v>53</v>
      </c>
      <c r="E247" t="s">
        <v>37</v>
      </c>
      <c r="F247" t="s">
        <v>45</v>
      </c>
      <c r="G247">
        <v>2</v>
      </c>
      <c r="H247">
        <v>2</v>
      </c>
      <c r="I247" t="s">
        <v>46</v>
      </c>
      <c r="J247" t="s">
        <v>46</v>
      </c>
      <c r="K247" t="s">
        <v>41</v>
      </c>
      <c r="L247" t="s">
        <v>47</v>
      </c>
      <c r="M247">
        <v>2</v>
      </c>
      <c r="N247">
        <v>2</v>
      </c>
      <c r="O247">
        <v>0</v>
      </c>
      <c r="P247" t="s">
        <v>44</v>
      </c>
      <c r="Q247" t="s">
        <v>43</v>
      </c>
      <c r="R247" t="s">
        <v>44</v>
      </c>
      <c r="S247">
        <f t="shared" si="3"/>
        <v>0</v>
      </c>
      <c r="T247" t="s">
        <v>43</v>
      </c>
      <c r="U247" t="s">
        <v>43</v>
      </c>
      <c r="V247" t="s">
        <v>43</v>
      </c>
      <c r="W247" t="s">
        <v>43</v>
      </c>
      <c r="X247" t="s">
        <v>44</v>
      </c>
      <c r="Y247">
        <v>4</v>
      </c>
      <c r="Z247">
        <v>5</v>
      </c>
      <c r="AA247">
        <v>2</v>
      </c>
      <c r="AB247">
        <v>1</v>
      </c>
      <c r="AC247">
        <v>1</v>
      </c>
      <c r="AD247">
        <v>1</v>
      </c>
      <c r="AE247">
        <v>0</v>
      </c>
      <c r="AF247">
        <v>12</v>
      </c>
      <c r="AG247">
        <v>13</v>
      </c>
      <c r="AH247">
        <v>13</v>
      </c>
    </row>
    <row r="248" spans="1:34" x14ac:dyDescent="0.2">
      <c r="A248" t="s">
        <v>34</v>
      </c>
      <c r="B248" t="s">
        <v>51</v>
      </c>
      <c r="C248">
        <v>17</v>
      </c>
      <c r="D248" t="s">
        <v>36</v>
      </c>
      <c r="E248" t="s">
        <v>37</v>
      </c>
      <c r="F248" t="s">
        <v>45</v>
      </c>
      <c r="G248">
        <v>4</v>
      </c>
      <c r="H248">
        <v>4</v>
      </c>
      <c r="I248" t="s">
        <v>40</v>
      </c>
      <c r="J248" t="s">
        <v>40</v>
      </c>
      <c r="K248" t="s">
        <v>52</v>
      </c>
      <c r="L248" t="s">
        <v>42</v>
      </c>
      <c r="M248">
        <v>1</v>
      </c>
      <c r="N248">
        <v>2</v>
      </c>
      <c r="O248">
        <v>0</v>
      </c>
      <c r="P248" t="s">
        <v>43</v>
      </c>
      <c r="Q248" t="s">
        <v>43</v>
      </c>
      <c r="R248" t="s">
        <v>44</v>
      </c>
      <c r="S248">
        <f t="shared" si="3"/>
        <v>0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>
        <v>4</v>
      </c>
      <c r="Z248">
        <v>5</v>
      </c>
      <c r="AA248">
        <v>5</v>
      </c>
      <c r="AB248">
        <v>1</v>
      </c>
      <c r="AC248">
        <v>3</v>
      </c>
      <c r="AD248">
        <v>2</v>
      </c>
      <c r="AE248">
        <v>0</v>
      </c>
      <c r="AF248">
        <v>13</v>
      </c>
      <c r="AG248">
        <v>13</v>
      </c>
      <c r="AH248">
        <v>13</v>
      </c>
    </row>
    <row r="249" spans="1:34" x14ac:dyDescent="0.2">
      <c r="A249" t="s">
        <v>34</v>
      </c>
      <c r="B249" t="s">
        <v>51</v>
      </c>
      <c r="C249">
        <v>16</v>
      </c>
      <c r="D249" t="s">
        <v>36</v>
      </c>
      <c r="E249" t="s">
        <v>37</v>
      </c>
      <c r="F249" t="s">
        <v>45</v>
      </c>
      <c r="G249">
        <v>4</v>
      </c>
      <c r="H249">
        <v>4</v>
      </c>
      <c r="I249" t="s">
        <v>29</v>
      </c>
      <c r="J249" t="s">
        <v>46</v>
      </c>
      <c r="K249" t="s">
        <v>52</v>
      </c>
      <c r="L249" t="s">
        <v>47</v>
      </c>
      <c r="M249">
        <v>1</v>
      </c>
      <c r="N249">
        <v>2</v>
      </c>
      <c r="O249">
        <v>0</v>
      </c>
      <c r="P249" t="s">
        <v>44</v>
      </c>
      <c r="Q249" t="s">
        <v>43</v>
      </c>
      <c r="R249" t="s">
        <v>44</v>
      </c>
      <c r="S249">
        <f t="shared" si="3"/>
        <v>0</v>
      </c>
      <c r="T249" t="s">
        <v>43</v>
      </c>
      <c r="U249" t="s">
        <v>43</v>
      </c>
      <c r="V249" t="s">
        <v>43</v>
      </c>
      <c r="W249" t="s">
        <v>43</v>
      </c>
      <c r="X249" t="s">
        <v>44</v>
      </c>
      <c r="Y249">
        <v>4</v>
      </c>
      <c r="Z249">
        <v>2</v>
      </c>
      <c r="AA249">
        <v>4</v>
      </c>
      <c r="AB249">
        <v>2</v>
      </c>
      <c r="AC249">
        <v>4</v>
      </c>
      <c r="AD249">
        <v>1</v>
      </c>
      <c r="AE249">
        <v>0</v>
      </c>
      <c r="AF249">
        <v>13</v>
      </c>
      <c r="AG249">
        <v>13</v>
      </c>
      <c r="AH249">
        <v>14</v>
      </c>
    </row>
    <row r="250" spans="1:34" x14ac:dyDescent="0.2">
      <c r="A250" t="s">
        <v>34</v>
      </c>
      <c r="B250" t="s">
        <v>51</v>
      </c>
      <c r="C250">
        <v>16</v>
      </c>
      <c r="D250" t="s">
        <v>36</v>
      </c>
      <c r="E250" t="s">
        <v>48</v>
      </c>
      <c r="F250" t="s">
        <v>45</v>
      </c>
      <c r="G250">
        <v>1</v>
      </c>
      <c r="H250">
        <v>1</v>
      </c>
      <c r="I250" t="s">
        <v>46</v>
      </c>
      <c r="J250" t="s">
        <v>46</v>
      </c>
      <c r="K250" t="s">
        <v>50</v>
      </c>
      <c r="L250" t="s">
        <v>42</v>
      </c>
      <c r="M250">
        <v>2</v>
      </c>
      <c r="N250">
        <v>2</v>
      </c>
      <c r="O250">
        <v>0</v>
      </c>
      <c r="P250" t="s">
        <v>44</v>
      </c>
      <c r="Q250" t="s">
        <v>43</v>
      </c>
      <c r="R250" t="s">
        <v>44</v>
      </c>
      <c r="S250">
        <f t="shared" si="3"/>
        <v>0</v>
      </c>
      <c r="T250" t="s">
        <v>44</v>
      </c>
      <c r="U250" t="s">
        <v>43</v>
      </c>
      <c r="V250" t="s">
        <v>43</v>
      </c>
      <c r="W250" t="s">
        <v>43</v>
      </c>
      <c r="X250" t="s">
        <v>44</v>
      </c>
      <c r="Y250">
        <v>3</v>
      </c>
      <c r="Z250">
        <v>4</v>
      </c>
      <c r="AA250">
        <v>2</v>
      </c>
      <c r="AB250">
        <v>1</v>
      </c>
      <c r="AC250">
        <v>1</v>
      </c>
      <c r="AD250">
        <v>5</v>
      </c>
      <c r="AE250">
        <v>2</v>
      </c>
      <c r="AF250">
        <v>9</v>
      </c>
      <c r="AG250">
        <v>9</v>
      </c>
      <c r="AH250">
        <v>9</v>
      </c>
    </row>
    <row r="251" spans="1:34" x14ac:dyDescent="0.2">
      <c r="A251" t="s">
        <v>34</v>
      </c>
      <c r="B251" t="s">
        <v>51</v>
      </c>
      <c r="C251">
        <v>16</v>
      </c>
      <c r="D251" t="s">
        <v>36</v>
      </c>
      <c r="E251" t="s">
        <v>37</v>
      </c>
      <c r="F251" t="s">
        <v>45</v>
      </c>
      <c r="G251">
        <v>3</v>
      </c>
      <c r="H251">
        <v>2</v>
      </c>
      <c r="I251" t="s">
        <v>39</v>
      </c>
      <c r="J251" t="s">
        <v>46</v>
      </c>
      <c r="K251" t="s">
        <v>52</v>
      </c>
      <c r="L251" t="s">
        <v>42</v>
      </c>
      <c r="M251">
        <v>2</v>
      </c>
      <c r="N251">
        <v>3</v>
      </c>
      <c r="O251">
        <v>0</v>
      </c>
      <c r="P251" t="s">
        <v>44</v>
      </c>
      <c r="Q251" t="s">
        <v>44</v>
      </c>
      <c r="R251" t="s">
        <v>44</v>
      </c>
      <c r="S251">
        <f t="shared" si="3"/>
        <v>0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>
        <v>5</v>
      </c>
      <c r="Z251">
        <v>3</v>
      </c>
      <c r="AA251">
        <v>3</v>
      </c>
      <c r="AB251">
        <v>1</v>
      </c>
      <c r="AC251">
        <v>3</v>
      </c>
      <c r="AD251">
        <v>2</v>
      </c>
      <c r="AE251">
        <v>0</v>
      </c>
      <c r="AF251">
        <v>12</v>
      </c>
      <c r="AG251">
        <v>12</v>
      </c>
      <c r="AH251">
        <v>12</v>
      </c>
    </row>
    <row r="252" spans="1:34" x14ac:dyDescent="0.2">
      <c r="A252" t="s">
        <v>34</v>
      </c>
      <c r="B252" t="s">
        <v>51</v>
      </c>
      <c r="C252">
        <v>17</v>
      </c>
      <c r="D252" t="s">
        <v>36</v>
      </c>
      <c r="E252" t="s">
        <v>48</v>
      </c>
      <c r="F252" t="s">
        <v>45</v>
      </c>
      <c r="G252">
        <v>2</v>
      </c>
      <c r="H252">
        <v>2</v>
      </c>
      <c r="I252" t="s">
        <v>46</v>
      </c>
      <c r="J252" t="s">
        <v>46</v>
      </c>
      <c r="K252" t="s">
        <v>50</v>
      </c>
      <c r="L252" t="s">
        <v>47</v>
      </c>
      <c r="M252">
        <v>1</v>
      </c>
      <c r="N252">
        <v>2</v>
      </c>
      <c r="O252">
        <v>0</v>
      </c>
      <c r="P252" t="s">
        <v>44</v>
      </c>
      <c r="Q252" t="s">
        <v>44</v>
      </c>
      <c r="R252" t="s">
        <v>44</v>
      </c>
      <c r="S252">
        <f t="shared" si="3"/>
        <v>0</v>
      </c>
      <c r="T252" t="s">
        <v>43</v>
      </c>
      <c r="U252" t="s">
        <v>44</v>
      </c>
      <c r="V252" t="s">
        <v>43</v>
      </c>
      <c r="W252" t="s">
        <v>43</v>
      </c>
      <c r="X252" t="s">
        <v>43</v>
      </c>
      <c r="Y252">
        <v>4</v>
      </c>
      <c r="Z252">
        <v>4</v>
      </c>
      <c r="AA252">
        <v>2</v>
      </c>
      <c r="AB252">
        <v>5</v>
      </c>
      <c r="AC252">
        <v>5</v>
      </c>
      <c r="AD252">
        <v>4</v>
      </c>
      <c r="AE252">
        <v>0</v>
      </c>
      <c r="AF252">
        <v>16</v>
      </c>
      <c r="AG252">
        <v>16</v>
      </c>
      <c r="AH252">
        <v>16</v>
      </c>
    </row>
    <row r="253" spans="1:34" x14ac:dyDescent="0.2">
      <c r="A253" t="s">
        <v>34</v>
      </c>
      <c r="B253" t="s">
        <v>35</v>
      </c>
      <c r="C253">
        <v>16</v>
      </c>
      <c r="D253" t="s">
        <v>36</v>
      </c>
      <c r="E253" t="s">
        <v>37</v>
      </c>
      <c r="F253" t="s">
        <v>45</v>
      </c>
      <c r="G253">
        <v>2</v>
      </c>
      <c r="H253">
        <v>1</v>
      </c>
      <c r="I253" t="s">
        <v>46</v>
      </c>
      <c r="J253" t="s">
        <v>46</v>
      </c>
      <c r="K253" t="s">
        <v>50</v>
      </c>
      <c r="L253" t="s">
        <v>42</v>
      </c>
      <c r="M253">
        <v>1</v>
      </c>
      <c r="N253">
        <v>1</v>
      </c>
      <c r="O253">
        <v>0</v>
      </c>
      <c r="P253" t="s">
        <v>44</v>
      </c>
      <c r="Q253" t="s">
        <v>44</v>
      </c>
      <c r="R253" t="s">
        <v>44</v>
      </c>
      <c r="S253">
        <f t="shared" si="3"/>
        <v>0</v>
      </c>
      <c r="T253" t="s">
        <v>44</v>
      </c>
      <c r="U253" t="s">
        <v>43</v>
      </c>
      <c r="V253" t="s">
        <v>43</v>
      </c>
      <c r="W253" t="s">
        <v>43</v>
      </c>
      <c r="X253" t="s">
        <v>43</v>
      </c>
      <c r="Y253">
        <v>4</v>
      </c>
      <c r="Z253">
        <v>5</v>
      </c>
      <c r="AA253">
        <v>2</v>
      </c>
      <c r="AB253">
        <v>1</v>
      </c>
      <c r="AC253">
        <v>1</v>
      </c>
      <c r="AD253">
        <v>5</v>
      </c>
      <c r="AE253">
        <v>4</v>
      </c>
      <c r="AF253">
        <v>9</v>
      </c>
      <c r="AG253">
        <v>10</v>
      </c>
      <c r="AH253">
        <v>10</v>
      </c>
    </row>
    <row r="254" spans="1:34" x14ac:dyDescent="0.2">
      <c r="A254" t="s">
        <v>34</v>
      </c>
      <c r="B254" t="s">
        <v>35</v>
      </c>
      <c r="C254">
        <v>16</v>
      </c>
      <c r="D254" t="s">
        <v>36</v>
      </c>
      <c r="E254" t="s">
        <v>37</v>
      </c>
      <c r="F254" t="s">
        <v>38</v>
      </c>
      <c r="G254">
        <v>4</v>
      </c>
      <c r="H254">
        <v>1</v>
      </c>
      <c r="I254" t="s">
        <v>46</v>
      </c>
      <c r="J254" t="s">
        <v>46</v>
      </c>
      <c r="K254" t="s">
        <v>50</v>
      </c>
      <c r="L254" t="s">
        <v>42</v>
      </c>
      <c r="M254">
        <v>1</v>
      </c>
      <c r="N254">
        <v>2</v>
      </c>
      <c r="O254">
        <v>0</v>
      </c>
      <c r="P254" t="s">
        <v>44</v>
      </c>
      <c r="Q254" t="s">
        <v>44</v>
      </c>
      <c r="R254" t="s">
        <v>44</v>
      </c>
      <c r="S254">
        <f t="shared" si="3"/>
        <v>0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>
        <v>5</v>
      </c>
      <c r="Z254">
        <v>3</v>
      </c>
      <c r="AA254">
        <v>3</v>
      </c>
      <c r="AB254">
        <v>1</v>
      </c>
      <c r="AC254">
        <v>2</v>
      </c>
      <c r="AD254">
        <v>5</v>
      </c>
      <c r="AE254">
        <v>0</v>
      </c>
      <c r="AF254">
        <v>14</v>
      </c>
      <c r="AG254">
        <v>13</v>
      </c>
      <c r="AH254">
        <v>13</v>
      </c>
    </row>
    <row r="255" spans="1:34" x14ac:dyDescent="0.2">
      <c r="A255" t="s">
        <v>34</v>
      </c>
      <c r="B255" t="s">
        <v>35</v>
      </c>
      <c r="C255">
        <v>18</v>
      </c>
      <c r="D255" t="s">
        <v>36</v>
      </c>
      <c r="E255" t="s">
        <v>48</v>
      </c>
      <c r="F255" t="s">
        <v>38</v>
      </c>
      <c r="G255">
        <v>2</v>
      </c>
      <c r="H255">
        <v>4</v>
      </c>
      <c r="I255" t="s">
        <v>49</v>
      </c>
      <c r="J255" t="s">
        <v>46</v>
      </c>
      <c r="K255" t="s">
        <v>41</v>
      </c>
      <c r="L255" t="s">
        <v>42</v>
      </c>
      <c r="M255">
        <v>2</v>
      </c>
      <c r="N255">
        <v>2</v>
      </c>
      <c r="O255">
        <v>1</v>
      </c>
      <c r="P255" t="s">
        <v>44</v>
      </c>
      <c r="Q255" t="s">
        <v>43</v>
      </c>
      <c r="R255" t="s">
        <v>44</v>
      </c>
      <c r="S255">
        <f t="shared" si="3"/>
        <v>0</v>
      </c>
      <c r="T255" t="s">
        <v>44</v>
      </c>
      <c r="U255" t="s">
        <v>43</v>
      </c>
      <c r="V255" t="s">
        <v>43</v>
      </c>
      <c r="W255" t="s">
        <v>43</v>
      </c>
      <c r="X255" t="s">
        <v>44</v>
      </c>
      <c r="Y255">
        <v>4</v>
      </c>
      <c r="Z255">
        <v>3</v>
      </c>
      <c r="AA255">
        <v>3</v>
      </c>
      <c r="AB255">
        <v>1</v>
      </c>
      <c r="AC255">
        <v>1</v>
      </c>
      <c r="AD255">
        <v>3</v>
      </c>
      <c r="AE255">
        <v>18</v>
      </c>
      <c r="AF255">
        <v>10</v>
      </c>
      <c r="AG255">
        <v>10</v>
      </c>
      <c r="AH255">
        <v>10</v>
      </c>
    </row>
    <row r="256" spans="1:34" x14ac:dyDescent="0.2">
      <c r="A256" t="s">
        <v>34</v>
      </c>
      <c r="B256" t="s">
        <v>35</v>
      </c>
      <c r="C256">
        <v>18</v>
      </c>
      <c r="D256" t="s">
        <v>36</v>
      </c>
      <c r="E256" t="s">
        <v>48</v>
      </c>
      <c r="F256" t="s">
        <v>45</v>
      </c>
      <c r="G256">
        <v>2</v>
      </c>
      <c r="H256">
        <v>2</v>
      </c>
      <c r="I256" t="s">
        <v>39</v>
      </c>
      <c r="J256" t="s">
        <v>49</v>
      </c>
      <c r="K256" t="s">
        <v>41</v>
      </c>
      <c r="L256" t="s">
        <v>42</v>
      </c>
      <c r="M256">
        <v>1</v>
      </c>
      <c r="N256">
        <v>2</v>
      </c>
      <c r="O256">
        <v>1</v>
      </c>
      <c r="P256" t="s">
        <v>44</v>
      </c>
      <c r="Q256" t="s">
        <v>43</v>
      </c>
      <c r="R256" t="s">
        <v>44</v>
      </c>
      <c r="S256">
        <f t="shared" si="3"/>
        <v>0</v>
      </c>
      <c r="T256" t="s">
        <v>44</v>
      </c>
      <c r="U256" t="s">
        <v>44</v>
      </c>
      <c r="V256" t="s">
        <v>43</v>
      </c>
      <c r="W256" t="s">
        <v>43</v>
      </c>
      <c r="X256" t="s">
        <v>43</v>
      </c>
      <c r="Y256">
        <v>5</v>
      </c>
      <c r="Z256">
        <v>3</v>
      </c>
      <c r="AA256">
        <v>1</v>
      </c>
      <c r="AB256">
        <v>1</v>
      </c>
      <c r="AC256">
        <v>1</v>
      </c>
      <c r="AD256">
        <v>5</v>
      </c>
      <c r="AE256">
        <v>16</v>
      </c>
      <c r="AF256">
        <v>9</v>
      </c>
      <c r="AG256">
        <v>8</v>
      </c>
      <c r="AH256">
        <v>10</v>
      </c>
    </row>
    <row r="257" spans="1:34" x14ac:dyDescent="0.2">
      <c r="A257" t="s">
        <v>34</v>
      </c>
      <c r="B257" t="s">
        <v>35</v>
      </c>
      <c r="C257">
        <v>18</v>
      </c>
      <c r="D257" t="s">
        <v>36</v>
      </c>
      <c r="E257" t="s">
        <v>37</v>
      </c>
      <c r="F257" t="s">
        <v>45</v>
      </c>
      <c r="G257">
        <v>3</v>
      </c>
      <c r="H257">
        <v>3</v>
      </c>
      <c r="I257" t="s">
        <v>46</v>
      </c>
      <c r="J257" t="s">
        <v>46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44</v>
      </c>
      <c r="R257" t="s">
        <v>44</v>
      </c>
      <c r="S257">
        <f t="shared" si="3"/>
        <v>0</v>
      </c>
      <c r="T257" t="s">
        <v>44</v>
      </c>
      <c r="U257" t="s">
        <v>43</v>
      </c>
      <c r="V257" t="s">
        <v>44</v>
      </c>
      <c r="W257" t="s">
        <v>43</v>
      </c>
      <c r="X257" t="s">
        <v>44</v>
      </c>
      <c r="Y257">
        <v>4</v>
      </c>
      <c r="Z257">
        <v>1</v>
      </c>
      <c r="AA257">
        <v>1</v>
      </c>
      <c r="AB257">
        <v>1</v>
      </c>
      <c r="AC257">
        <v>1</v>
      </c>
      <c r="AD257">
        <v>3</v>
      </c>
      <c r="AE257">
        <v>14</v>
      </c>
      <c r="AF257">
        <v>8</v>
      </c>
      <c r="AG257">
        <v>7</v>
      </c>
      <c r="AH257">
        <v>7</v>
      </c>
    </row>
    <row r="258" spans="1:34" x14ac:dyDescent="0.2">
      <c r="A258" t="s">
        <v>34</v>
      </c>
      <c r="B258" t="s">
        <v>51</v>
      </c>
      <c r="C258">
        <v>18</v>
      </c>
      <c r="D258" t="s">
        <v>36</v>
      </c>
      <c r="E258" t="s">
        <v>37</v>
      </c>
      <c r="F258" t="s">
        <v>45</v>
      </c>
      <c r="G258">
        <v>2</v>
      </c>
      <c r="H258">
        <v>2</v>
      </c>
      <c r="I258" t="s">
        <v>46</v>
      </c>
      <c r="J258" t="s">
        <v>39</v>
      </c>
      <c r="K258" t="s">
        <v>41</v>
      </c>
      <c r="L258" t="s">
        <v>46</v>
      </c>
      <c r="M258">
        <v>1</v>
      </c>
      <c r="N258">
        <v>1</v>
      </c>
      <c r="O258">
        <v>1</v>
      </c>
      <c r="P258" t="s">
        <v>44</v>
      </c>
      <c r="Q258" t="s">
        <v>43</v>
      </c>
      <c r="R258" t="s">
        <v>44</v>
      </c>
      <c r="S258">
        <f t="shared" si="3"/>
        <v>0</v>
      </c>
      <c r="T258" t="s">
        <v>43</v>
      </c>
      <c r="U258" t="s">
        <v>44</v>
      </c>
      <c r="V258" t="s">
        <v>44</v>
      </c>
      <c r="W258" t="s">
        <v>43</v>
      </c>
      <c r="X258" t="s">
        <v>43</v>
      </c>
      <c r="Y258">
        <v>4</v>
      </c>
      <c r="Z258">
        <v>4</v>
      </c>
      <c r="AA258">
        <v>3</v>
      </c>
      <c r="AB258">
        <v>2</v>
      </c>
      <c r="AC258">
        <v>2</v>
      </c>
      <c r="AD258">
        <v>1</v>
      </c>
      <c r="AE258">
        <v>26</v>
      </c>
      <c r="AF258">
        <v>7</v>
      </c>
      <c r="AG258">
        <v>8</v>
      </c>
      <c r="AH258">
        <v>8</v>
      </c>
    </row>
    <row r="259" spans="1:34" x14ac:dyDescent="0.2">
      <c r="A259" t="s">
        <v>34</v>
      </c>
      <c r="B259" t="s">
        <v>51</v>
      </c>
      <c r="C259">
        <v>17</v>
      </c>
      <c r="D259" t="s">
        <v>36</v>
      </c>
      <c r="E259" t="s">
        <v>37</v>
      </c>
      <c r="F259" t="s">
        <v>45</v>
      </c>
      <c r="G259">
        <v>4</v>
      </c>
      <c r="H259">
        <v>4</v>
      </c>
      <c r="I259" t="s">
        <v>40</v>
      </c>
      <c r="J259" t="s">
        <v>40</v>
      </c>
      <c r="K259" t="s">
        <v>41</v>
      </c>
      <c r="L259" t="s">
        <v>42</v>
      </c>
      <c r="M259">
        <v>1</v>
      </c>
      <c r="N259">
        <v>1</v>
      </c>
      <c r="O259">
        <v>0</v>
      </c>
      <c r="P259" t="s">
        <v>44</v>
      </c>
      <c r="Q259" t="s">
        <v>43</v>
      </c>
      <c r="R259" t="s">
        <v>44</v>
      </c>
      <c r="S259">
        <f t="shared" ref="S259:S322" si="4">IF(R259="yes",1,0)</f>
        <v>0</v>
      </c>
      <c r="T259" t="s">
        <v>43</v>
      </c>
      <c r="U259" t="s">
        <v>44</v>
      </c>
      <c r="V259" t="s">
        <v>43</v>
      </c>
      <c r="W259" t="s">
        <v>43</v>
      </c>
      <c r="X259" t="s">
        <v>44</v>
      </c>
      <c r="Y259">
        <v>4</v>
      </c>
      <c r="Z259">
        <v>2</v>
      </c>
      <c r="AA259">
        <v>1</v>
      </c>
      <c r="AB259">
        <v>1</v>
      </c>
      <c r="AC259">
        <v>2</v>
      </c>
      <c r="AD259">
        <v>5</v>
      </c>
      <c r="AE259">
        <v>6</v>
      </c>
      <c r="AF259">
        <v>10</v>
      </c>
      <c r="AG259">
        <v>8</v>
      </c>
      <c r="AH259">
        <v>9</v>
      </c>
    </row>
    <row r="260" spans="1:34" x14ac:dyDescent="0.2">
      <c r="A260" t="s">
        <v>34</v>
      </c>
      <c r="B260" t="s">
        <v>35</v>
      </c>
      <c r="C260">
        <v>17</v>
      </c>
      <c r="D260" t="s">
        <v>36</v>
      </c>
      <c r="E260" t="s">
        <v>37</v>
      </c>
      <c r="F260" t="s">
        <v>45</v>
      </c>
      <c r="G260">
        <v>3</v>
      </c>
      <c r="H260">
        <v>2</v>
      </c>
      <c r="I260" t="s">
        <v>46</v>
      </c>
      <c r="J260" t="s">
        <v>46</v>
      </c>
      <c r="K260" t="s">
        <v>41</v>
      </c>
      <c r="L260" t="s">
        <v>47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>
        <f t="shared" si="4"/>
        <v>0</v>
      </c>
      <c r="T260" t="s">
        <v>43</v>
      </c>
      <c r="U260" t="s">
        <v>43</v>
      </c>
      <c r="V260" t="s">
        <v>43</v>
      </c>
      <c r="W260" t="s">
        <v>44</v>
      </c>
      <c r="X260" t="s">
        <v>44</v>
      </c>
      <c r="Y260">
        <v>5</v>
      </c>
      <c r="Z260">
        <v>4</v>
      </c>
      <c r="AA260">
        <v>2</v>
      </c>
      <c r="AB260">
        <v>1</v>
      </c>
      <c r="AC260">
        <v>1</v>
      </c>
      <c r="AD260">
        <v>3</v>
      </c>
      <c r="AE260">
        <v>4</v>
      </c>
      <c r="AF260">
        <v>14</v>
      </c>
      <c r="AG260">
        <v>14</v>
      </c>
      <c r="AH260">
        <v>15</v>
      </c>
    </row>
    <row r="261" spans="1:34" x14ac:dyDescent="0.2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v>1</v>
      </c>
      <c r="H261">
        <v>1</v>
      </c>
      <c r="I261" t="s">
        <v>39</v>
      </c>
      <c r="J261" t="s">
        <v>39</v>
      </c>
      <c r="K261" t="s">
        <v>41</v>
      </c>
      <c r="L261" t="s">
        <v>42</v>
      </c>
      <c r="M261">
        <v>1</v>
      </c>
      <c r="N261">
        <v>3</v>
      </c>
      <c r="O261">
        <v>0</v>
      </c>
      <c r="P261" t="s">
        <v>44</v>
      </c>
      <c r="Q261" t="s">
        <v>43</v>
      </c>
      <c r="R261" t="s">
        <v>44</v>
      </c>
      <c r="S261">
        <f t="shared" si="4"/>
        <v>0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>
        <v>4</v>
      </c>
      <c r="Z261">
        <v>3</v>
      </c>
      <c r="AA261">
        <v>2</v>
      </c>
      <c r="AB261">
        <v>1</v>
      </c>
      <c r="AC261">
        <v>2</v>
      </c>
      <c r="AD261">
        <v>4</v>
      </c>
      <c r="AE261">
        <v>10</v>
      </c>
      <c r="AF261">
        <v>11</v>
      </c>
      <c r="AG261">
        <v>10</v>
      </c>
      <c r="AH261">
        <v>10</v>
      </c>
    </row>
    <row r="262" spans="1:34" x14ac:dyDescent="0.2">
      <c r="A262" t="s">
        <v>34</v>
      </c>
      <c r="B262" t="s">
        <v>35</v>
      </c>
      <c r="C262">
        <v>16</v>
      </c>
      <c r="D262" t="s">
        <v>36</v>
      </c>
      <c r="E262" t="s">
        <v>37</v>
      </c>
      <c r="F262" t="s">
        <v>45</v>
      </c>
      <c r="G262">
        <v>1</v>
      </c>
      <c r="H262">
        <v>2</v>
      </c>
      <c r="I262" t="s">
        <v>46</v>
      </c>
      <c r="J262" t="s">
        <v>46</v>
      </c>
      <c r="K262" t="s">
        <v>41</v>
      </c>
      <c r="L262" t="s">
        <v>42</v>
      </c>
      <c r="M262">
        <v>1</v>
      </c>
      <c r="N262">
        <v>1</v>
      </c>
      <c r="O262">
        <v>0</v>
      </c>
      <c r="P262" t="s">
        <v>44</v>
      </c>
      <c r="Q262" t="s">
        <v>44</v>
      </c>
      <c r="R262" t="s">
        <v>44</v>
      </c>
      <c r="S262">
        <f t="shared" si="4"/>
        <v>0</v>
      </c>
      <c r="T262" t="s">
        <v>44</v>
      </c>
      <c r="U262" t="s">
        <v>43</v>
      </c>
      <c r="V262" t="s">
        <v>44</v>
      </c>
      <c r="W262" t="s">
        <v>43</v>
      </c>
      <c r="X262" t="s">
        <v>44</v>
      </c>
      <c r="Y262">
        <v>5</v>
      </c>
      <c r="Z262">
        <v>3</v>
      </c>
      <c r="AA262">
        <v>5</v>
      </c>
      <c r="AB262">
        <v>1</v>
      </c>
      <c r="AC262">
        <v>2</v>
      </c>
      <c r="AD262">
        <v>5</v>
      </c>
      <c r="AE262">
        <v>4</v>
      </c>
      <c r="AF262">
        <v>12</v>
      </c>
      <c r="AG262">
        <v>11</v>
      </c>
      <c r="AH262">
        <v>11</v>
      </c>
    </row>
    <row r="263" spans="1:34" x14ac:dyDescent="0.2">
      <c r="A263" t="s">
        <v>34</v>
      </c>
      <c r="B263" t="s">
        <v>35</v>
      </c>
      <c r="C263">
        <v>17</v>
      </c>
      <c r="D263" t="s">
        <v>53</v>
      </c>
      <c r="E263" t="s">
        <v>37</v>
      </c>
      <c r="F263" t="s">
        <v>45</v>
      </c>
      <c r="G263">
        <v>2</v>
      </c>
      <c r="H263">
        <v>1</v>
      </c>
      <c r="I263" t="s">
        <v>39</v>
      </c>
      <c r="J263" t="s">
        <v>49</v>
      </c>
      <c r="K263" t="s">
        <v>41</v>
      </c>
      <c r="L263" t="s">
        <v>42</v>
      </c>
      <c r="M263">
        <v>3</v>
      </c>
      <c r="N263">
        <v>2</v>
      </c>
      <c r="O263">
        <v>0</v>
      </c>
      <c r="P263" t="s">
        <v>44</v>
      </c>
      <c r="Q263" t="s">
        <v>44</v>
      </c>
      <c r="R263" t="s">
        <v>44</v>
      </c>
      <c r="S263">
        <f t="shared" si="4"/>
        <v>0</v>
      </c>
      <c r="T263" t="s">
        <v>43</v>
      </c>
      <c r="U263" t="s">
        <v>43</v>
      </c>
      <c r="V263" t="s">
        <v>43</v>
      </c>
      <c r="W263" t="s">
        <v>44</v>
      </c>
      <c r="X263" t="s">
        <v>44</v>
      </c>
      <c r="Y263">
        <v>2</v>
      </c>
      <c r="Z263">
        <v>1</v>
      </c>
      <c r="AA263">
        <v>1</v>
      </c>
      <c r="AB263">
        <v>1</v>
      </c>
      <c r="AC263">
        <v>1</v>
      </c>
      <c r="AD263">
        <v>3</v>
      </c>
      <c r="AE263">
        <v>2</v>
      </c>
      <c r="AF263">
        <v>13</v>
      </c>
      <c r="AG263">
        <v>13</v>
      </c>
      <c r="AH263">
        <v>13</v>
      </c>
    </row>
    <row r="264" spans="1:34" x14ac:dyDescent="0.2">
      <c r="A264" t="s">
        <v>34</v>
      </c>
      <c r="B264" t="s">
        <v>35</v>
      </c>
      <c r="C264">
        <v>17</v>
      </c>
      <c r="D264" t="s">
        <v>53</v>
      </c>
      <c r="E264" t="s">
        <v>48</v>
      </c>
      <c r="F264" t="s">
        <v>38</v>
      </c>
      <c r="G264">
        <v>1</v>
      </c>
      <c r="H264">
        <v>4</v>
      </c>
      <c r="I264" t="s">
        <v>46</v>
      </c>
      <c r="J264" t="s">
        <v>46</v>
      </c>
      <c r="K264" t="s">
        <v>41</v>
      </c>
      <c r="L264" t="s">
        <v>46</v>
      </c>
      <c r="M264">
        <v>4</v>
      </c>
      <c r="N264">
        <v>1</v>
      </c>
      <c r="O264">
        <v>1</v>
      </c>
      <c r="P264" t="s">
        <v>44</v>
      </c>
      <c r="Q264" t="s">
        <v>43</v>
      </c>
      <c r="R264" t="s">
        <v>44</v>
      </c>
      <c r="S264">
        <f t="shared" si="4"/>
        <v>0</v>
      </c>
      <c r="T264" t="s">
        <v>44</v>
      </c>
      <c r="U264" t="s">
        <v>43</v>
      </c>
      <c r="V264" t="s">
        <v>43</v>
      </c>
      <c r="W264" t="s">
        <v>43</v>
      </c>
      <c r="X264" t="s">
        <v>44</v>
      </c>
      <c r="Y264">
        <v>5</v>
      </c>
      <c r="Z264">
        <v>5</v>
      </c>
      <c r="AA264">
        <v>4</v>
      </c>
      <c r="AB264">
        <v>1</v>
      </c>
      <c r="AC264">
        <v>1</v>
      </c>
      <c r="AD264">
        <v>5</v>
      </c>
      <c r="AE264">
        <v>14</v>
      </c>
      <c r="AF264">
        <v>9</v>
      </c>
      <c r="AG264">
        <v>9</v>
      </c>
      <c r="AH264">
        <v>8</v>
      </c>
    </row>
    <row r="265" spans="1:34" x14ac:dyDescent="0.2">
      <c r="A265" t="s">
        <v>34</v>
      </c>
      <c r="B265" t="s">
        <v>51</v>
      </c>
      <c r="C265">
        <v>18</v>
      </c>
      <c r="D265" t="s">
        <v>36</v>
      </c>
      <c r="E265" t="s">
        <v>37</v>
      </c>
      <c r="F265" t="s">
        <v>45</v>
      </c>
      <c r="G265">
        <v>2</v>
      </c>
      <c r="H265">
        <v>2</v>
      </c>
      <c r="I265" t="s">
        <v>46</v>
      </c>
      <c r="J265" t="s">
        <v>49</v>
      </c>
      <c r="K265" t="s">
        <v>52</v>
      </c>
      <c r="L265" t="s">
        <v>47</v>
      </c>
      <c r="M265">
        <v>1</v>
      </c>
      <c r="N265">
        <v>2</v>
      </c>
      <c r="O265">
        <v>0</v>
      </c>
      <c r="P265" t="s">
        <v>44</v>
      </c>
      <c r="Q265" t="s">
        <v>44</v>
      </c>
      <c r="R265" t="s">
        <v>44</v>
      </c>
      <c r="S265">
        <f t="shared" si="4"/>
        <v>0</v>
      </c>
      <c r="T265" t="s">
        <v>44</v>
      </c>
      <c r="U265" t="s">
        <v>43</v>
      </c>
      <c r="V265" t="s">
        <v>44</v>
      </c>
      <c r="W265" t="s">
        <v>43</v>
      </c>
      <c r="X265" t="s">
        <v>44</v>
      </c>
      <c r="Y265">
        <v>5</v>
      </c>
      <c r="Z265">
        <v>5</v>
      </c>
      <c r="AA265">
        <v>4</v>
      </c>
      <c r="AB265">
        <v>3</v>
      </c>
      <c r="AC265">
        <v>5</v>
      </c>
      <c r="AD265">
        <v>2</v>
      </c>
      <c r="AE265">
        <v>16</v>
      </c>
      <c r="AF265">
        <v>8</v>
      </c>
      <c r="AG265">
        <v>7</v>
      </c>
      <c r="AH265">
        <v>8</v>
      </c>
    </row>
    <row r="266" spans="1:34" x14ac:dyDescent="0.2">
      <c r="A266" t="s">
        <v>34</v>
      </c>
      <c r="B266" t="s">
        <v>35</v>
      </c>
      <c r="C266">
        <v>17</v>
      </c>
      <c r="D266" t="s">
        <v>36</v>
      </c>
      <c r="E266" t="s">
        <v>48</v>
      </c>
      <c r="F266" t="s">
        <v>38</v>
      </c>
      <c r="G266">
        <v>2</v>
      </c>
      <c r="H266">
        <v>2</v>
      </c>
      <c r="I266" t="s">
        <v>46</v>
      </c>
      <c r="J266" t="s">
        <v>46</v>
      </c>
      <c r="K266" t="s">
        <v>50</v>
      </c>
      <c r="L266" t="s">
        <v>42</v>
      </c>
      <c r="M266">
        <v>1</v>
      </c>
      <c r="N266">
        <v>1</v>
      </c>
      <c r="O266">
        <v>1</v>
      </c>
      <c r="P266" t="s">
        <v>44</v>
      </c>
      <c r="Q266" t="s">
        <v>43</v>
      </c>
      <c r="R266" t="s">
        <v>44</v>
      </c>
      <c r="S266">
        <f t="shared" si="4"/>
        <v>0</v>
      </c>
      <c r="T266" t="s">
        <v>44</v>
      </c>
      <c r="U266" t="s">
        <v>44</v>
      </c>
      <c r="V266" t="s">
        <v>44</v>
      </c>
      <c r="W266" t="s">
        <v>43</v>
      </c>
      <c r="X266" t="s">
        <v>44</v>
      </c>
      <c r="Y266">
        <v>3</v>
      </c>
      <c r="Z266">
        <v>1</v>
      </c>
      <c r="AA266">
        <v>2</v>
      </c>
      <c r="AB266">
        <v>1</v>
      </c>
      <c r="AC266">
        <v>1</v>
      </c>
      <c r="AD266">
        <v>1</v>
      </c>
      <c r="AE266">
        <v>8</v>
      </c>
      <c r="AF266">
        <v>11</v>
      </c>
      <c r="AG266">
        <v>9</v>
      </c>
      <c r="AH266">
        <v>10</v>
      </c>
    </row>
    <row r="267" spans="1:34" x14ac:dyDescent="0.2">
      <c r="A267" t="s">
        <v>34</v>
      </c>
      <c r="B267" t="s">
        <v>35</v>
      </c>
      <c r="C267">
        <v>17</v>
      </c>
      <c r="D267" t="s">
        <v>53</v>
      </c>
      <c r="E267" t="s">
        <v>48</v>
      </c>
      <c r="F267" t="s">
        <v>45</v>
      </c>
      <c r="G267">
        <v>1</v>
      </c>
      <c r="H267">
        <v>1</v>
      </c>
      <c r="I267" t="s">
        <v>39</v>
      </c>
      <c r="J267" t="s">
        <v>46</v>
      </c>
      <c r="K267" t="s">
        <v>41</v>
      </c>
      <c r="L267" t="s">
        <v>42</v>
      </c>
      <c r="M267">
        <v>2</v>
      </c>
      <c r="N267">
        <v>3</v>
      </c>
      <c r="O267">
        <v>0</v>
      </c>
      <c r="P267" t="s">
        <v>44</v>
      </c>
      <c r="Q267" t="s">
        <v>44</v>
      </c>
      <c r="R267" t="s">
        <v>44</v>
      </c>
      <c r="S267">
        <f t="shared" si="4"/>
        <v>0</v>
      </c>
      <c r="T267" t="s">
        <v>43</v>
      </c>
      <c r="U267" t="s">
        <v>43</v>
      </c>
      <c r="V267" t="s">
        <v>43</v>
      </c>
      <c r="W267" t="s">
        <v>43</v>
      </c>
      <c r="X267" t="s">
        <v>44</v>
      </c>
      <c r="Y267">
        <v>4</v>
      </c>
      <c r="Z267">
        <v>3</v>
      </c>
      <c r="AA267">
        <v>3</v>
      </c>
      <c r="AB267">
        <v>1</v>
      </c>
      <c r="AC267">
        <v>3</v>
      </c>
      <c r="AD267">
        <v>5</v>
      </c>
      <c r="AE267">
        <v>4</v>
      </c>
      <c r="AF267">
        <v>15</v>
      </c>
      <c r="AG267">
        <v>14</v>
      </c>
      <c r="AH267">
        <v>15</v>
      </c>
    </row>
    <row r="268" spans="1:34" x14ac:dyDescent="0.2">
      <c r="A268" t="s">
        <v>34</v>
      </c>
      <c r="B268" t="s">
        <v>35</v>
      </c>
      <c r="C268">
        <v>17</v>
      </c>
      <c r="D268" t="s">
        <v>36</v>
      </c>
      <c r="E268" t="s">
        <v>48</v>
      </c>
      <c r="F268" t="s">
        <v>38</v>
      </c>
      <c r="G268">
        <v>4</v>
      </c>
      <c r="H268">
        <v>2</v>
      </c>
      <c r="I268" t="s">
        <v>40</v>
      </c>
      <c r="J268" t="s">
        <v>46</v>
      </c>
      <c r="K268" t="s">
        <v>41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43</v>
      </c>
      <c r="R268" t="s">
        <v>44</v>
      </c>
      <c r="S268">
        <f t="shared" si="4"/>
        <v>0</v>
      </c>
      <c r="T268" t="s">
        <v>43</v>
      </c>
      <c r="U268" t="s">
        <v>43</v>
      </c>
      <c r="V268" t="s">
        <v>43</v>
      </c>
      <c r="W268" t="s">
        <v>44</v>
      </c>
      <c r="X268" t="s">
        <v>44</v>
      </c>
      <c r="Y268">
        <v>4</v>
      </c>
      <c r="Z268">
        <v>3</v>
      </c>
      <c r="AA268">
        <v>2</v>
      </c>
      <c r="AB268">
        <v>1</v>
      </c>
      <c r="AC268">
        <v>1</v>
      </c>
      <c r="AD268">
        <v>4</v>
      </c>
      <c r="AE268">
        <v>4</v>
      </c>
      <c r="AF268">
        <v>15</v>
      </c>
      <c r="AG268">
        <v>14</v>
      </c>
      <c r="AH268">
        <v>14</v>
      </c>
    </row>
    <row r="269" spans="1:34" x14ac:dyDescent="0.2">
      <c r="A269" t="s">
        <v>34</v>
      </c>
      <c r="B269" t="s">
        <v>51</v>
      </c>
      <c r="C269">
        <v>17</v>
      </c>
      <c r="D269" t="s">
        <v>36</v>
      </c>
      <c r="E269" t="s">
        <v>48</v>
      </c>
      <c r="F269" t="s">
        <v>45</v>
      </c>
      <c r="G269">
        <v>4</v>
      </c>
      <c r="H269">
        <v>3</v>
      </c>
      <c r="I269" t="s">
        <v>29</v>
      </c>
      <c r="J269" t="s">
        <v>46</v>
      </c>
      <c r="K269" t="s">
        <v>41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44</v>
      </c>
      <c r="S269">
        <f t="shared" si="4"/>
        <v>0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>
        <v>2</v>
      </c>
      <c r="Z269">
        <v>5</v>
      </c>
      <c r="AA269">
        <v>5</v>
      </c>
      <c r="AB269">
        <v>1</v>
      </c>
      <c r="AC269">
        <v>4</v>
      </c>
      <c r="AD269">
        <v>5</v>
      </c>
      <c r="AE269">
        <v>8</v>
      </c>
      <c r="AF269">
        <v>15</v>
      </c>
      <c r="AG269">
        <v>15</v>
      </c>
      <c r="AH269">
        <v>15</v>
      </c>
    </row>
    <row r="270" spans="1:34" x14ac:dyDescent="0.2">
      <c r="A270" t="s">
        <v>34</v>
      </c>
      <c r="B270" t="s">
        <v>51</v>
      </c>
      <c r="C270">
        <v>17</v>
      </c>
      <c r="D270" t="s">
        <v>53</v>
      </c>
      <c r="E270" t="s">
        <v>48</v>
      </c>
      <c r="F270" t="s">
        <v>38</v>
      </c>
      <c r="G270">
        <v>4</v>
      </c>
      <c r="H270">
        <v>4</v>
      </c>
      <c r="I270" t="s">
        <v>40</v>
      </c>
      <c r="J270" t="s">
        <v>46</v>
      </c>
      <c r="K270" t="s">
        <v>41</v>
      </c>
      <c r="L270" t="s">
        <v>42</v>
      </c>
      <c r="M270">
        <v>2</v>
      </c>
      <c r="N270">
        <v>2</v>
      </c>
      <c r="O270">
        <v>0</v>
      </c>
      <c r="P270" t="s">
        <v>44</v>
      </c>
      <c r="Q270" t="s">
        <v>43</v>
      </c>
      <c r="R270" t="s">
        <v>44</v>
      </c>
      <c r="S270">
        <f t="shared" si="4"/>
        <v>0</v>
      </c>
      <c r="T270" t="s">
        <v>44</v>
      </c>
      <c r="U270" t="s">
        <v>43</v>
      </c>
      <c r="V270" t="s">
        <v>43</v>
      </c>
      <c r="W270" t="s">
        <v>43</v>
      </c>
      <c r="X270" t="s">
        <v>44</v>
      </c>
      <c r="Y270">
        <v>3</v>
      </c>
      <c r="Z270">
        <v>3</v>
      </c>
      <c r="AA270">
        <v>3</v>
      </c>
      <c r="AB270">
        <v>2</v>
      </c>
      <c r="AC270">
        <v>3</v>
      </c>
      <c r="AD270">
        <v>4</v>
      </c>
      <c r="AE270">
        <v>0</v>
      </c>
      <c r="AF270">
        <v>12</v>
      </c>
      <c r="AG270">
        <v>12</v>
      </c>
      <c r="AH270">
        <v>12</v>
      </c>
    </row>
    <row r="271" spans="1:34" x14ac:dyDescent="0.2">
      <c r="A271" t="s">
        <v>34</v>
      </c>
      <c r="B271" t="s">
        <v>51</v>
      </c>
      <c r="C271">
        <v>16</v>
      </c>
      <c r="D271" t="s">
        <v>36</v>
      </c>
      <c r="E271" t="s">
        <v>48</v>
      </c>
      <c r="F271" t="s">
        <v>45</v>
      </c>
      <c r="G271">
        <v>4</v>
      </c>
      <c r="H271">
        <v>3</v>
      </c>
      <c r="I271" t="s">
        <v>40</v>
      </c>
      <c r="J271" t="s">
        <v>46</v>
      </c>
      <c r="K271" t="s">
        <v>41</v>
      </c>
      <c r="L271" t="s">
        <v>42</v>
      </c>
      <c r="M271">
        <v>1</v>
      </c>
      <c r="N271">
        <v>1</v>
      </c>
      <c r="O271">
        <v>0</v>
      </c>
      <c r="P271" t="s">
        <v>44</v>
      </c>
      <c r="Q271" t="s">
        <v>44</v>
      </c>
      <c r="R271" t="s">
        <v>44</v>
      </c>
      <c r="S271">
        <f t="shared" si="4"/>
        <v>0</v>
      </c>
      <c r="T271" t="s">
        <v>43</v>
      </c>
      <c r="U271" t="s">
        <v>44</v>
      </c>
      <c r="V271" t="s">
        <v>43</v>
      </c>
      <c r="W271" t="s">
        <v>43</v>
      </c>
      <c r="X271" t="s">
        <v>44</v>
      </c>
      <c r="Y271">
        <v>5</v>
      </c>
      <c r="Z271">
        <v>4</v>
      </c>
      <c r="AA271">
        <v>5</v>
      </c>
      <c r="AB271">
        <v>1</v>
      </c>
      <c r="AC271">
        <v>1</v>
      </c>
      <c r="AD271">
        <v>3</v>
      </c>
      <c r="AE271">
        <v>7</v>
      </c>
      <c r="AF271">
        <v>14</v>
      </c>
      <c r="AG271">
        <v>14</v>
      </c>
      <c r="AH271">
        <v>15</v>
      </c>
    </row>
    <row r="272" spans="1:34" x14ac:dyDescent="0.2">
      <c r="A272" t="s">
        <v>34</v>
      </c>
      <c r="B272" t="s">
        <v>51</v>
      </c>
      <c r="C272">
        <v>16</v>
      </c>
      <c r="D272" t="s">
        <v>36</v>
      </c>
      <c r="E272" t="s">
        <v>37</v>
      </c>
      <c r="F272" t="s">
        <v>45</v>
      </c>
      <c r="G272">
        <v>4</v>
      </c>
      <c r="H272">
        <v>4</v>
      </c>
      <c r="I272" t="s">
        <v>49</v>
      </c>
      <c r="J272" t="s">
        <v>49</v>
      </c>
      <c r="K272" t="s">
        <v>41</v>
      </c>
      <c r="L272" t="s">
        <v>42</v>
      </c>
      <c r="M272">
        <v>1</v>
      </c>
      <c r="N272">
        <v>1</v>
      </c>
      <c r="O272">
        <v>0</v>
      </c>
      <c r="P272" t="s">
        <v>44</v>
      </c>
      <c r="Q272" t="s">
        <v>44</v>
      </c>
      <c r="R272" t="s">
        <v>43</v>
      </c>
      <c r="S272">
        <f t="shared" si="4"/>
        <v>1</v>
      </c>
      <c r="T272" t="s">
        <v>43</v>
      </c>
      <c r="U272" t="s">
        <v>43</v>
      </c>
      <c r="V272" t="s">
        <v>43</v>
      </c>
      <c r="W272" t="s">
        <v>43</v>
      </c>
      <c r="X272" t="s">
        <v>44</v>
      </c>
      <c r="Y272">
        <v>5</v>
      </c>
      <c r="Z272">
        <v>3</v>
      </c>
      <c r="AA272">
        <v>2</v>
      </c>
      <c r="AB272">
        <v>1</v>
      </c>
      <c r="AC272">
        <v>2</v>
      </c>
      <c r="AD272">
        <v>5</v>
      </c>
      <c r="AE272">
        <v>4</v>
      </c>
      <c r="AF272">
        <v>14</v>
      </c>
      <c r="AG272">
        <v>15</v>
      </c>
      <c r="AH272">
        <v>15</v>
      </c>
    </row>
    <row r="273" spans="1:34" x14ac:dyDescent="0.2">
      <c r="A273" t="s">
        <v>34</v>
      </c>
      <c r="B273" t="s">
        <v>35</v>
      </c>
      <c r="C273">
        <v>17</v>
      </c>
      <c r="D273" t="s">
        <v>36</v>
      </c>
      <c r="E273" t="s">
        <v>37</v>
      </c>
      <c r="F273" t="s">
        <v>45</v>
      </c>
      <c r="G273">
        <v>4</v>
      </c>
      <c r="H273">
        <v>4</v>
      </c>
      <c r="I273" t="s">
        <v>40</v>
      </c>
      <c r="J273" t="s">
        <v>49</v>
      </c>
      <c r="K273" t="s">
        <v>41</v>
      </c>
      <c r="L273" t="s">
        <v>42</v>
      </c>
      <c r="M273">
        <v>1</v>
      </c>
      <c r="N273">
        <v>2</v>
      </c>
      <c r="O273">
        <v>0</v>
      </c>
      <c r="P273" t="s">
        <v>44</v>
      </c>
      <c r="Q273" t="s">
        <v>43</v>
      </c>
      <c r="R273" t="s">
        <v>43</v>
      </c>
      <c r="S273">
        <f t="shared" si="4"/>
        <v>1</v>
      </c>
      <c r="T273" t="s">
        <v>44</v>
      </c>
      <c r="U273" t="s">
        <v>43</v>
      </c>
      <c r="V273" t="s">
        <v>43</v>
      </c>
      <c r="W273" t="s">
        <v>43</v>
      </c>
      <c r="X273" t="s">
        <v>43</v>
      </c>
      <c r="Y273">
        <v>5</v>
      </c>
      <c r="Z273">
        <v>3</v>
      </c>
      <c r="AA273">
        <v>1</v>
      </c>
      <c r="AB273">
        <v>1</v>
      </c>
      <c r="AC273">
        <v>4</v>
      </c>
      <c r="AD273">
        <v>5</v>
      </c>
      <c r="AE273">
        <v>2</v>
      </c>
      <c r="AF273">
        <v>11</v>
      </c>
      <c r="AG273">
        <v>11</v>
      </c>
      <c r="AH273">
        <v>12</v>
      </c>
    </row>
    <row r="274" spans="1:34" x14ac:dyDescent="0.2">
      <c r="A274" t="s">
        <v>34</v>
      </c>
      <c r="B274" t="s">
        <v>51</v>
      </c>
      <c r="C274">
        <v>17</v>
      </c>
      <c r="D274" t="s">
        <v>53</v>
      </c>
      <c r="E274" t="s">
        <v>37</v>
      </c>
      <c r="F274" t="s">
        <v>45</v>
      </c>
      <c r="G274">
        <v>1</v>
      </c>
      <c r="H274">
        <v>1</v>
      </c>
      <c r="I274" t="s">
        <v>46</v>
      </c>
      <c r="J274" t="s">
        <v>46</v>
      </c>
      <c r="K274" t="s">
        <v>50</v>
      </c>
      <c r="L274" t="s">
        <v>47</v>
      </c>
      <c r="M274">
        <v>2</v>
      </c>
      <c r="N274">
        <v>3</v>
      </c>
      <c r="O274">
        <v>0</v>
      </c>
      <c r="P274" t="s">
        <v>44</v>
      </c>
      <c r="Q274" t="s">
        <v>44</v>
      </c>
      <c r="R274" t="s">
        <v>44</v>
      </c>
      <c r="S274">
        <f t="shared" si="4"/>
        <v>0</v>
      </c>
      <c r="T274" t="s">
        <v>44</v>
      </c>
      <c r="U274" t="s">
        <v>44</v>
      </c>
      <c r="V274" t="s">
        <v>43</v>
      </c>
      <c r="W274" t="s">
        <v>43</v>
      </c>
      <c r="X274" t="s">
        <v>43</v>
      </c>
      <c r="Y274">
        <v>4</v>
      </c>
      <c r="Z274">
        <v>3</v>
      </c>
      <c r="AA274">
        <v>3</v>
      </c>
      <c r="AB274">
        <v>1</v>
      </c>
      <c r="AC274">
        <v>1</v>
      </c>
      <c r="AD274">
        <v>1</v>
      </c>
      <c r="AE274">
        <v>2</v>
      </c>
      <c r="AF274">
        <v>13</v>
      </c>
      <c r="AG274">
        <v>14</v>
      </c>
      <c r="AH274">
        <v>15</v>
      </c>
    </row>
    <row r="275" spans="1:34" x14ac:dyDescent="0.2">
      <c r="A275" t="s">
        <v>34</v>
      </c>
      <c r="B275" t="s">
        <v>35</v>
      </c>
      <c r="C275">
        <v>17</v>
      </c>
      <c r="D275" t="s">
        <v>36</v>
      </c>
      <c r="E275" t="s">
        <v>37</v>
      </c>
      <c r="F275" t="s">
        <v>45</v>
      </c>
      <c r="G275">
        <v>3</v>
      </c>
      <c r="H275">
        <v>3</v>
      </c>
      <c r="I275" t="s">
        <v>49</v>
      </c>
      <c r="J275" t="s">
        <v>46</v>
      </c>
      <c r="K275" t="s">
        <v>50</v>
      </c>
      <c r="L275" t="s">
        <v>42</v>
      </c>
      <c r="M275">
        <v>2</v>
      </c>
      <c r="N275">
        <v>3</v>
      </c>
      <c r="O275">
        <v>0</v>
      </c>
      <c r="P275" t="s">
        <v>44</v>
      </c>
      <c r="Q275" t="s">
        <v>43</v>
      </c>
      <c r="R275" t="s">
        <v>44</v>
      </c>
      <c r="S275">
        <f t="shared" si="4"/>
        <v>0</v>
      </c>
      <c r="T275" t="s">
        <v>44</v>
      </c>
      <c r="U275" t="s">
        <v>43</v>
      </c>
      <c r="V275" t="s">
        <v>43</v>
      </c>
      <c r="W275" t="s">
        <v>43</v>
      </c>
      <c r="X275" t="s">
        <v>43</v>
      </c>
      <c r="Y275">
        <v>4</v>
      </c>
      <c r="Z275">
        <v>2</v>
      </c>
      <c r="AA275">
        <v>2</v>
      </c>
      <c r="AB275">
        <v>2</v>
      </c>
      <c r="AC275">
        <v>3</v>
      </c>
      <c r="AD275">
        <v>5</v>
      </c>
      <c r="AE275">
        <v>10</v>
      </c>
      <c r="AF275">
        <v>11</v>
      </c>
      <c r="AG275">
        <v>11</v>
      </c>
      <c r="AH275">
        <v>11</v>
      </c>
    </row>
    <row r="276" spans="1:34" x14ac:dyDescent="0.2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v>1</v>
      </c>
      <c r="H276">
        <v>1</v>
      </c>
      <c r="I276" t="s">
        <v>39</v>
      </c>
      <c r="J276" t="s">
        <v>46</v>
      </c>
      <c r="K276" t="s">
        <v>41</v>
      </c>
      <c r="L276" t="s">
        <v>42</v>
      </c>
      <c r="M276">
        <v>1</v>
      </c>
      <c r="N276">
        <v>2</v>
      </c>
      <c r="O276">
        <v>0</v>
      </c>
      <c r="P276" t="s">
        <v>43</v>
      </c>
      <c r="Q276" t="s">
        <v>44</v>
      </c>
      <c r="R276" t="s">
        <v>44</v>
      </c>
      <c r="S276">
        <f t="shared" si="4"/>
        <v>0</v>
      </c>
      <c r="T276" t="s">
        <v>44</v>
      </c>
      <c r="U276" t="s">
        <v>44</v>
      </c>
      <c r="V276" t="s">
        <v>43</v>
      </c>
      <c r="W276" t="s">
        <v>44</v>
      </c>
      <c r="X276" t="s">
        <v>43</v>
      </c>
      <c r="Y276">
        <v>4</v>
      </c>
      <c r="Z276">
        <v>3</v>
      </c>
      <c r="AA276">
        <v>2</v>
      </c>
      <c r="AB276">
        <v>1</v>
      </c>
      <c r="AC276">
        <v>1</v>
      </c>
      <c r="AD276">
        <v>4</v>
      </c>
      <c r="AE276">
        <v>10</v>
      </c>
      <c r="AF276">
        <v>10</v>
      </c>
      <c r="AG276">
        <v>9</v>
      </c>
      <c r="AH276">
        <v>10</v>
      </c>
    </row>
    <row r="277" spans="1:34" x14ac:dyDescent="0.2">
      <c r="A277" t="s">
        <v>34</v>
      </c>
      <c r="B277" t="s">
        <v>35</v>
      </c>
      <c r="C277">
        <v>18</v>
      </c>
      <c r="D277" t="s">
        <v>36</v>
      </c>
      <c r="E277" t="s">
        <v>37</v>
      </c>
      <c r="F277" t="s">
        <v>45</v>
      </c>
      <c r="G277">
        <v>2</v>
      </c>
      <c r="H277">
        <v>1</v>
      </c>
      <c r="I277" t="s">
        <v>46</v>
      </c>
      <c r="J277" t="s">
        <v>46</v>
      </c>
      <c r="K277" t="s">
        <v>41</v>
      </c>
      <c r="L277" t="s">
        <v>46</v>
      </c>
      <c r="M277">
        <v>2</v>
      </c>
      <c r="N277">
        <v>3</v>
      </c>
      <c r="O277">
        <v>0</v>
      </c>
      <c r="P277" t="s">
        <v>44</v>
      </c>
      <c r="Q277" t="s">
        <v>43</v>
      </c>
      <c r="R277" t="s">
        <v>44</v>
      </c>
      <c r="S277">
        <f t="shared" si="4"/>
        <v>0</v>
      </c>
      <c r="T277" t="s">
        <v>44</v>
      </c>
      <c r="U277" t="s">
        <v>44</v>
      </c>
      <c r="V277" t="s">
        <v>43</v>
      </c>
      <c r="W277" t="s">
        <v>43</v>
      </c>
      <c r="X277" t="s">
        <v>43</v>
      </c>
      <c r="Y277">
        <v>4</v>
      </c>
      <c r="Z277">
        <v>4</v>
      </c>
      <c r="AA277">
        <v>4</v>
      </c>
      <c r="AB277">
        <v>1</v>
      </c>
      <c r="AC277">
        <v>1</v>
      </c>
      <c r="AD277">
        <v>3</v>
      </c>
      <c r="AE277">
        <v>10</v>
      </c>
      <c r="AF277">
        <v>12</v>
      </c>
      <c r="AG277">
        <v>10</v>
      </c>
      <c r="AH277">
        <v>11</v>
      </c>
    </row>
    <row r="278" spans="1:34" x14ac:dyDescent="0.2">
      <c r="A278" t="s">
        <v>34</v>
      </c>
      <c r="B278" t="s">
        <v>51</v>
      </c>
      <c r="C278">
        <v>16</v>
      </c>
      <c r="D278" t="s">
        <v>36</v>
      </c>
      <c r="E278" t="s">
        <v>37</v>
      </c>
      <c r="F278" t="s">
        <v>45</v>
      </c>
      <c r="G278">
        <v>2</v>
      </c>
      <c r="H278">
        <v>1</v>
      </c>
      <c r="I278" t="s">
        <v>46</v>
      </c>
      <c r="J278" t="s">
        <v>46</v>
      </c>
      <c r="K278" t="s">
        <v>41</v>
      </c>
      <c r="L278" t="s">
        <v>42</v>
      </c>
      <c r="M278">
        <v>3</v>
      </c>
      <c r="N278">
        <v>1</v>
      </c>
      <c r="O278">
        <v>0</v>
      </c>
      <c r="P278" t="s">
        <v>44</v>
      </c>
      <c r="Q278" t="s">
        <v>44</v>
      </c>
      <c r="R278" t="s">
        <v>44</v>
      </c>
      <c r="S278">
        <f t="shared" si="4"/>
        <v>0</v>
      </c>
      <c r="T278" t="s">
        <v>44</v>
      </c>
      <c r="U278" t="s">
        <v>43</v>
      </c>
      <c r="V278" t="s">
        <v>43</v>
      </c>
      <c r="W278" t="s">
        <v>43</v>
      </c>
      <c r="X278" t="s">
        <v>44</v>
      </c>
      <c r="Y278">
        <v>4</v>
      </c>
      <c r="Z278">
        <v>3</v>
      </c>
      <c r="AA278">
        <v>3</v>
      </c>
      <c r="AB278">
        <v>1</v>
      </c>
      <c r="AC278">
        <v>1</v>
      </c>
      <c r="AD278">
        <v>4</v>
      </c>
      <c r="AE278">
        <v>7</v>
      </c>
      <c r="AF278">
        <v>15</v>
      </c>
      <c r="AG278">
        <v>16</v>
      </c>
      <c r="AH278">
        <v>16</v>
      </c>
    </row>
    <row r="279" spans="1:34" x14ac:dyDescent="0.2">
      <c r="A279" t="s">
        <v>34</v>
      </c>
      <c r="B279" t="s">
        <v>35</v>
      </c>
      <c r="C279">
        <v>17</v>
      </c>
      <c r="D279" t="s">
        <v>36</v>
      </c>
      <c r="E279" t="s">
        <v>37</v>
      </c>
      <c r="F279" t="s">
        <v>45</v>
      </c>
      <c r="G279">
        <v>1</v>
      </c>
      <c r="H279">
        <v>1</v>
      </c>
      <c r="I279" t="s">
        <v>46</v>
      </c>
      <c r="J279" t="s">
        <v>49</v>
      </c>
      <c r="K279" t="s">
        <v>41</v>
      </c>
      <c r="L279" t="s">
        <v>47</v>
      </c>
      <c r="M279">
        <v>1</v>
      </c>
      <c r="N279">
        <v>2</v>
      </c>
      <c r="O279">
        <v>0</v>
      </c>
      <c r="P279" t="s">
        <v>44</v>
      </c>
      <c r="Q279" t="s">
        <v>43</v>
      </c>
      <c r="R279" t="s">
        <v>44</v>
      </c>
      <c r="S279">
        <f t="shared" si="4"/>
        <v>0</v>
      </c>
      <c r="T279" t="s">
        <v>44</v>
      </c>
      <c r="U279" t="s">
        <v>43</v>
      </c>
      <c r="V279" t="s">
        <v>43</v>
      </c>
      <c r="W279" t="s">
        <v>44</v>
      </c>
      <c r="X279" t="s">
        <v>44</v>
      </c>
      <c r="Y279">
        <v>4</v>
      </c>
      <c r="Z279">
        <v>3</v>
      </c>
      <c r="AA279">
        <v>4</v>
      </c>
      <c r="AB279">
        <v>1</v>
      </c>
      <c r="AC279">
        <v>2</v>
      </c>
      <c r="AD279">
        <v>5</v>
      </c>
      <c r="AE279">
        <v>4</v>
      </c>
      <c r="AF279">
        <v>11</v>
      </c>
      <c r="AG279">
        <v>10</v>
      </c>
      <c r="AH279">
        <v>11</v>
      </c>
    </row>
    <row r="280" spans="1:34" x14ac:dyDescent="0.2">
      <c r="A280" t="s">
        <v>34</v>
      </c>
      <c r="B280" t="s">
        <v>51</v>
      </c>
      <c r="C280">
        <v>17</v>
      </c>
      <c r="D280" t="s">
        <v>36</v>
      </c>
      <c r="E280" t="s">
        <v>37</v>
      </c>
      <c r="F280" t="s">
        <v>45</v>
      </c>
      <c r="G280">
        <v>2</v>
      </c>
      <c r="H280">
        <v>3</v>
      </c>
      <c r="I280" t="s">
        <v>46</v>
      </c>
      <c r="J280" t="s">
        <v>46</v>
      </c>
      <c r="K280" t="s">
        <v>41</v>
      </c>
      <c r="L280" t="s">
        <v>47</v>
      </c>
      <c r="M280">
        <v>2</v>
      </c>
      <c r="N280">
        <v>1</v>
      </c>
      <c r="O280">
        <v>0</v>
      </c>
      <c r="P280" t="s">
        <v>44</v>
      </c>
      <c r="Q280" t="s">
        <v>44</v>
      </c>
      <c r="R280" t="s">
        <v>44</v>
      </c>
      <c r="S280">
        <f t="shared" si="4"/>
        <v>0</v>
      </c>
      <c r="T280" t="s">
        <v>44</v>
      </c>
      <c r="U280" t="s">
        <v>43</v>
      </c>
      <c r="V280" t="s">
        <v>43</v>
      </c>
      <c r="W280" t="s">
        <v>43</v>
      </c>
      <c r="X280" t="s">
        <v>44</v>
      </c>
      <c r="Y280">
        <v>5</v>
      </c>
      <c r="Z280">
        <v>2</v>
      </c>
      <c r="AA280">
        <v>2</v>
      </c>
      <c r="AB280">
        <v>1</v>
      </c>
      <c r="AC280">
        <v>1</v>
      </c>
      <c r="AD280">
        <v>2</v>
      </c>
      <c r="AE280">
        <v>2</v>
      </c>
      <c r="AF280">
        <v>9</v>
      </c>
      <c r="AG280">
        <v>12</v>
      </c>
      <c r="AH280">
        <v>13</v>
      </c>
    </row>
    <row r="281" spans="1:34" x14ac:dyDescent="0.2">
      <c r="A281" t="s">
        <v>34</v>
      </c>
      <c r="B281" t="s">
        <v>51</v>
      </c>
      <c r="C281">
        <v>22</v>
      </c>
      <c r="D281" t="s">
        <v>36</v>
      </c>
      <c r="E281" t="s">
        <v>37</v>
      </c>
      <c r="F281" t="s">
        <v>45</v>
      </c>
      <c r="G281">
        <v>3</v>
      </c>
      <c r="H281">
        <v>1</v>
      </c>
      <c r="I281" t="s">
        <v>49</v>
      </c>
      <c r="J281" t="s">
        <v>49</v>
      </c>
      <c r="K281" t="s">
        <v>46</v>
      </c>
      <c r="L281" t="s">
        <v>42</v>
      </c>
      <c r="M281">
        <v>1</v>
      </c>
      <c r="N281">
        <v>1</v>
      </c>
      <c r="O281">
        <v>3</v>
      </c>
      <c r="P281" t="s">
        <v>44</v>
      </c>
      <c r="Q281" t="s">
        <v>44</v>
      </c>
      <c r="R281" t="s">
        <v>44</v>
      </c>
      <c r="S281">
        <f t="shared" si="4"/>
        <v>0</v>
      </c>
      <c r="T281" t="s">
        <v>44</v>
      </c>
      <c r="U281" t="s">
        <v>44</v>
      </c>
      <c r="V281" t="s">
        <v>44</v>
      </c>
      <c r="W281" t="s">
        <v>43</v>
      </c>
      <c r="X281" t="s">
        <v>43</v>
      </c>
      <c r="Y281">
        <v>5</v>
      </c>
      <c r="Z281">
        <v>4</v>
      </c>
      <c r="AA281">
        <v>5</v>
      </c>
      <c r="AB281">
        <v>5</v>
      </c>
      <c r="AC281">
        <v>5</v>
      </c>
      <c r="AD281">
        <v>1</v>
      </c>
      <c r="AE281">
        <v>12</v>
      </c>
      <c r="AF281">
        <v>7</v>
      </c>
      <c r="AG281">
        <v>8</v>
      </c>
      <c r="AH281">
        <v>5</v>
      </c>
    </row>
    <row r="282" spans="1:34" x14ac:dyDescent="0.2">
      <c r="A282" t="s">
        <v>34</v>
      </c>
      <c r="B282" t="s">
        <v>51</v>
      </c>
      <c r="C282">
        <v>18</v>
      </c>
      <c r="D282" t="s">
        <v>53</v>
      </c>
      <c r="E282" t="s">
        <v>48</v>
      </c>
      <c r="F282" t="s">
        <v>45</v>
      </c>
      <c r="G282">
        <v>3</v>
      </c>
      <c r="H282">
        <v>3</v>
      </c>
      <c r="I282" t="s">
        <v>46</v>
      </c>
      <c r="J282" t="s">
        <v>49</v>
      </c>
      <c r="K282" t="s">
        <v>41</v>
      </c>
      <c r="L282" t="s">
        <v>42</v>
      </c>
      <c r="M282">
        <v>1</v>
      </c>
      <c r="N282">
        <v>2</v>
      </c>
      <c r="O282">
        <v>0</v>
      </c>
      <c r="P282" t="s">
        <v>44</v>
      </c>
      <c r="Q282" t="s">
        <v>43</v>
      </c>
      <c r="R282" t="s">
        <v>44</v>
      </c>
      <c r="S282">
        <f t="shared" si="4"/>
        <v>0</v>
      </c>
      <c r="T282" t="s">
        <v>44</v>
      </c>
      <c r="U282" t="s">
        <v>43</v>
      </c>
      <c r="V282" t="s">
        <v>43</v>
      </c>
      <c r="W282" t="s">
        <v>43</v>
      </c>
      <c r="X282" t="s">
        <v>43</v>
      </c>
      <c r="Y282">
        <v>4</v>
      </c>
      <c r="Z282">
        <v>3</v>
      </c>
      <c r="AA282">
        <v>3</v>
      </c>
      <c r="AB282">
        <v>1</v>
      </c>
      <c r="AC282">
        <v>3</v>
      </c>
      <c r="AD282">
        <v>5</v>
      </c>
      <c r="AE282">
        <v>8</v>
      </c>
      <c r="AF282">
        <v>10</v>
      </c>
      <c r="AG282">
        <v>9</v>
      </c>
      <c r="AH282">
        <v>10</v>
      </c>
    </row>
    <row r="283" spans="1:34" x14ac:dyDescent="0.2">
      <c r="A283" t="s">
        <v>34</v>
      </c>
      <c r="B283" t="s">
        <v>51</v>
      </c>
      <c r="C283">
        <v>16</v>
      </c>
      <c r="D283" t="s">
        <v>36</v>
      </c>
      <c r="E283" t="s">
        <v>37</v>
      </c>
      <c r="F283" t="s">
        <v>45</v>
      </c>
      <c r="G283">
        <v>0</v>
      </c>
      <c r="H283">
        <v>2</v>
      </c>
      <c r="I283" t="s">
        <v>46</v>
      </c>
      <c r="J283" t="s">
        <v>46</v>
      </c>
      <c r="K283" t="s">
        <v>46</v>
      </c>
      <c r="L283" t="s">
        <v>42</v>
      </c>
      <c r="M283">
        <v>1</v>
      </c>
      <c r="N283">
        <v>1</v>
      </c>
      <c r="O283">
        <v>0</v>
      </c>
      <c r="P283" t="s">
        <v>44</v>
      </c>
      <c r="Q283" t="s">
        <v>44</v>
      </c>
      <c r="R283" t="s">
        <v>44</v>
      </c>
      <c r="S283">
        <f t="shared" si="4"/>
        <v>0</v>
      </c>
      <c r="T283" t="s">
        <v>44</v>
      </c>
      <c r="U283" t="s">
        <v>44</v>
      </c>
      <c r="V283" t="s">
        <v>43</v>
      </c>
      <c r="W283" t="s">
        <v>43</v>
      </c>
      <c r="X283" t="s">
        <v>44</v>
      </c>
      <c r="Y283">
        <v>4</v>
      </c>
      <c r="Z283">
        <v>3</v>
      </c>
      <c r="AA283">
        <v>2</v>
      </c>
      <c r="AB283">
        <v>2</v>
      </c>
      <c r="AC283">
        <v>4</v>
      </c>
      <c r="AD283">
        <v>5</v>
      </c>
      <c r="AE283">
        <v>0</v>
      </c>
      <c r="AF283">
        <v>11</v>
      </c>
      <c r="AG283">
        <v>12</v>
      </c>
      <c r="AH283">
        <v>11</v>
      </c>
    </row>
    <row r="284" spans="1:34" x14ac:dyDescent="0.2">
      <c r="A284" t="s">
        <v>34</v>
      </c>
      <c r="B284" t="s">
        <v>51</v>
      </c>
      <c r="C284">
        <v>18</v>
      </c>
      <c r="D284" t="s">
        <v>36</v>
      </c>
      <c r="E284" t="s">
        <v>37</v>
      </c>
      <c r="F284" t="s">
        <v>45</v>
      </c>
      <c r="G284">
        <v>3</v>
      </c>
      <c r="H284">
        <v>2</v>
      </c>
      <c r="I284" t="s">
        <v>49</v>
      </c>
      <c r="J284" t="s">
        <v>46</v>
      </c>
      <c r="K284" t="s">
        <v>41</v>
      </c>
      <c r="L284" t="s">
        <v>42</v>
      </c>
      <c r="M284">
        <v>2</v>
      </c>
      <c r="N284">
        <v>1</v>
      </c>
      <c r="O284">
        <v>0</v>
      </c>
      <c r="P284" t="s">
        <v>44</v>
      </c>
      <c r="Q284" t="s">
        <v>44</v>
      </c>
      <c r="R284" t="s">
        <v>44</v>
      </c>
      <c r="S284">
        <f t="shared" si="4"/>
        <v>0</v>
      </c>
      <c r="T284" t="s">
        <v>44</v>
      </c>
      <c r="U284" t="s">
        <v>43</v>
      </c>
      <c r="V284" t="s">
        <v>44</v>
      </c>
      <c r="W284" t="s">
        <v>43</v>
      </c>
      <c r="X284" t="s">
        <v>44</v>
      </c>
      <c r="Y284">
        <v>4</v>
      </c>
      <c r="Z284">
        <v>4</v>
      </c>
      <c r="AA284">
        <v>5</v>
      </c>
      <c r="AB284">
        <v>2</v>
      </c>
      <c r="AC284">
        <v>4</v>
      </c>
      <c r="AD284">
        <v>5</v>
      </c>
      <c r="AE284">
        <v>8</v>
      </c>
      <c r="AF284">
        <v>7</v>
      </c>
      <c r="AG284">
        <v>8</v>
      </c>
      <c r="AH284">
        <v>7</v>
      </c>
    </row>
    <row r="285" spans="1:34" x14ac:dyDescent="0.2">
      <c r="A285" t="s">
        <v>34</v>
      </c>
      <c r="B285" t="s">
        <v>51</v>
      </c>
      <c r="C285">
        <v>16</v>
      </c>
      <c r="D285" t="s">
        <v>36</v>
      </c>
      <c r="E285" t="s">
        <v>37</v>
      </c>
      <c r="F285" t="s">
        <v>45</v>
      </c>
      <c r="G285">
        <v>3</v>
      </c>
      <c r="H285">
        <v>3</v>
      </c>
      <c r="I285" t="s">
        <v>39</v>
      </c>
      <c r="J285" t="s">
        <v>46</v>
      </c>
      <c r="K285" t="s">
        <v>52</v>
      </c>
      <c r="L285" t="s">
        <v>46</v>
      </c>
      <c r="M285">
        <v>3</v>
      </c>
      <c r="N285">
        <v>2</v>
      </c>
      <c r="O285">
        <v>1</v>
      </c>
      <c r="P285" t="s">
        <v>43</v>
      </c>
      <c r="Q285" t="s">
        <v>43</v>
      </c>
      <c r="R285" t="s">
        <v>44</v>
      </c>
      <c r="S285">
        <f t="shared" si="4"/>
        <v>0</v>
      </c>
      <c r="T285" t="s">
        <v>44</v>
      </c>
      <c r="U285" t="s">
        <v>44</v>
      </c>
      <c r="V285" t="s">
        <v>43</v>
      </c>
      <c r="W285" t="s">
        <v>43</v>
      </c>
      <c r="X285" t="s">
        <v>44</v>
      </c>
      <c r="Y285">
        <v>5</v>
      </c>
      <c r="Z285">
        <v>3</v>
      </c>
      <c r="AA285">
        <v>3</v>
      </c>
      <c r="AB285">
        <v>1</v>
      </c>
      <c r="AC285">
        <v>3</v>
      </c>
      <c r="AD285">
        <v>2</v>
      </c>
      <c r="AE285">
        <v>4</v>
      </c>
      <c r="AF285">
        <v>9</v>
      </c>
      <c r="AG285">
        <v>11</v>
      </c>
      <c r="AH285">
        <v>10</v>
      </c>
    </row>
    <row r="286" spans="1:34" x14ac:dyDescent="0.2">
      <c r="A286" t="s">
        <v>34</v>
      </c>
      <c r="B286" t="s">
        <v>51</v>
      </c>
      <c r="C286">
        <v>18</v>
      </c>
      <c r="D286" t="s">
        <v>36</v>
      </c>
      <c r="E286" t="s">
        <v>37</v>
      </c>
      <c r="F286" t="s">
        <v>45</v>
      </c>
      <c r="G286">
        <v>2</v>
      </c>
      <c r="H286">
        <v>1</v>
      </c>
      <c r="I286" t="s">
        <v>49</v>
      </c>
      <c r="J286" t="s">
        <v>49</v>
      </c>
      <c r="K286" t="s">
        <v>46</v>
      </c>
      <c r="L286" t="s">
        <v>42</v>
      </c>
      <c r="M286">
        <v>1</v>
      </c>
      <c r="N286">
        <v>1</v>
      </c>
      <c r="O286">
        <v>2</v>
      </c>
      <c r="P286" t="s">
        <v>44</v>
      </c>
      <c r="Q286" t="s">
        <v>44</v>
      </c>
      <c r="R286" t="s">
        <v>44</v>
      </c>
      <c r="S286">
        <f t="shared" si="4"/>
        <v>0</v>
      </c>
      <c r="T286" t="s">
        <v>44</v>
      </c>
      <c r="U286" t="s">
        <v>44</v>
      </c>
      <c r="V286" t="s">
        <v>44</v>
      </c>
      <c r="W286" t="s">
        <v>43</v>
      </c>
      <c r="X286" t="s">
        <v>44</v>
      </c>
      <c r="Y286">
        <v>3</v>
      </c>
      <c r="Z286">
        <v>2</v>
      </c>
      <c r="AA286">
        <v>5</v>
      </c>
      <c r="AB286">
        <v>2</v>
      </c>
      <c r="AC286">
        <v>5</v>
      </c>
      <c r="AD286">
        <v>5</v>
      </c>
      <c r="AE286">
        <v>4</v>
      </c>
      <c r="AF286">
        <v>7</v>
      </c>
      <c r="AG286">
        <v>8</v>
      </c>
      <c r="AH286">
        <v>6</v>
      </c>
    </row>
    <row r="287" spans="1:34" x14ac:dyDescent="0.2">
      <c r="A287" t="s">
        <v>34</v>
      </c>
      <c r="B287" t="s">
        <v>51</v>
      </c>
      <c r="C287">
        <v>16</v>
      </c>
      <c r="D287" t="s">
        <v>53</v>
      </c>
      <c r="E287" t="s">
        <v>37</v>
      </c>
      <c r="F287" t="s">
        <v>45</v>
      </c>
      <c r="G287">
        <v>2</v>
      </c>
      <c r="H287">
        <v>1</v>
      </c>
      <c r="I287" t="s">
        <v>46</v>
      </c>
      <c r="J287" t="s">
        <v>46</v>
      </c>
      <c r="K287" t="s">
        <v>41</v>
      </c>
      <c r="L287" t="s">
        <v>42</v>
      </c>
      <c r="M287">
        <v>2</v>
      </c>
      <c r="N287">
        <v>1</v>
      </c>
      <c r="O287">
        <v>0</v>
      </c>
      <c r="P287" t="s">
        <v>44</v>
      </c>
      <c r="Q287" t="s">
        <v>44</v>
      </c>
      <c r="R287" t="s">
        <v>44</v>
      </c>
      <c r="S287">
        <f t="shared" si="4"/>
        <v>0</v>
      </c>
      <c r="T287" t="s">
        <v>43</v>
      </c>
      <c r="U287" t="s">
        <v>44</v>
      </c>
      <c r="V287" t="s">
        <v>43</v>
      </c>
      <c r="W287" t="s">
        <v>44</v>
      </c>
      <c r="X287" t="s">
        <v>44</v>
      </c>
      <c r="Y287">
        <v>3</v>
      </c>
      <c r="Z287">
        <v>3</v>
      </c>
      <c r="AA287">
        <v>2</v>
      </c>
      <c r="AB287">
        <v>1</v>
      </c>
      <c r="AC287">
        <v>3</v>
      </c>
      <c r="AD287">
        <v>3</v>
      </c>
      <c r="AE287">
        <v>2</v>
      </c>
      <c r="AF287">
        <v>14</v>
      </c>
      <c r="AG287">
        <v>13</v>
      </c>
      <c r="AH287">
        <v>12</v>
      </c>
    </row>
    <row r="288" spans="1:34" x14ac:dyDescent="0.2">
      <c r="A288" t="s">
        <v>34</v>
      </c>
      <c r="B288" t="s">
        <v>51</v>
      </c>
      <c r="C288">
        <v>17</v>
      </c>
      <c r="D288" t="s">
        <v>53</v>
      </c>
      <c r="E288" t="s">
        <v>37</v>
      </c>
      <c r="F288" t="s">
        <v>45</v>
      </c>
      <c r="G288">
        <v>2</v>
      </c>
      <c r="H288">
        <v>1</v>
      </c>
      <c r="I288" t="s">
        <v>46</v>
      </c>
      <c r="J288" t="s">
        <v>46</v>
      </c>
      <c r="K288" t="s">
        <v>41</v>
      </c>
      <c r="L288" t="s">
        <v>42</v>
      </c>
      <c r="M288">
        <v>1</v>
      </c>
      <c r="N288">
        <v>1</v>
      </c>
      <c r="O288">
        <v>0</v>
      </c>
      <c r="P288" t="s">
        <v>44</v>
      </c>
      <c r="Q288" t="s">
        <v>44</v>
      </c>
      <c r="R288" t="s">
        <v>44</v>
      </c>
      <c r="S288">
        <f t="shared" si="4"/>
        <v>0</v>
      </c>
      <c r="T288" t="s">
        <v>44</v>
      </c>
      <c r="U288" t="s">
        <v>44</v>
      </c>
      <c r="V288" t="s">
        <v>43</v>
      </c>
      <c r="W288" t="s">
        <v>43</v>
      </c>
      <c r="X288" t="s">
        <v>44</v>
      </c>
      <c r="Y288">
        <v>4</v>
      </c>
      <c r="Z288">
        <v>4</v>
      </c>
      <c r="AA288">
        <v>2</v>
      </c>
      <c r="AB288">
        <v>2</v>
      </c>
      <c r="AC288">
        <v>4</v>
      </c>
      <c r="AD288">
        <v>5</v>
      </c>
      <c r="AE288">
        <v>0</v>
      </c>
      <c r="AF288">
        <v>12</v>
      </c>
      <c r="AG288">
        <v>12</v>
      </c>
      <c r="AH288">
        <v>13</v>
      </c>
    </row>
    <row r="289" spans="1:34" x14ac:dyDescent="0.2">
      <c r="A289" t="s">
        <v>34</v>
      </c>
      <c r="B289" t="s">
        <v>51</v>
      </c>
      <c r="C289">
        <v>17</v>
      </c>
      <c r="D289" t="s">
        <v>36</v>
      </c>
      <c r="E289" t="s">
        <v>48</v>
      </c>
      <c r="F289" t="s">
        <v>45</v>
      </c>
      <c r="G289">
        <v>1</v>
      </c>
      <c r="H289">
        <v>1</v>
      </c>
      <c r="I289" t="s">
        <v>29</v>
      </c>
      <c r="J289" t="s">
        <v>46</v>
      </c>
      <c r="K289" t="s">
        <v>41</v>
      </c>
      <c r="L289" t="s">
        <v>42</v>
      </c>
      <c r="M289">
        <v>2</v>
      </c>
      <c r="N289">
        <v>1</v>
      </c>
      <c r="O289">
        <v>1</v>
      </c>
      <c r="P289" t="s">
        <v>44</v>
      </c>
      <c r="Q289" t="s">
        <v>43</v>
      </c>
      <c r="R289" t="s">
        <v>44</v>
      </c>
      <c r="S289">
        <f t="shared" si="4"/>
        <v>0</v>
      </c>
      <c r="T289" t="s">
        <v>43</v>
      </c>
      <c r="U289" t="s">
        <v>43</v>
      </c>
      <c r="V289" t="s">
        <v>43</v>
      </c>
      <c r="W289" t="s">
        <v>43</v>
      </c>
      <c r="X289" t="s">
        <v>44</v>
      </c>
      <c r="Y289">
        <v>4</v>
      </c>
      <c r="Z289">
        <v>4</v>
      </c>
      <c r="AA289">
        <v>4</v>
      </c>
      <c r="AB289">
        <v>1</v>
      </c>
      <c r="AC289">
        <v>2</v>
      </c>
      <c r="AD289">
        <v>5</v>
      </c>
      <c r="AE289">
        <v>0</v>
      </c>
      <c r="AF289">
        <v>9</v>
      </c>
      <c r="AG289">
        <v>10</v>
      </c>
      <c r="AH289">
        <v>10</v>
      </c>
    </row>
    <row r="290" spans="1:34" x14ac:dyDescent="0.2">
      <c r="A290" t="s">
        <v>34</v>
      </c>
      <c r="B290" t="s">
        <v>35</v>
      </c>
      <c r="C290">
        <v>18</v>
      </c>
      <c r="D290" t="s">
        <v>36</v>
      </c>
      <c r="E290" t="s">
        <v>48</v>
      </c>
      <c r="F290" t="s">
        <v>38</v>
      </c>
      <c r="G290">
        <v>2</v>
      </c>
      <c r="H290">
        <v>1</v>
      </c>
      <c r="I290" t="s">
        <v>46</v>
      </c>
      <c r="J290" t="s">
        <v>46</v>
      </c>
      <c r="K290" t="s">
        <v>41</v>
      </c>
      <c r="L290" t="s">
        <v>42</v>
      </c>
      <c r="M290">
        <v>1</v>
      </c>
      <c r="N290">
        <v>2</v>
      </c>
      <c r="O290">
        <v>0</v>
      </c>
      <c r="P290" t="s">
        <v>44</v>
      </c>
      <c r="Q290" t="s">
        <v>43</v>
      </c>
      <c r="R290" t="s">
        <v>44</v>
      </c>
      <c r="S290">
        <f t="shared" si="4"/>
        <v>0</v>
      </c>
      <c r="T290" t="s">
        <v>44</v>
      </c>
      <c r="U290" t="s">
        <v>44</v>
      </c>
      <c r="V290" t="s">
        <v>43</v>
      </c>
      <c r="W290" t="s">
        <v>43</v>
      </c>
      <c r="X290" t="s">
        <v>43</v>
      </c>
      <c r="Y290">
        <v>4</v>
      </c>
      <c r="Z290">
        <v>3</v>
      </c>
      <c r="AA290">
        <v>4</v>
      </c>
      <c r="AB290">
        <v>1</v>
      </c>
      <c r="AC290">
        <v>3</v>
      </c>
      <c r="AD290">
        <v>5</v>
      </c>
      <c r="AE290">
        <v>2</v>
      </c>
      <c r="AF290">
        <v>12</v>
      </c>
      <c r="AG290">
        <v>12</v>
      </c>
      <c r="AH290">
        <v>13</v>
      </c>
    </row>
    <row r="291" spans="1:34" x14ac:dyDescent="0.2">
      <c r="A291" t="s">
        <v>34</v>
      </c>
      <c r="B291" t="s">
        <v>35</v>
      </c>
      <c r="C291">
        <v>17</v>
      </c>
      <c r="D291" t="s">
        <v>36</v>
      </c>
      <c r="E291" t="s">
        <v>48</v>
      </c>
      <c r="F291" t="s">
        <v>45</v>
      </c>
      <c r="G291">
        <v>4</v>
      </c>
      <c r="H291">
        <v>2</v>
      </c>
      <c r="I291" t="s">
        <v>40</v>
      </c>
      <c r="J291" t="s">
        <v>49</v>
      </c>
      <c r="K291" t="s">
        <v>52</v>
      </c>
      <c r="L291" t="s">
        <v>42</v>
      </c>
      <c r="M291">
        <v>1</v>
      </c>
      <c r="N291">
        <v>4</v>
      </c>
      <c r="O291">
        <v>0</v>
      </c>
      <c r="P291" t="s">
        <v>44</v>
      </c>
      <c r="Q291" t="s">
        <v>43</v>
      </c>
      <c r="R291" t="s">
        <v>44</v>
      </c>
      <c r="S291">
        <f t="shared" si="4"/>
        <v>0</v>
      </c>
      <c r="T291" t="s">
        <v>43</v>
      </c>
      <c r="U291" t="s">
        <v>43</v>
      </c>
      <c r="V291" t="s">
        <v>43</v>
      </c>
      <c r="W291" t="s">
        <v>43</v>
      </c>
      <c r="X291" t="s">
        <v>44</v>
      </c>
      <c r="Y291">
        <v>4</v>
      </c>
      <c r="Z291">
        <v>2</v>
      </c>
      <c r="AA291">
        <v>3</v>
      </c>
      <c r="AB291">
        <v>1</v>
      </c>
      <c r="AC291">
        <v>1</v>
      </c>
      <c r="AD291">
        <v>4</v>
      </c>
      <c r="AE291">
        <v>2</v>
      </c>
      <c r="AF291">
        <v>14</v>
      </c>
      <c r="AG291">
        <v>15</v>
      </c>
      <c r="AH291">
        <v>17</v>
      </c>
    </row>
    <row r="292" spans="1:34" x14ac:dyDescent="0.2">
      <c r="A292" t="s">
        <v>34</v>
      </c>
      <c r="B292" t="s">
        <v>35</v>
      </c>
      <c r="C292">
        <v>19</v>
      </c>
      <c r="D292" t="s">
        <v>36</v>
      </c>
      <c r="E292" t="s">
        <v>37</v>
      </c>
      <c r="F292" t="s">
        <v>45</v>
      </c>
      <c r="G292">
        <v>2</v>
      </c>
      <c r="H292">
        <v>2</v>
      </c>
      <c r="I292" t="s">
        <v>49</v>
      </c>
      <c r="J292" t="s">
        <v>49</v>
      </c>
      <c r="K292" t="s">
        <v>50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44</v>
      </c>
      <c r="S292">
        <f t="shared" si="4"/>
        <v>0</v>
      </c>
      <c r="T292" t="s">
        <v>44</v>
      </c>
      <c r="U292" t="s">
        <v>43</v>
      </c>
      <c r="V292" t="s">
        <v>43</v>
      </c>
      <c r="W292" t="s">
        <v>43</v>
      </c>
      <c r="X292" t="s">
        <v>44</v>
      </c>
      <c r="Y292">
        <v>4</v>
      </c>
      <c r="Z292">
        <v>3</v>
      </c>
      <c r="AA292">
        <v>3</v>
      </c>
      <c r="AB292">
        <v>1</v>
      </c>
      <c r="AC292">
        <v>1</v>
      </c>
      <c r="AD292">
        <v>5</v>
      </c>
      <c r="AE292">
        <v>0</v>
      </c>
      <c r="AF292">
        <v>10</v>
      </c>
      <c r="AG292">
        <v>10</v>
      </c>
      <c r="AH292">
        <v>11</v>
      </c>
    </row>
    <row r="293" spans="1:34" x14ac:dyDescent="0.2">
      <c r="A293" t="s">
        <v>34</v>
      </c>
      <c r="B293" t="s">
        <v>51</v>
      </c>
      <c r="C293">
        <v>18</v>
      </c>
      <c r="D293" t="s">
        <v>36</v>
      </c>
      <c r="E293" t="s">
        <v>48</v>
      </c>
      <c r="F293" t="s">
        <v>45</v>
      </c>
      <c r="G293">
        <v>2</v>
      </c>
      <c r="H293">
        <v>1</v>
      </c>
      <c r="I293" t="s">
        <v>49</v>
      </c>
      <c r="J293" t="s">
        <v>46</v>
      </c>
      <c r="K293" t="s">
        <v>41</v>
      </c>
      <c r="L293" t="s">
        <v>42</v>
      </c>
      <c r="M293">
        <v>3</v>
      </c>
      <c r="N293">
        <v>2</v>
      </c>
      <c r="O293">
        <v>1</v>
      </c>
      <c r="P293" t="s">
        <v>44</v>
      </c>
      <c r="Q293" t="s">
        <v>44</v>
      </c>
      <c r="R293" t="s">
        <v>44</v>
      </c>
      <c r="S293">
        <f t="shared" si="4"/>
        <v>0</v>
      </c>
      <c r="T293" t="s">
        <v>43</v>
      </c>
      <c r="U293" t="s">
        <v>44</v>
      </c>
      <c r="V293" t="s">
        <v>44</v>
      </c>
      <c r="W293" t="s">
        <v>43</v>
      </c>
      <c r="X293" t="s">
        <v>44</v>
      </c>
      <c r="Y293">
        <v>4</v>
      </c>
      <c r="Z293">
        <v>4</v>
      </c>
      <c r="AA293">
        <v>5</v>
      </c>
      <c r="AB293">
        <v>4</v>
      </c>
      <c r="AC293">
        <v>4</v>
      </c>
      <c r="AD293">
        <v>5</v>
      </c>
      <c r="AE293">
        <v>4</v>
      </c>
      <c r="AF293">
        <v>11</v>
      </c>
      <c r="AG293">
        <v>10</v>
      </c>
      <c r="AH293">
        <v>11</v>
      </c>
    </row>
    <row r="294" spans="1:34" x14ac:dyDescent="0.2">
      <c r="A294" t="s">
        <v>34</v>
      </c>
      <c r="B294" t="s">
        <v>35</v>
      </c>
      <c r="C294">
        <v>17</v>
      </c>
      <c r="D294" t="s">
        <v>53</v>
      </c>
      <c r="E294" t="s">
        <v>37</v>
      </c>
      <c r="F294" t="s">
        <v>45</v>
      </c>
      <c r="G294">
        <v>4</v>
      </c>
      <c r="H294">
        <v>2</v>
      </c>
      <c r="I294" t="s">
        <v>46</v>
      </c>
      <c r="J294" t="s">
        <v>46</v>
      </c>
      <c r="K294" t="s">
        <v>41</v>
      </c>
      <c r="L294" t="s">
        <v>42</v>
      </c>
      <c r="M294">
        <v>1</v>
      </c>
      <c r="N294">
        <v>3</v>
      </c>
      <c r="O294">
        <v>0</v>
      </c>
      <c r="P294" t="s">
        <v>44</v>
      </c>
      <c r="Q294" t="s">
        <v>43</v>
      </c>
      <c r="R294" t="s">
        <v>44</v>
      </c>
      <c r="S294">
        <f t="shared" si="4"/>
        <v>0</v>
      </c>
      <c r="T294" t="s">
        <v>43</v>
      </c>
      <c r="U294" t="s">
        <v>43</v>
      </c>
      <c r="V294" t="s">
        <v>43</v>
      </c>
      <c r="W294" t="s">
        <v>43</v>
      </c>
      <c r="X294" t="s">
        <v>44</v>
      </c>
      <c r="Y294">
        <v>4</v>
      </c>
      <c r="Z294">
        <v>3</v>
      </c>
      <c r="AA294">
        <v>4</v>
      </c>
      <c r="AB294">
        <v>1</v>
      </c>
      <c r="AC294">
        <v>3</v>
      </c>
      <c r="AD294">
        <v>5</v>
      </c>
      <c r="AE294">
        <v>2</v>
      </c>
      <c r="AF294">
        <v>11</v>
      </c>
      <c r="AG294">
        <v>12</v>
      </c>
      <c r="AH294">
        <v>14</v>
      </c>
    </row>
    <row r="295" spans="1:34" x14ac:dyDescent="0.2">
      <c r="A295" t="s">
        <v>34</v>
      </c>
      <c r="B295" t="s">
        <v>35</v>
      </c>
      <c r="C295">
        <v>18</v>
      </c>
      <c r="D295" t="s">
        <v>36</v>
      </c>
      <c r="E295" t="s">
        <v>48</v>
      </c>
      <c r="F295" t="s">
        <v>45</v>
      </c>
      <c r="G295">
        <v>1</v>
      </c>
      <c r="H295">
        <v>1</v>
      </c>
      <c r="I295" t="s">
        <v>46</v>
      </c>
      <c r="J295" t="s">
        <v>39</v>
      </c>
      <c r="K295" t="s">
        <v>50</v>
      </c>
      <c r="L295" t="s">
        <v>42</v>
      </c>
      <c r="M295">
        <v>1</v>
      </c>
      <c r="N295">
        <v>3</v>
      </c>
      <c r="O295">
        <v>0</v>
      </c>
      <c r="P295" t="s">
        <v>44</v>
      </c>
      <c r="Q295" t="s">
        <v>43</v>
      </c>
      <c r="R295" t="s">
        <v>44</v>
      </c>
      <c r="S295">
        <f t="shared" si="4"/>
        <v>0</v>
      </c>
      <c r="T295" t="s">
        <v>44</v>
      </c>
      <c r="U295" t="s">
        <v>44</v>
      </c>
      <c r="V295" t="s">
        <v>43</v>
      </c>
      <c r="W295" t="s">
        <v>44</v>
      </c>
      <c r="X295" t="s">
        <v>44</v>
      </c>
      <c r="Y295">
        <v>4</v>
      </c>
      <c r="Z295">
        <v>4</v>
      </c>
      <c r="AA295">
        <v>3</v>
      </c>
      <c r="AB295">
        <v>2</v>
      </c>
      <c r="AC295">
        <v>3</v>
      </c>
      <c r="AD295">
        <v>3</v>
      </c>
      <c r="AE295">
        <v>4</v>
      </c>
      <c r="AF295">
        <v>11</v>
      </c>
      <c r="AG295">
        <v>12</v>
      </c>
      <c r="AH295">
        <v>14</v>
      </c>
    </row>
    <row r="296" spans="1:34" x14ac:dyDescent="0.2">
      <c r="A296" t="s">
        <v>34</v>
      </c>
      <c r="B296" t="s">
        <v>35</v>
      </c>
      <c r="C296">
        <v>18</v>
      </c>
      <c r="D296" t="s">
        <v>53</v>
      </c>
      <c r="E296" t="s">
        <v>37</v>
      </c>
      <c r="F296" t="s">
        <v>45</v>
      </c>
      <c r="G296">
        <v>2</v>
      </c>
      <c r="H296">
        <v>2</v>
      </c>
      <c r="I296" t="s">
        <v>46</v>
      </c>
      <c r="J296" t="s">
        <v>46</v>
      </c>
      <c r="K296" t="s">
        <v>50</v>
      </c>
      <c r="L296" t="s">
        <v>42</v>
      </c>
      <c r="M296">
        <v>1</v>
      </c>
      <c r="N296">
        <v>2</v>
      </c>
      <c r="O296">
        <v>0</v>
      </c>
      <c r="P296" t="s">
        <v>43</v>
      </c>
      <c r="Q296" t="s">
        <v>44</v>
      </c>
      <c r="R296" t="s">
        <v>44</v>
      </c>
      <c r="S296">
        <f t="shared" si="4"/>
        <v>0</v>
      </c>
      <c r="T296" t="s">
        <v>44</v>
      </c>
      <c r="U296" t="s">
        <v>43</v>
      </c>
      <c r="V296" t="s">
        <v>43</v>
      </c>
      <c r="W296" t="s">
        <v>44</v>
      </c>
      <c r="X296" t="s">
        <v>44</v>
      </c>
      <c r="Y296">
        <v>3</v>
      </c>
      <c r="Z296">
        <v>2</v>
      </c>
      <c r="AA296">
        <v>3</v>
      </c>
      <c r="AB296">
        <v>1</v>
      </c>
      <c r="AC296">
        <v>1</v>
      </c>
      <c r="AD296">
        <v>5</v>
      </c>
      <c r="AE296">
        <v>4</v>
      </c>
      <c r="AF296">
        <v>11</v>
      </c>
      <c r="AG296">
        <v>11</v>
      </c>
      <c r="AH296">
        <v>13</v>
      </c>
    </row>
    <row r="297" spans="1:34" x14ac:dyDescent="0.2">
      <c r="A297" t="s">
        <v>34</v>
      </c>
      <c r="B297" t="s">
        <v>51</v>
      </c>
      <c r="C297">
        <v>19</v>
      </c>
      <c r="D297" t="s">
        <v>36</v>
      </c>
      <c r="E297" t="s">
        <v>48</v>
      </c>
      <c r="F297" t="s">
        <v>38</v>
      </c>
      <c r="G297">
        <v>4</v>
      </c>
      <c r="H297">
        <v>3</v>
      </c>
      <c r="I297" t="s">
        <v>49</v>
      </c>
      <c r="J297" t="s">
        <v>39</v>
      </c>
      <c r="K297" t="s">
        <v>52</v>
      </c>
      <c r="L297" t="s">
        <v>42</v>
      </c>
      <c r="M297">
        <v>1</v>
      </c>
      <c r="N297">
        <v>2</v>
      </c>
      <c r="O297">
        <v>0</v>
      </c>
      <c r="P297" t="s">
        <v>44</v>
      </c>
      <c r="Q297" t="s">
        <v>43</v>
      </c>
      <c r="R297" t="s">
        <v>44</v>
      </c>
      <c r="S297">
        <f t="shared" si="4"/>
        <v>0</v>
      </c>
      <c r="T297" t="s">
        <v>44</v>
      </c>
      <c r="U297" t="s">
        <v>43</v>
      </c>
      <c r="V297" t="s">
        <v>43</v>
      </c>
      <c r="W297" t="s">
        <v>43</v>
      </c>
      <c r="X297" t="s">
        <v>44</v>
      </c>
      <c r="Y297">
        <v>4</v>
      </c>
      <c r="Z297">
        <v>3</v>
      </c>
      <c r="AA297">
        <v>1</v>
      </c>
      <c r="AB297">
        <v>1</v>
      </c>
      <c r="AC297">
        <v>1</v>
      </c>
      <c r="AD297">
        <v>1</v>
      </c>
      <c r="AE297">
        <v>4</v>
      </c>
      <c r="AF297">
        <v>11</v>
      </c>
      <c r="AG297">
        <v>13</v>
      </c>
      <c r="AH297">
        <v>14</v>
      </c>
    </row>
    <row r="298" spans="1:34" x14ac:dyDescent="0.2">
      <c r="A298" t="s">
        <v>34</v>
      </c>
      <c r="B298" t="s">
        <v>51</v>
      </c>
      <c r="C298">
        <v>18</v>
      </c>
      <c r="D298" t="s">
        <v>36</v>
      </c>
      <c r="E298" t="s">
        <v>37</v>
      </c>
      <c r="F298" t="s">
        <v>45</v>
      </c>
      <c r="G298">
        <v>2</v>
      </c>
      <c r="H298">
        <v>1</v>
      </c>
      <c r="I298" t="s">
        <v>46</v>
      </c>
      <c r="J298" t="s">
        <v>46</v>
      </c>
      <c r="K298" t="s">
        <v>50</v>
      </c>
      <c r="L298" t="s">
        <v>42</v>
      </c>
      <c r="M298">
        <v>1</v>
      </c>
      <c r="N298">
        <v>2</v>
      </c>
      <c r="O298">
        <v>0</v>
      </c>
      <c r="P298" t="s">
        <v>44</v>
      </c>
      <c r="Q298" t="s">
        <v>44</v>
      </c>
      <c r="R298" t="s">
        <v>44</v>
      </c>
      <c r="S298">
        <f t="shared" si="4"/>
        <v>0</v>
      </c>
      <c r="T298" t="s">
        <v>43</v>
      </c>
      <c r="U298" t="s">
        <v>43</v>
      </c>
      <c r="V298" t="s">
        <v>43</v>
      </c>
      <c r="W298" t="s">
        <v>43</v>
      </c>
      <c r="X298" t="s">
        <v>44</v>
      </c>
      <c r="Y298">
        <v>5</v>
      </c>
      <c r="Z298">
        <v>2</v>
      </c>
      <c r="AA298">
        <v>4</v>
      </c>
      <c r="AB298">
        <v>1</v>
      </c>
      <c r="AC298">
        <v>2</v>
      </c>
      <c r="AD298">
        <v>4</v>
      </c>
      <c r="AE298">
        <v>2</v>
      </c>
      <c r="AF298">
        <v>16</v>
      </c>
      <c r="AG298">
        <v>16</v>
      </c>
      <c r="AH298">
        <v>16</v>
      </c>
    </row>
    <row r="299" spans="1:34" x14ac:dyDescent="0.2">
      <c r="A299" t="s">
        <v>34</v>
      </c>
      <c r="B299" t="s">
        <v>51</v>
      </c>
      <c r="C299">
        <v>17</v>
      </c>
      <c r="D299" t="s">
        <v>53</v>
      </c>
      <c r="E299" t="s">
        <v>37</v>
      </c>
      <c r="F299" t="s">
        <v>45</v>
      </c>
      <c r="G299">
        <v>2</v>
      </c>
      <c r="H299">
        <v>2</v>
      </c>
      <c r="I299" t="s">
        <v>46</v>
      </c>
      <c r="J299" t="s">
        <v>49</v>
      </c>
      <c r="K299" t="s">
        <v>46</v>
      </c>
      <c r="L299" t="s">
        <v>42</v>
      </c>
      <c r="M299">
        <v>2</v>
      </c>
      <c r="N299">
        <v>1</v>
      </c>
      <c r="O299">
        <v>0</v>
      </c>
      <c r="P299" t="s">
        <v>44</v>
      </c>
      <c r="Q299" t="s">
        <v>44</v>
      </c>
      <c r="R299" t="s">
        <v>44</v>
      </c>
      <c r="S299">
        <f t="shared" si="4"/>
        <v>0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>
        <v>5</v>
      </c>
      <c r="Z299">
        <v>2</v>
      </c>
      <c r="AA299">
        <v>2</v>
      </c>
      <c r="AB299">
        <v>1</v>
      </c>
      <c r="AC299">
        <v>1</v>
      </c>
      <c r="AD299">
        <v>4</v>
      </c>
      <c r="AE299">
        <v>0</v>
      </c>
      <c r="AF299">
        <v>9</v>
      </c>
      <c r="AG299">
        <v>10</v>
      </c>
      <c r="AH299">
        <v>10</v>
      </c>
    </row>
    <row r="300" spans="1:34" x14ac:dyDescent="0.2">
      <c r="A300" t="s">
        <v>34</v>
      </c>
      <c r="B300" t="s">
        <v>35</v>
      </c>
      <c r="C300">
        <v>17</v>
      </c>
      <c r="D300" t="s">
        <v>36</v>
      </c>
      <c r="E300" t="s">
        <v>48</v>
      </c>
      <c r="F300" t="s">
        <v>45</v>
      </c>
      <c r="G300">
        <v>2</v>
      </c>
      <c r="H300">
        <v>2</v>
      </c>
      <c r="I300" t="s">
        <v>49</v>
      </c>
      <c r="J300" t="s">
        <v>49</v>
      </c>
      <c r="K300" t="s">
        <v>41</v>
      </c>
      <c r="L300" t="s">
        <v>47</v>
      </c>
      <c r="M300">
        <v>1</v>
      </c>
      <c r="N300">
        <v>4</v>
      </c>
      <c r="O300">
        <v>0</v>
      </c>
      <c r="P300" t="s">
        <v>44</v>
      </c>
      <c r="Q300" t="s">
        <v>44</v>
      </c>
      <c r="R300" t="s">
        <v>44</v>
      </c>
      <c r="S300">
        <f t="shared" si="4"/>
        <v>0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>
        <v>3</v>
      </c>
      <c r="Z300">
        <v>4</v>
      </c>
      <c r="AA300">
        <v>1</v>
      </c>
      <c r="AB300">
        <v>1</v>
      </c>
      <c r="AC300">
        <v>1</v>
      </c>
      <c r="AD300">
        <v>2</v>
      </c>
      <c r="AE300">
        <v>2</v>
      </c>
      <c r="AF300">
        <v>10</v>
      </c>
      <c r="AG300">
        <v>11</v>
      </c>
      <c r="AH300">
        <v>12</v>
      </c>
    </row>
    <row r="301" spans="1:34" x14ac:dyDescent="0.2">
      <c r="A301" t="s">
        <v>34</v>
      </c>
      <c r="B301" t="s">
        <v>35</v>
      </c>
      <c r="C301">
        <v>20</v>
      </c>
      <c r="D301" t="s">
        <v>53</v>
      </c>
      <c r="E301" t="s">
        <v>37</v>
      </c>
      <c r="F301" t="s">
        <v>45</v>
      </c>
      <c r="G301">
        <v>2</v>
      </c>
      <c r="H301">
        <v>1</v>
      </c>
      <c r="I301" t="s">
        <v>46</v>
      </c>
      <c r="J301" t="s">
        <v>46</v>
      </c>
      <c r="K301" t="s">
        <v>41</v>
      </c>
      <c r="L301" t="s">
        <v>46</v>
      </c>
      <c r="M301">
        <v>2</v>
      </c>
      <c r="N301">
        <v>2</v>
      </c>
      <c r="O301">
        <v>0</v>
      </c>
      <c r="P301" t="s">
        <v>44</v>
      </c>
      <c r="Q301" t="s">
        <v>43</v>
      </c>
      <c r="R301" t="s">
        <v>43</v>
      </c>
      <c r="S301">
        <f t="shared" si="4"/>
        <v>1</v>
      </c>
      <c r="T301" t="s">
        <v>43</v>
      </c>
      <c r="U301" t="s">
        <v>43</v>
      </c>
      <c r="V301" t="s">
        <v>44</v>
      </c>
      <c r="W301" t="s">
        <v>43</v>
      </c>
      <c r="X301" t="s">
        <v>43</v>
      </c>
      <c r="Y301">
        <v>1</v>
      </c>
      <c r="Z301">
        <v>2</v>
      </c>
      <c r="AA301">
        <v>3</v>
      </c>
      <c r="AB301">
        <v>1</v>
      </c>
      <c r="AC301">
        <v>2</v>
      </c>
      <c r="AD301">
        <v>2</v>
      </c>
      <c r="AE301">
        <v>8</v>
      </c>
      <c r="AF301">
        <v>10</v>
      </c>
      <c r="AG301">
        <v>12</v>
      </c>
      <c r="AH301">
        <v>12</v>
      </c>
    </row>
    <row r="302" spans="1:34" x14ac:dyDescent="0.2">
      <c r="A302" t="s">
        <v>34</v>
      </c>
      <c r="B302" t="s">
        <v>35</v>
      </c>
      <c r="C302">
        <v>18</v>
      </c>
      <c r="D302" t="s">
        <v>36</v>
      </c>
      <c r="E302" t="s">
        <v>37</v>
      </c>
      <c r="F302" t="s">
        <v>45</v>
      </c>
      <c r="G302">
        <v>4</v>
      </c>
      <c r="H302">
        <v>3</v>
      </c>
      <c r="I302" t="s">
        <v>49</v>
      </c>
      <c r="J302" t="s">
        <v>46</v>
      </c>
      <c r="K302" t="s">
        <v>50</v>
      </c>
      <c r="L302" t="s">
        <v>47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>
        <f t="shared" si="4"/>
        <v>0</v>
      </c>
      <c r="T302" t="s">
        <v>44</v>
      </c>
      <c r="U302" t="s">
        <v>43</v>
      </c>
      <c r="V302" t="s">
        <v>43</v>
      </c>
      <c r="W302" t="s">
        <v>43</v>
      </c>
      <c r="X302" t="s">
        <v>43</v>
      </c>
      <c r="Y302">
        <v>3</v>
      </c>
      <c r="Z302">
        <v>1</v>
      </c>
      <c r="AA302">
        <v>2</v>
      </c>
      <c r="AB302">
        <v>1</v>
      </c>
      <c r="AC302">
        <v>3</v>
      </c>
      <c r="AD302">
        <v>2</v>
      </c>
      <c r="AE302">
        <v>2</v>
      </c>
      <c r="AF302">
        <v>15</v>
      </c>
      <c r="AG302">
        <v>15</v>
      </c>
      <c r="AH302">
        <v>15</v>
      </c>
    </row>
    <row r="303" spans="1:34" x14ac:dyDescent="0.2">
      <c r="A303" t="s">
        <v>34</v>
      </c>
      <c r="B303" t="s">
        <v>51</v>
      </c>
      <c r="C303">
        <v>18</v>
      </c>
      <c r="D303" t="s">
        <v>36</v>
      </c>
      <c r="E303" t="s">
        <v>37</v>
      </c>
      <c r="F303" t="s">
        <v>45</v>
      </c>
      <c r="G303">
        <v>4</v>
      </c>
      <c r="H303">
        <v>3</v>
      </c>
      <c r="I303" t="s">
        <v>40</v>
      </c>
      <c r="J303" t="s">
        <v>46</v>
      </c>
      <c r="K303" t="s">
        <v>41</v>
      </c>
      <c r="L303" t="s">
        <v>42</v>
      </c>
      <c r="M303">
        <v>1</v>
      </c>
      <c r="N303">
        <v>2</v>
      </c>
      <c r="O303">
        <v>0</v>
      </c>
      <c r="P303" t="s">
        <v>44</v>
      </c>
      <c r="Q303" t="s">
        <v>43</v>
      </c>
      <c r="R303" t="s">
        <v>44</v>
      </c>
      <c r="S303">
        <f t="shared" si="4"/>
        <v>0</v>
      </c>
      <c r="T303" t="s">
        <v>44</v>
      </c>
      <c r="U303" t="s">
        <v>44</v>
      </c>
      <c r="V303" t="s">
        <v>43</v>
      </c>
      <c r="W303" t="s">
        <v>43</v>
      </c>
      <c r="X303" t="s">
        <v>44</v>
      </c>
      <c r="Y303">
        <v>4</v>
      </c>
      <c r="Z303">
        <v>3</v>
      </c>
      <c r="AA303">
        <v>2</v>
      </c>
      <c r="AB303">
        <v>1</v>
      </c>
      <c r="AC303">
        <v>1</v>
      </c>
      <c r="AD303">
        <v>3</v>
      </c>
      <c r="AE303">
        <v>2</v>
      </c>
      <c r="AF303">
        <v>10</v>
      </c>
      <c r="AG303">
        <v>10</v>
      </c>
      <c r="AH303">
        <v>11</v>
      </c>
    </row>
    <row r="304" spans="1:34" x14ac:dyDescent="0.2">
      <c r="A304" t="s">
        <v>34</v>
      </c>
      <c r="B304" t="s">
        <v>51</v>
      </c>
      <c r="C304">
        <v>18</v>
      </c>
      <c r="D304" t="s">
        <v>53</v>
      </c>
      <c r="E304" t="s">
        <v>37</v>
      </c>
      <c r="F304" t="s">
        <v>45</v>
      </c>
      <c r="G304">
        <v>3</v>
      </c>
      <c r="H304">
        <v>2</v>
      </c>
      <c r="I304" t="s">
        <v>46</v>
      </c>
      <c r="J304" t="s">
        <v>46</v>
      </c>
      <c r="K304" t="s">
        <v>41</v>
      </c>
      <c r="L304" t="s">
        <v>42</v>
      </c>
      <c r="M304">
        <v>1</v>
      </c>
      <c r="N304">
        <v>3</v>
      </c>
      <c r="O304">
        <v>0</v>
      </c>
      <c r="P304" t="s">
        <v>44</v>
      </c>
      <c r="Q304" t="s">
        <v>44</v>
      </c>
      <c r="R304" t="s">
        <v>44</v>
      </c>
      <c r="S304">
        <f t="shared" si="4"/>
        <v>0</v>
      </c>
      <c r="T304" t="s">
        <v>43</v>
      </c>
      <c r="U304" t="s">
        <v>44</v>
      </c>
      <c r="V304" t="s">
        <v>43</v>
      </c>
      <c r="W304" t="s">
        <v>44</v>
      </c>
      <c r="X304" t="s">
        <v>44</v>
      </c>
      <c r="Y304">
        <v>5</v>
      </c>
      <c r="Z304">
        <v>3</v>
      </c>
      <c r="AA304">
        <v>2</v>
      </c>
      <c r="AB304">
        <v>1</v>
      </c>
      <c r="AC304">
        <v>1</v>
      </c>
      <c r="AD304">
        <v>3</v>
      </c>
      <c r="AE304">
        <v>2</v>
      </c>
      <c r="AF304">
        <v>10</v>
      </c>
      <c r="AG304">
        <v>11</v>
      </c>
      <c r="AH304">
        <v>12</v>
      </c>
    </row>
    <row r="305" spans="1:34" x14ac:dyDescent="0.2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v>3</v>
      </c>
      <c r="H305">
        <v>3</v>
      </c>
      <c r="I305" t="s">
        <v>46</v>
      </c>
      <c r="J305" t="s">
        <v>46</v>
      </c>
      <c r="K305" t="s">
        <v>50</v>
      </c>
      <c r="L305" t="s">
        <v>42</v>
      </c>
      <c r="M305">
        <v>1</v>
      </c>
      <c r="N305">
        <v>3</v>
      </c>
      <c r="O305">
        <v>0</v>
      </c>
      <c r="P305" t="s">
        <v>44</v>
      </c>
      <c r="Q305" t="s">
        <v>44</v>
      </c>
      <c r="R305" t="s">
        <v>44</v>
      </c>
      <c r="S305">
        <f t="shared" si="4"/>
        <v>0</v>
      </c>
      <c r="T305" t="s">
        <v>43</v>
      </c>
      <c r="U305" t="s">
        <v>44</v>
      </c>
      <c r="V305" t="s">
        <v>43</v>
      </c>
      <c r="W305" t="s">
        <v>44</v>
      </c>
      <c r="X305" t="s">
        <v>44</v>
      </c>
      <c r="Y305">
        <v>3</v>
      </c>
      <c r="Z305">
        <v>2</v>
      </c>
      <c r="AA305">
        <v>3</v>
      </c>
      <c r="AB305">
        <v>1</v>
      </c>
      <c r="AC305">
        <v>1</v>
      </c>
      <c r="AD305">
        <v>4</v>
      </c>
      <c r="AE305">
        <v>2</v>
      </c>
      <c r="AF305">
        <v>15</v>
      </c>
      <c r="AG305">
        <v>12</v>
      </c>
      <c r="AH305">
        <v>13</v>
      </c>
    </row>
    <row r="306" spans="1:34" x14ac:dyDescent="0.2">
      <c r="A306" t="s">
        <v>34</v>
      </c>
      <c r="B306" t="s">
        <v>35</v>
      </c>
      <c r="C306">
        <v>18</v>
      </c>
      <c r="D306" t="s">
        <v>36</v>
      </c>
      <c r="E306" t="s">
        <v>37</v>
      </c>
      <c r="F306" t="s">
        <v>45</v>
      </c>
      <c r="G306">
        <v>2</v>
      </c>
      <c r="H306">
        <v>2</v>
      </c>
      <c r="I306" t="s">
        <v>39</v>
      </c>
      <c r="J306" t="s">
        <v>49</v>
      </c>
      <c r="K306" t="s">
        <v>50</v>
      </c>
      <c r="L306" t="s">
        <v>42</v>
      </c>
      <c r="M306">
        <v>1</v>
      </c>
      <c r="N306">
        <v>3</v>
      </c>
      <c r="O306">
        <v>0</v>
      </c>
      <c r="P306" t="s">
        <v>44</v>
      </c>
      <c r="Q306" t="s">
        <v>43</v>
      </c>
      <c r="R306" t="s">
        <v>44</v>
      </c>
      <c r="S306">
        <f t="shared" si="4"/>
        <v>0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>
        <v>4</v>
      </c>
      <c r="Z306">
        <v>3</v>
      </c>
      <c r="AA306">
        <v>3</v>
      </c>
      <c r="AB306">
        <v>1</v>
      </c>
      <c r="AC306">
        <v>1</v>
      </c>
      <c r="AD306">
        <v>3</v>
      </c>
      <c r="AE306">
        <v>0</v>
      </c>
      <c r="AF306">
        <v>11</v>
      </c>
      <c r="AG306">
        <v>12</v>
      </c>
      <c r="AH306">
        <v>13</v>
      </c>
    </row>
    <row r="307" spans="1:34" x14ac:dyDescent="0.2">
      <c r="A307" t="s">
        <v>34</v>
      </c>
      <c r="B307" t="s">
        <v>51</v>
      </c>
      <c r="C307">
        <v>17</v>
      </c>
      <c r="D307" t="s">
        <v>36</v>
      </c>
      <c r="E307" t="s">
        <v>37</v>
      </c>
      <c r="F307" t="s">
        <v>45</v>
      </c>
      <c r="G307">
        <v>2</v>
      </c>
      <c r="H307">
        <v>2</v>
      </c>
      <c r="I307" t="s">
        <v>46</v>
      </c>
      <c r="J307" t="s">
        <v>46</v>
      </c>
      <c r="K307" t="s">
        <v>50</v>
      </c>
      <c r="L307" t="s">
        <v>47</v>
      </c>
      <c r="M307">
        <v>2</v>
      </c>
      <c r="N307">
        <v>1</v>
      </c>
      <c r="O307">
        <v>0</v>
      </c>
      <c r="P307" t="s">
        <v>44</v>
      </c>
      <c r="Q307" t="s">
        <v>44</v>
      </c>
      <c r="R307" t="s">
        <v>44</v>
      </c>
      <c r="S307">
        <f t="shared" si="4"/>
        <v>0</v>
      </c>
      <c r="T307" t="s">
        <v>44</v>
      </c>
      <c r="U307" t="s">
        <v>43</v>
      </c>
      <c r="V307" t="s">
        <v>44</v>
      </c>
      <c r="W307" t="s">
        <v>43</v>
      </c>
      <c r="X307" t="s">
        <v>44</v>
      </c>
      <c r="Y307">
        <v>4</v>
      </c>
      <c r="Z307">
        <v>4</v>
      </c>
      <c r="AA307">
        <v>4</v>
      </c>
      <c r="AB307">
        <v>2</v>
      </c>
      <c r="AC307">
        <v>3</v>
      </c>
      <c r="AD307">
        <v>4</v>
      </c>
      <c r="AE307">
        <v>8</v>
      </c>
      <c r="AF307">
        <v>8</v>
      </c>
      <c r="AG307">
        <v>8</v>
      </c>
      <c r="AH307">
        <v>9</v>
      </c>
    </row>
    <row r="308" spans="1:34" x14ac:dyDescent="0.2">
      <c r="A308" t="s">
        <v>34</v>
      </c>
      <c r="B308" t="s">
        <v>51</v>
      </c>
      <c r="C308">
        <v>18</v>
      </c>
      <c r="D308" t="s">
        <v>53</v>
      </c>
      <c r="E308" t="s">
        <v>48</v>
      </c>
      <c r="F308" t="s">
        <v>38</v>
      </c>
      <c r="G308">
        <v>3</v>
      </c>
      <c r="H308">
        <v>4</v>
      </c>
      <c r="I308" t="s">
        <v>46</v>
      </c>
      <c r="J308" t="s">
        <v>46</v>
      </c>
      <c r="K308" t="s">
        <v>52</v>
      </c>
      <c r="L308" t="s">
        <v>42</v>
      </c>
      <c r="M308">
        <v>2</v>
      </c>
      <c r="N308">
        <v>2</v>
      </c>
      <c r="O308">
        <v>0</v>
      </c>
      <c r="P308" t="s">
        <v>44</v>
      </c>
      <c r="Q308" t="s">
        <v>43</v>
      </c>
      <c r="R308" t="s">
        <v>44</v>
      </c>
      <c r="S308">
        <f t="shared" si="4"/>
        <v>0</v>
      </c>
      <c r="T308" t="s">
        <v>43</v>
      </c>
      <c r="U308" t="s">
        <v>43</v>
      </c>
      <c r="V308" t="s">
        <v>43</v>
      </c>
      <c r="W308" t="s">
        <v>43</v>
      </c>
      <c r="X308" t="s">
        <v>44</v>
      </c>
      <c r="Y308">
        <v>4</v>
      </c>
      <c r="Z308">
        <v>2</v>
      </c>
      <c r="AA308">
        <v>5</v>
      </c>
      <c r="AB308">
        <v>3</v>
      </c>
      <c r="AC308">
        <v>4</v>
      </c>
      <c r="AD308">
        <v>1</v>
      </c>
      <c r="AE308">
        <v>6</v>
      </c>
      <c r="AF308">
        <v>15</v>
      </c>
      <c r="AG308">
        <v>16</v>
      </c>
      <c r="AH308">
        <v>16</v>
      </c>
    </row>
    <row r="309" spans="1:34" x14ac:dyDescent="0.2">
      <c r="A309" t="s">
        <v>34</v>
      </c>
      <c r="B309" t="s">
        <v>51</v>
      </c>
      <c r="C309">
        <v>17</v>
      </c>
      <c r="D309" t="s">
        <v>36</v>
      </c>
      <c r="E309" t="s">
        <v>37</v>
      </c>
      <c r="F309" t="s">
        <v>45</v>
      </c>
      <c r="G309">
        <v>3</v>
      </c>
      <c r="H309">
        <v>1</v>
      </c>
      <c r="I309" t="s">
        <v>49</v>
      </c>
      <c r="J309" t="s">
        <v>46</v>
      </c>
      <c r="K309" t="s">
        <v>46</v>
      </c>
      <c r="L309" t="s">
        <v>42</v>
      </c>
      <c r="M309">
        <v>1</v>
      </c>
      <c r="N309">
        <v>2</v>
      </c>
      <c r="O309">
        <v>0</v>
      </c>
      <c r="P309" t="s">
        <v>44</v>
      </c>
      <c r="Q309" t="s">
        <v>44</v>
      </c>
      <c r="R309" t="s">
        <v>44</v>
      </c>
      <c r="S309">
        <f t="shared" si="4"/>
        <v>0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>
        <v>5</v>
      </c>
      <c r="Z309">
        <v>4</v>
      </c>
      <c r="AA309">
        <v>4</v>
      </c>
      <c r="AB309">
        <v>3</v>
      </c>
      <c r="AC309">
        <v>4</v>
      </c>
      <c r="AD309">
        <v>5</v>
      </c>
      <c r="AE309">
        <v>0</v>
      </c>
      <c r="AF309">
        <v>11</v>
      </c>
      <c r="AG309">
        <v>11</v>
      </c>
      <c r="AH309">
        <v>14</v>
      </c>
    </row>
    <row r="310" spans="1:34" x14ac:dyDescent="0.2">
      <c r="A310" t="s">
        <v>34</v>
      </c>
      <c r="B310" t="s">
        <v>35</v>
      </c>
      <c r="C310">
        <v>18</v>
      </c>
      <c r="D310" t="s">
        <v>53</v>
      </c>
      <c r="E310" t="s">
        <v>37</v>
      </c>
      <c r="F310" t="s">
        <v>45</v>
      </c>
      <c r="G310">
        <v>4</v>
      </c>
      <c r="H310">
        <v>4</v>
      </c>
      <c r="I310" t="s">
        <v>40</v>
      </c>
      <c r="J310" t="s">
        <v>46</v>
      </c>
      <c r="K310" t="s">
        <v>52</v>
      </c>
      <c r="L310" t="s">
        <v>42</v>
      </c>
      <c r="M310">
        <v>2</v>
      </c>
      <c r="N310">
        <v>2</v>
      </c>
      <c r="O310">
        <v>0</v>
      </c>
      <c r="P310" t="s">
        <v>44</v>
      </c>
      <c r="Q310" t="s">
        <v>44</v>
      </c>
      <c r="R310" t="s">
        <v>44</v>
      </c>
      <c r="S310">
        <f t="shared" si="4"/>
        <v>0</v>
      </c>
      <c r="T310" t="s">
        <v>43</v>
      </c>
      <c r="U310" t="s">
        <v>43</v>
      </c>
      <c r="V310" t="s">
        <v>43</v>
      </c>
      <c r="W310" t="s">
        <v>43</v>
      </c>
      <c r="X310" t="s">
        <v>44</v>
      </c>
      <c r="Y310">
        <v>4</v>
      </c>
      <c r="Z310">
        <v>3</v>
      </c>
      <c r="AA310">
        <v>4</v>
      </c>
      <c r="AB310">
        <v>2</v>
      </c>
      <c r="AC310">
        <v>2</v>
      </c>
      <c r="AD310">
        <v>4</v>
      </c>
      <c r="AE310">
        <v>8</v>
      </c>
      <c r="AF310">
        <v>10</v>
      </c>
      <c r="AG310">
        <v>11</v>
      </c>
      <c r="AH310">
        <v>12</v>
      </c>
    </row>
    <row r="311" spans="1:34" x14ac:dyDescent="0.2">
      <c r="A311" t="s">
        <v>34</v>
      </c>
      <c r="B311" t="s">
        <v>51</v>
      </c>
      <c r="C311">
        <v>18</v>
      </c>
      <c r="D311" t="s">
        <v>36</v>
      </c>
      <c r="E311" t="s">
        <v>37</v>
      </c>
      <c r="F311" t="s">
        <v>45</v>
      </c>
      <c r="G311">
        <v>4</v>
      </c>
      <c r="H311">
        <v>2</v>
      </c>
      <c r="I311" t="s">
        <v>29</v>
      </c>
      <c r="J311" t="s">
        <v>46</v>
      </c>
      <c r="K311" t="s">
        <v>52</v>
      </c>
      <c r="L311" t="s">
        <v>47</v>
      </c>
      <c r="M311">
        <v>1</v>
      </c>
      <c r="N311">
        <v>2</v>
      </c>
      <c r="O311">
        <v>0</v>
      </c>
      <c r="P311" t="s">
        <v>44</v>
      </c>
      <c r="Q311" t="s">
        <v>43</v>
      </c>
      <c r="R311" t="s">
        <v>44</v>
      </c>
      <c r="S311">
        <f t="shared" si="4"/>
        <v>0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>
        <v>5</v>
      </c>
      <c r="Z311">
        <v>4</v>
      </c>
      <c r="AA311">
        <v>5</v>
      </c>
      <c r="AB311">
        <v>1</v>
      </c>
      <c r="AC311">
        <v>3</v>
      </c>
      <c r="AD311">
        <v>5</v>
      </c>
      <c r="AE311">
        <v>4</v>
      </c>
      <c r="AF311">
        <v>10</v>
      </c>
      <c r="AG311">
        <v>12</v>
      </c>
      <c r="AH311">
        <v>14</v>
      </c>
    </row>
    <row r="312" spans="1:34" x14ac:dyDescent="0.2">
      <c r="A312" t="s">
        <v>34</v>
      </c>
      <c r="B312" t="s">
        <v>35</v>
      </c>
      <c r="C312">
        <v>18</v>
      </c>
      <c r="D312" t="s">
        <v>53</v>
      </c>
      <c r="E312" t="s">
        <v>37</v>
      </c>
      <c r="F312" t="s">
        <v>45</v>
      </c>
      <c r="G312">
        <v>2</v>
      </c>
      <c r="H312">
        <v>1</v>
      </c>
      <c r="I312" t="s">
        <v>46</v>
      </c>
      <c r="J312" t="s">
        <v>46</v>
      </c>
      <c r="K312" t="s">
        <v>52</v>
      </c>
      <c r="L312" t="s">
        <v>42</v>
      </c>
      <c r="M312">
        <v>2</v>
      </c>
      <c r="N312">
        <v>2</v>
      </c>
      <c r="O312">
        <v>0</v>
      </c>
      <c r="P312" t="s">
        <v>44</v>
      </c>
      <c r="Q312" t="s">
        <v>43</v>
      </c>
      <c r="R312" t="s">
        <v>44</v>
      </c>
      <c r="S312">
        <f t="shared" si="4"/>
        <v>0</v>
      </c>
      <c r="T312" t="s">
        <v>44</v>
      </c>
      <c r="U312" t="s">
        <v>43</v>
      </c>
      <c r="V312" t="s">
        <v>44</v>
      </c>
      <c r="W312" t="s">
        <v>43</v>
      </c>
      <c r="X312" t="s">
        <v>43</v>
      </c>
      <c r="Y312">
        <v>4</v>
      </c>
      <c r="Z312">
        <v>3</v>
      </c>
      <c r="AA312">
        <v>5</v>
      </c>
      <c r="AB312">
        <v>1</v>
      </c>
      <c r="AC312">
        <v>2</v>
      </c>
      <c r="AD312">
        <v>3</v>
      </c>
      <c r="AE312">
        <v>12</v>
      </c>
      <c r="AF312">
        <v>8</v>
      </c>
      <c r="AG312">
        <v>9</v>
      </c>
      <c r="AH312">
        <v>10</v>
      </c>
    </row>
    <row r="313" spans="1:34" x14ac:dyDescent="0.2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v>3</v>
      </c>
      <c r="H313">
        <v>3</v>
      </c>
      <c r="I313" t="s">
        <v>46</v>
      </c>
      <c r="J313" t="s">
        <v>49</v>
      </c>
      <c r="K313" t="s">
        <v>50</v>
      </c>
      <c r="L313" t="s">
        <v>46</v>
      </c>
      <c r="M313">
        <v>1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>
        <f t="shared" si="4"/>
        <v>0</v>
      </c>
      <c r="T313" t="s">
        <v>43</v>
      </c>
      <c r="U313" t="s">
        <v>43</v>
      </c>
      <c r="V313" t="s">
        <v>43</v>
      </c>
      <c r="W313" t="s">
        <v>43</v>
      </c>
      <c r="X313" t="s">
        <v>44</v>
      </c>
      <c r="Y313">
        <v>4</v>
      </c>
      <c r="Z313">
        <v>3</v>
      </c>
      <c r="AA313">
        <v>5</v>
      </c>
      <c r="AB313">
        <v>3</v>
      </c>
      <c r="AC313">
        <v>3</v>
      </c>
      <c r="AD313">
        <v>5</v>
      </c>
      <c r="AE313">
        <v>16</v>
      </c>
      <c r="AF313">
        <v>11</v>
      </c>
      <c r="AG313">
        <v>12</v>
      </c>
      <c r="AH313">
        <v>12</v>
      </c>
    </row>
    <row r="314" spans="1:34" x14ac:dyDescent="0.2">
      <c r="A314" t="s">
        <v>34</v>
      </c>
      <c r="B314" t="s">
        <v>35</v>
      </c>
      <c r="C314">
        <v>18</v>
      </c>
      <c r="D314" t="s">
        <v>36</v>
      </c>
      <c r="E314" t="s">
        <v>37</v>
      </c>
      <c r="F314" t="s">
        <v>45</v>
      </c>
      <c r="G314">
        <v>2</v>
      </c>
      <c r="H314">
        <v>3</v>
      </c>
      <c r="I314" t="s">
        <v>46</v>
      </c>
      <c r="J314" t="s">
        <v>49</v>
      </c>
      <c r="K314" t="s">
        <v>52</v>
      </c>
      <c r="L314" t="s">
        <v>47</v>
      </c>
      <c r="M314">
        <v>1</v>
      </c>
      <c r="N314">
        <v>4</v>
      </c>
      <c r="O314">
        <v>0</v>
      </c>
      <c r="P314" t="s">
        <v>44</v>
      </c>
      <c r="Q314" t="s">
        <v>43</v>
      </c>
      <c r="R314" t="s">
        <v>44</v>
      </c>
      <c r="S314">
        <f t="shared" si="4"/>
        <v>0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>
        <v>4</v>
      </c>
      <c r="Z314">
        <v>5</v>
      </c>
      <c r="AA314">
        <v>5</v>
      </c>
      <c r="AB314">
        <v>1</v>
      </c>
      <c r="AC314">
        <v>3</v>
      </c>
      <c r="AD314">
        <v>2</v>
      </c>
      <c r="AE314">
        <v>10</v>
      </c>
      <c r="AF314">
        <v>16</v>
      </c>
      <c r="AG314">
        <v>16</v>
      </c>
      <c r="AH314">
        <v>16</v>
      </c>
    </row>
    <row r="315" spans="1:34" x14ac:dyDescent="0.2">
      <c r="A315" t="s">
        <v>34</v>
      </c>
      <c r="B315" t="s">
        <v>35</v>
      </c>
      <c r="C315">
        <v>18</v>
      </c>
      <c r="D315" t="s">
        <v>36</v>
      </c>
      <c r="E315" t="s">
        <v>48</v>
      </c>
      <c r="F315" t="s">
        <v>45</v>
      </c>
      <c r="G315">
        <v>1</v>
      </c>
      <c r="H315">
        <v>1</v>
      </c>
      <c r="I315" t="s">
        <v>46</v>
      </c>
      <c r="J315" t="s">
        <v>46</v>
      </c>
      <c r="K315" t="s">
        <v>50</v>
      </c>
      <c r="L315" t="s">
        <v>42</v>
      </c>
      <c r="M315">
        <v>2</v>
      </c>
      <c r="N315">
        <v>2</v>
      </c>
      <c r="O315">
        <v>0</v>
      </c>
      <c r="P315" t="s">
        <v>44</v>
      </c>
      <c r="Q315" t="s">
        <v>43</v>
      </c>
      <c r="R315" t="s">
        <v>44</v>
      </c>
      <c r="S315">
        <f t="shared" si="4"/>
        <v>0</v>
      </c>
      <c r="T315" t="s">
        <v>44</v>
      </c>
      <c r="U315" t="s">
        <v>44</v>
      </c>
      <c r="V315" t="s">
        <v>43</v>
      </c>
      <c r="W315" t="s">
        <v>44</v>
      </c>
      <c r="X315" t="s">
        <v>44</v>
      </c>
      <c r="Y315">
        <v>4</v>
      </c>
      <c r="Z315">
        <v>4</v>
      </c>
      <c r="AA315">
        <v>3</v>
      </c>
      <c r="AB315">
        <v>1</v>
      </c>
      <c r="AC315">
        <v>1</v>
      </c>
      <c r="AD315">
        <v>3</v>
      </c>
      <c r="AE315">
        <v>2</v>
      </c>
      <c r="AF315">
        <v>13</v>
      </c>
      <c r="AG315">
        <v>13</v>
      </c>
      <c r="AH315">
        <v>13</v>
      </c>
    </row>
    <row r="316" spans="1:34" x14ac:dyDescent="0.2">
      <c r="A316" t="s">
        <v>34</v>
      </c>
      <c r="B316" t="s">
        <v>51</v>
      </c>
      <c r="C316">
        <v>17</v>
      </c>
      <c r="D316" t="s">
        <v>53</v>
      </c>
      <c r="E316" t="s">
        <v>37</v>
      </c>
      <c r="F316" t="s">
        <v>45</v>
      </c>
      <c r="G316">
        <v>1</v>
      </c>
      <c r="H316">
        <v>2</v>
      </c>
      <c r="I316" t="s">
        <v>39</v>
      </c>
      <c r="J316" t="s">
        <v>39</v>
      </c>
      <c r="K316" t="s">
        <v>50</v>
      </c>
      <c r="L316" t="s">
        <v>42</v>
      </c>
      <c r="M316">
        <v>1</v>
      </c>
      <c r="N316">
        <v>2</v>
      </c>
      <c r="O316">
        <v>0</v>
      </c>
      <c r="P316" t="s">
        <v>44</v>
      </c>
      <c r="Q316" t="s">
        <v>43</v>
      </c>
      <c r="R316" t="s">
        <v>44</v>
      </c>
      <c r="S316">
        <f t="shared" si="4"/>
        <v>0</v>
      </c>
      <c r="T316" t="s">
        <v>43</v>
      </c>
      <c r="U316" t="s">
        <v>44</v>
      </c>
      <c r="V316" t="s">
        <v>43</v>
      </c>
      <c r="W316" t="s">
        <v>44</v>
      </c>
      <c r="X316" t="s">
        <v>43</v>
      </c>
      <c r="Y316">
        <v>3</v>
      </c>
      <c r="Z316">
        <v>5</v>
      </c>
      <c r="AA316">
        <v>2</v>
      </c>
      <c r="AB316">
        <v>2</v>
      </c>
      <c r="AC316">
        <v>2</v>
      </c>
      <c r="AD316">
        <v>1</v>
      </c>
      <c r="AE316">
        <v>2</v>
      </c>
      <c r="AF316">
        <v>16</v>
      </c>
      <c r="AG316">
        <v>17</v>
      </c>
      <c r="AH316">
        <v>18</v>
      </c>
    </row>
    <row r="317" spans="1:34" x14ac:dyDescent="0.2">
      <c r="A317" t="s">
        <v>34</v>
      </c>
      <c r="B317" t="s">
        <v>35</v>
      </c>
      <c r="C317">
        <v>18</v>
      </c>
      <c r="D317" t="s">
        <v>36</v>
      </c>
      <c r="E317" t="s">
        <v>37</v>
      </c>
      <c r="F317" t="s">
        <v>45</v>
      </c>
      <c r="G317">
        <v>2</v>
      </c>
      <c r="H317">
        <v>1</v>
      </c>
      <c r="I317" t="s">
        <v>46</v>
      </c>
      <c r="J317" t="s">
        <v>46</v>
      </c>
      <c r="K317" t="s">
        <v>50</v>
      </c>
      <c r="L317" t="s">
        <v>42</v>
      </c>
      <c r="M317">
        <v>1</v>
      </c>
      <c r="N317">
        <v>2</v>
      </c>
      <c r="O317">
        <v>0</v>
      </c>
      <c r="P317" t="s">
        <v>44</v>
      </c>
      <c r="Q317" t="s">
        <v>43</v>
      </c>
      <c r="R317" t="s">
        <v>44</v>
      </c>
      <c r="S317">
        <f t="shared" si="4"/>
        <v>0</v>
      </c>
      <c r="T317" t="s">
        <v>44</v>
      </c>
      <c r="U317" t="s">
        <v>43</v>
      </c>
      <c r="V317" t="s">
        <v>43</v>
      </c>
      <c r="W317" t="s">
        <v>43</v>
      </c>
      <c r="X317" t="s">
        <v>43</v>
      </c>
      <c r="Y317">
        <v>4</v>
      </c>
      <c r="Z317">
        <v>2</v>
      </c>
      <c r="AA317">
        <v>5</v>
      </c>
      <c r="AB317">
        <v>1</v>
      </c>
      <c r="AC317">
        <v>2</v>
      </c>
      <c r="AD317">
        <v>1</v>
      </c>
      <c r="AE317">
        <v>8</v>
      </c>
      <c r="AF317">
        <v>14</v>
      </c>
      <c r="AG317">
        <v>14</v>
      </c>
      <c r="AH317">
        <v>15</v>
      </c>
    </row>
    <row r="318" spans="1:34" x14ac:dyDescent="0.2">
      <c r="A318" t="s">
        <v>34</v>
      </c>
      <c r="B318" t="s">
        <v>35</v>
      </c>
      <c r="C318">
        <v>17</v>
      </c>
      <c r="D318" t="s">
        <v>36</v>
      </c>
      <c r="E318" t="s">
        <v>37</v>
      </c>
      <c r="F318" t="s">
        <v>45</v>
      </c>
      <c r="G318">
        <v>2</v>
      </c>
      <c r="H318">
        <v>4</v>
      </c>
      <c r="I318" t="s">
        <v>39</v>
      </c>
      <c r="J318" t="s">
        <v>29</v>
      </c>
      <c r="K318" t="s">
        <v>52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44</v>
      </c>
      <c r="S318">
        <f t="shared" si="4"/>
        <v>0</v>
      </c>
      <c r="T318" t="s">
        <v>44</v>
      </c>
      <c r="U318" t="s">
        <v>43</v>
      </c>
      <c r="V318" t="s">
        <v>43</v>
      </c>
      <c r="W318" t="s">
        <v>43</v>
      </c>
      <c r="X318" t="s">
        <v>43</v>
      </c>
      <c r="Y318">
        <v>4</v>
      </c>
      <c r="Z318">
        <v>3</v>
      </c>
      <c r="AA318">
        <v>3</v>
      </c>
      <c r="AB318">
        <v>1</v>
      </c>
      <c r="AC318">
        <v>1</v>
      </c>
      <c r="AD318">
        <v>1</v>
      </c>
      <c r="AE318">
        <v>6</v>
      </c>
      <c r="AF318">
        <v>15</v>
      </c>
      <c r="AG318">
        <v>16</v>
      </c>
      <c r="AH318">
        <v>16</v>
      </c>
    </row>
    <row r="319" spans="1:34" x14ac:dyDescent="0.2">
      <c r="A319" t="s">
        <v>34</v>
      </c>
      <c r="B319" t="s">
        <v>35</v>
      </c>
      <c r="C319">
        <v>17</v>
      </c>
      <c r="D319" t="s">
        <v>36</v>
      </c>
      <c r="E319" t="s">
        <v>48</v>
      </c>
      <c r="F319" t="s">
        <v>45</v>
      </c>
      <c r="G319">
        <v>2</v>
      </c>
      <c r="H319">
        <v>2</v>
      </c>
      <c r="I319" t="s">
        <v>49</v>
      </c>
      <c r="J319" t="s">
        <v>46</v>
      </c>
      <c r="K319" t="s">
        <v>41</v>
      </c>
      <c r="L319" t="s">
        <v>42</v>
      </c>
      <c r="M319">
        <v>2</v>
      </c>
      <c r="N319">
        <v>2</v>
      </c>
      <c r="O319">
        <v>0</v>
      </c>
      <c r="P319" t="s">
        <v>43</v>
      </c>
      <c r="Q319" t="s">
        <v>43</v>
      </c>
      <c r="R319" t="s">
        <v>44</v>
      </c>
      <c r="S319">
        <f t="shared" si="4"/>
        <v>0</v>
      </c>
      <c r="T319" t="s">
        <v>44</v>
      </c>
      <c r="U319" t="s">
        <v>43</v>
      </c>
      <c r="V319" t="s">
        <v>43</v>
      </c>
      <c r="W319" t="s">
        <v>43</v>
      </c>
      <c r="X319" t="s">
        <v>43</v>
      </c>
      <c r="Y319">
        <v>4</v>
      </c>
      <c r="Z319">
        <v>4</v>
      </c>
      <c r="AA319">
        <v>4</v>
      </c>
      <c r="AB319">
        <v>2</v>
      </c>
      <c r="AC319">
        <v>3</v>
      </c>
      <c r="AD319">
        <v>5</v>
      </c>
      <c r="AE319">
        <v>6</v>
      </c>
      <c r="AF319">
        <v>12</v>
      </c>
      <c r="AG319">
        <v>12</v>
      </c>
      <c r="AH319">
        <v>12</v>
      </c>
    </row>
    <row r="320" spans="1:34" x14ac:dyDescent="0.2">
      <c r="A320" t="s">
        <v>34</v>
      </c>
      <c r="B320" t="s">
        <v>35</v>
      </c>
      <c r="C320">
        <v>18</v>
      </c>
      <c r="D320" t="s">
        <v>53</v>
      </c>
      <c r="E320" t="s">
        <v>37</v>
      </c>
      <c r="F320" t="s">
        <v>38</v>
      </c>
      <c r="G320">
        <v>3</v>
      </c>
      <c r="H320">
        <v>2</v>
      </c>
      <c r="I320" t="s">
        <v>46</v>
      </c>
      <c r="J320" t="s">
        <v>49</v>
      </c>
      <c r="K320" t="s">
        <v>50</v>
      </c>
      <c r="L320" t="s">
        <v>42</v>
      </c>
      <c r="M320">
        <v>2</v>
      </c>
      <c r="N320">
        <v>2</v>
      </c>
      <c r="O320">
        <v>0</v>
      </c>
      <c r="P320" t="s">
        <v>44</v>
      </c>
      <c r="Q320" t="s">
        <v>44</v>
      </c>
      <c r="R320" t="s">
        <v>44</v>
      </c>
      <c r="S320">
        <f t="shared" si="4"/>
        <v>0</v>
      </c>
      <c r="T320" t="s">
        <v>44</v>
      </c>
      <c r="U320" t="s">
        <v>44</v>
      </c>
      <c r="V320" t="s">
        <v>44</v>
      </c>
      <c r="W320" t="s">
        <v>43</v>
      </c>
      <c r="X320" t="s">
        <v>43</v>
      </c>
      <c r="Y320">
        <v>4</v>
      </c>
      <c r="Z320">
        <v>1</v>
      </c>
      <c r="AA320">
        <v>1</v>
      </c>
      <c r="AB320">
        <v>1</v>
      </c>
      <c r="AC320">
        <v>1</v>
      </c>
      <c r="AD320">
        <v>5</v>
      </c>
      <c r="AE320">
        <v>15</v>
      </c>
      <c r="AF320">
        <v>12</v>
      </c>
      <c r="AG320">
        <v>9</v>
      </c>
      <c r="AH320">
        <v>10</v>
      </c>
    </row>
    <row r="321" spans="1:34" x14ac:dyDescent="0.2">
      <c r="A321" t="s">
        <v>34</v>
      </c>
      <c r="B321" t="s">
        <v>51</v>
      </c>
      <c r="C321">
        <v>18</v>
      </c>
      <c r="D321" t="s">
        <v>36</v>
      </c>
      <c r="E321" t="s">
        <v>37</v>
      </c>
      <c r="F321" t="s">
        <v>45</v>
      </c>
      <c r="G321">
        <v>4</v>
      </c>
      <c r="H321">
        <v>4</v>
      </c>
      <c r="I321" t="s">
        <v>40</v>
      </c>
      <c r="J321" t="s">
        <v>49</v>
      </c>
      <c r="K321" t="s">
        <v>50</v>
      </c>
      <c r="L321" t="s">
        <v>42</v>
      </c>
      <c r="M321">
        <v>2</v>
      </c>
      <c r="N321">
        <v>1</v>
      </c>
      <c r="O321">
        <v>0</v>
      </c>
      <c r="P321" t="s">
        <v>44</v>
      </c>
      <c r="Q321" t="s">
        <v>44</v>
      </c>
      <c r="R321" t="s">
        <v>44</v>
      </c>
      <c r="S321">
        <f t="shared" si="4"/>
        <v>0</v>
      </c>
      <c r="T321" t="s">
        <v>43</v>
      </c>
      <c r="U321" t="s">
        <v>43</v>
      </c>
      <c r="V321" t="s">
        <v>43</v>
      </c>
      <c r="W321" t="s">
        <v>43</v>
      </c>
      <c r="X321" t="s">
        <v>44</v>
      </c>
      <c r="Y321">
        <v>3</v>
      </c>
      <c r="Z321">
        <v>2</v>
      </c>
      <c r="AA321">
        <v>4</v>
      </c>
      <c r="AB321">
        <v>1</v>
      </c>
      <c r="AC321">
        <v>4</v>
      </c>
      <c r="AD321">
        <v>3</v>
      </c>
      <c r="AE321">
        <v>6</v>
      </c>
      <c r="AF321">
        <v>11</v>
      </c>
      <c r="AG321">
        <v>12</v>
      </c>
      <c r="AH321">
        <v>12</v>
      </c>
    </row>
    <row r="322" spans="1:34" x14ac:dyDescent="0.2">
      <c r="A322" t="s">
        <v>34</v>
      </c>
      <c r="B322" t="s">
        <v>35</v>
      </c>
      <c r="C322">
        <v>18</v>
      </c>
      <c r="D322" t="s">
        <v>36</v>
      </c>
      <c r="E322" t="s">
        <v>37</v>
      </c>
      <c r="F322" t="s">
        <v>45</v>
      </c>
      <c r="G322">
        <v>4</v>
      </c>
      <c r="H322">
        <v>4</v>
      </c>
      <c r="I322" t="s">
        <v>29</v>
      </c>
      <c r="J322" t="s">
        <v>29</v>
      </c>
      <c r="K322" t="s">
        <v>52</v>
      </c>
      <c r="L322" t="s">
        <v>47</v>
      </c>
      <c r="M322">
        <v>1</v>
      </c>
      <c r="N322">
        <v>2</v>
      </c>
      <c r="O322">
        <v>1</v>
      </c>
      <c r="P322" t="s">
        <v>43</v>
      </c>
      <c r="Q322" t="s">
        <v>43</v>
      </c>
      <c r="R322" t="s">
        <v>44</v>
      </c>
      <c r="S322">
        <f t="shared" si="4"/>
        <v>0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>
        <v>2</v>
      </c>
      <c r="Z322">
        <v>4</v>
      </c>
      <c r="AA322">
        <v>4</v>
      </c>
      <c r="AB322">
        <v>1</v>
      </c>
      <c r="AC322">
        <v>1</v>
      </c>
      <c r="AD322">
        <v>4</v>
      </c>
      <c r="AE322">
        <v>2</v>
      </c>
      <c r="AF322">
        <v>14</v>
      </c>
      <c r="AG322">
        <v>12</v>
      </c>
      <c r="AH322">
        <v>13</v>
      </c>
    </row>
    <row r="323" spans="1:34" x14ac:dyDescent="0.2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v>2</v>
      </c>
      <c r="H323">
        <v>2</v>
      </c>
      <c r="I323" t="s">
        <v>46</v>
      </c>
      <c r="J323" t="s">
        <v>49</v>
      </c>
      <c r="K323" t="s">
        <v>52</v>
      </c>
      <c r="L323" t="s">
        <v>47</v>
      </c>
      <c r="M323">
        <v>3</v>
      </c>
      <c r="N323">
        <v>3</v>
      </c>
      <c r="O323">
        <v>0</v>
      </c>
      <c r="P323" t="s">
        <v>44</v>
      </c>
      <c r="Q323" t="s">
        <v>43</v>
      </c>
      <c r="R323" t="s">
        <v>44</v>
      </c>
      <c r="S323">
        <f t="shared" ref="S323:S386" si="5">IF(R323="yes",1,0)</f>
        <v>0</v>
      </c>
      <c r="T323" t="s">
        <v>44</v>
      </c>
      <c r="U323" t="s">
        <v>43</v>
      </c>
      <c r="V323" t="s">
        <v>43</v>
      </c>
      <c r="W323" t="s">
        <v>43</v>
      </c>
      <c r="X323" t="s">
        <v>43</v>
      </c>
      <c r="Y323">
        <v>4</v>
      </c>
      <c r="Z323">
        <v>2</v>
      </c>
      <c r="AA323">
        <v>3</v>
      </c>
      <c r="AB323">
        <v>1</v>
      </c>
      <c r="AC323">
        <v>1</v>
      </c>
      <c r="AD323">
        <v>1</v>
      </c>
      <c r="AE323">
        <v>8</v>
      </c>
      <c r="AF323">
        <v>13</v>
      </c>
      <c r="AG323">
        <v>15</v>
      </c>
      <c r="AH323">
        <v>15</v>
      </c>
    </row>
    <row r="324" spans="1:34" x14ac:dyDescent="0.2">
      <c r="A324" t="s">
        <v>34</v>
      </c>
      <c r="B324" t="s">
        <v>35</v>
      </c>
      <c r="C324">
        <v>19</v>
      </c>
      <c r="D324" t="s">
        <v>53</v>
      </c>
      <c r="E324" t="s">
        <v>37</v>
      </c>
      <c r="F324" t="s">
        <v>45</v>
      </c>
      <c r="G324">
        <v>3</v>
      </c>
      <c r="H324">
        <v>2</v>
      </c>
      <c r="I324" t="s">
        <v>49</v>
      </c>
      <c r="J324" t="s">
        <v>49</v>
      </c>
      <c r="K324" t="s">
        <v>52</v>
      </c>
      <c r="L324" t="s">
        <v>47</v>
      </c>
      <c r="M324">
        <v>1</v>
      </c>
      <c r="N324">
        <v>2</v>
      </c>
      <c r="O324">
        <v>1</v>
      </c>
      <c r="P324" t="s">
        <v>43</v>
      </c>
      <c r="Q324" t="s">
        <v>43</v>
      </c>
      <c r="R324" t="s">
        <v>44</v>
      </c>
      <c r="S324">
        <f t="shared" si="5"/>
        <v>0</v>
      </c>
      <c r="T324" t="s">
        <v>44</v>
      </c>
      <c r="U324" t="s">
        <v>43</v>
      </c>
      <c r="V324" t="s">
        <v>44</v>
      </c>
      <c r="W324" t="s">
        <v>43</v>
      </c>
      <c r="X324" t="s">
        <v>44</v>
      </c>
      <c r="Y324">
        <v>3</v>
      </c>
      <c r="Z324">
        <v>3</v>
      </c>
      <c r="AA324">
        <v>3</v>
      </c>
      <c r="AB324">
        <v>4</v>
      </c>
      <c r="AC324">
        <v>3</v>
      </c>
      <c r="AD324">
        <v>3</v>
      </c>
      <c r="AE324">
        <v>0</v>
      </c>
      <c r="AF324">
        <v>9</v>
      </c>
      <c r="AG324">
        <v>8</v>
      </c>
      <c r="AH324">
        <v>10</v>
      </c>
    </row>
    <row r="325" spans="1:34" x14ac:dyDescent="0.2">
      <c r="A325" t="s">
        <v>34</v>
      </c>
      <c r="B325" t="s">
        <v>51</v>
      </c>
      <c r="C325">
        <v>18</v>
      </c>
      <c r="D325" t="s">
        <v>36</v>
      </c>
      <c r="E325" t="s">
        <v>48</v>
      </c>
      <c r="F325" t="s">
        <v>45</v>
      </c>
      <c r="G325">
        <v>4</v>
      </c>
      <c r="H325">
        <v>3</v>
      </c>
      <c r="I325" t="s">
        <v>40</v>
      </c>
      <c r="J325" t="s">
        <v>49</v>
      </c>
      <c r="K325" t="s">
        <v>41</v>
      </c>
      <c r="L325" t="s">
        <v>42</v>
      </c>
      <c r="M325">
        <v>2</v>
      </c>
      <c r="N325">
        <v>1</v>
      </c>
      <c r="O325">
        <v>0</v>
      </c>
      <c r="P325" t="s">
        <v>44</v>
      </c>
      <c r="Q325" t="s">
        <v>44</v>
      </c>
      <c r="R325" t="s">
        <v>44</v>
      </c>
      <c r="S325">
        <f t="shared" si="5"/>
        <v>0</v>
      </c>
      <c r="T325" t="s">
        <v>43</v>
      </c>
      <c r="U325" t="s">
        <v>43</v>
      </c>
      <c r="V325" t="s">
        <v>43</v>
      </c>
      <c r="W325" t="s">
        <v>43</v>
      </c>
      <c r="X325" t="s">
        <v>44</v>
      </c>
      <c r="Y325">
        <v>4</v>
      </c>
      <c r="Z325">
        <v>2</v>
      </c>
      <c r="AA325">
        <v>3</v>
      </c>
      <c r="AB325">
        <v>1</v>
      </c>
      <c r="AC325">
        <v>2</v>
      </c>
      <c r="AD325">
        <v>1</v>
      </c>
      <c r="AE325">
        <v>0</v>
      </c>
      <c r="AF325">
        <v>10</v>
      </c>
      <c r="AG325">
        <v>10</v>
      </c>
      <c r="AH325">
        <v>10</v>
      </c>
    </row>
    <row r="326" spans="1:34" x14ac:dyDescent="0.2">
      <c r="A326" t="s">
        <v>34</v>
      </c>
      <c r="B326" t="s">
        <v>51</v>
      </c>
      <c r="C326">
        <v>18</v>
      </c>
      <c r="D326" t="s">
        <v>36</v>
      </c>
      <c r="E326" t="s">
        <v>37</v>
      </c>
      <c r="F326" t="s">
        <v>45</v>
      </c>
      <c r="G326">
        <v>1</v>
      </c>
      <c r="H326">
        <v>2</v>
      </c>
      <c r="I326" t="s">
        <v>39</v>
      </c>
      <c r="J326" t="s">
        <v>46</v>
      </c>
      <c r="K326" t="s">
        <v>50</v>
      </c>
      <c r="L326" t="s">
        <v>46</v>
      </c>
      <c r="M326">
        <v>2</v>
      </c>
      <c r="N326">
        <v>1</v>
      </c>
      <c r="O326">
        <v>0</v>
      </c>
      <c r="P326" t="s">
        <v>44</v>
      </c>
      <c r="Q326" t="s">
        <v>44</v>
      </c>
      <c r="R326" t="s">
        <v>44</v>
      </c>
      <c r="S326">
        <f t="shared" si="5"/>
        <v>0</v>
      </c>
      <c r="T326" t="s">
        <v>44</v>
      </c>
      <c r="U326" t="s">
        <v>44</v>
      </c>
      <c r="V326" t="s">
        <v>44</v>
      </c>
      <c r="W326" t="s">
        <v>43</v>
      </c>
      <c r="X326" t="s">
        <v>44</v>
      </c>
      <c r="Y326">
        <v>3</v>
      </c>
      <c r="Z326">
        <v>4</v>
      </c>
      <c r="AA326">
        <v>4</v>
      </c>
      <c r="AB326">
        <v>2</v>
      </c>
      <c r="AC326">
        <v>4</v>
      </c>
      <c r="AD326">
        <v>4</v>
      </c>
      <c r="AE326">
        <v>10</v>
      </c>
      <c r="AF326">
        <v>10</v>
      </c>
      <c r="AG326">
        <v>10</v>
      </c>
      <c r="AH326">
        <v>11</v>
      </c>
    </row>
    <row r="327" spans="1:34" x14ac:dyDescent="0.2">
      <c r="A327" t="s">
        <v>34</v>
      </c>
      <c r="B327" t="s">
        <v>51</v>
      </c>
      <c r="C327">
        <v>17</v>
      </c>
      <c r="D327" t="s">
        <v>36</v>
      </c>
      <c r="E327" t="s">
        <v>48</v>
      </c>
      <c r="F327" t="s">
        <v>38</v>
      </c>
      <c r="G327">
        <v>4</v>
      </c>
      <c r="H327">
        <v>1</v>
      </c>
      <c r="I327" t="s">
        <v>49</v>
      </c>
      <c r="J327" t="s">
        <v>46</v>
      </c>
      <c r="K327" t="s">
        <v>50</v>
      </c>
      <c r="L327" t="s">
        <v>42</v>
      </c>
      <c r="M327">
        <v>2</v>
      </c>
      <c r="N327">
        <v>1</v>
      </c>
      <c r="O327">
        <v>0</v>
      </c>
      <c r="P327" t="s">
        <v>44</v>
      </c>
      <c r="Q327" t="s">
        <v>44</v>
      </c>
      <c r="R327" t="s">
        <v>44</v>
      </c>
      <c r="S327">
        <f t="shared" si="5"/>
        <v>0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>
        <v>4</v>
      </c>
      <c r="Z327">
        <v>5</v>
      </c>
      <c r="AA327">
        <v>4</v>
      </c>
      <c r="AB327">
        <v>2</v>
      </c>
      <c r="AC327">
        <v>4</v>
      </c>
      <c r="AD327">
        <v>5</v>
      </c>
      <c r="AE327">
        <v>22</v>
      </c>
      <c r="AF327">
        <v>11</v>
      </c>
      <c r="AG327">
        <v>11</v>
      </c>
      <c r="AH327">
        <v>10</v>
      </c>
    </row>
    <row r="328" spans="1:34" x14ac:dyDescent="0.2">
      <c r="A328" t="s">
        <v>34</v>
      </c>
      <c r="B328" t="s">
        <v>51</v>
      </c>
      <c r="C328">
        <v>17</v>
      </c>
      <c r="D328" t="s">
        <v>36</v>
      </c>
      <c r="E328" t="s">
        <v>48</v>
      </c>
      <c r="F328" t="s">
        <v>38</v>
      </c>
      <c r="G328">
        <v>3</v>
      </c>
      <c r="H328">
        <v>2</v>
      </c>
      <c r="I328" t="s">
        <v>40</v>
      </c>
      <c r="J328" t="s">
        <v>49</v>
      </c>
      <c r="K328" t="s">
        <v>50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>
        <f t="shared" si="5"/>
        <v>0</v>
      </c>
      <c r="T328" t="s">
        <v>44</v>
      </c>
      <c r="U328" t="s">
        <v>43</v>
      </c>
      <c r="V328" t="s">
        <v>43</v>
      </c>
      <c r="W328" t="s">
        <v>43</v>
      </c>
      <c r="X328" t="s">
        <v>44</v>
      </c>
      <c r="Y328">
        <v>4</v>
      </c>
      <c r="Z328">
        <v>4</v>
      </c>
      <c r="AA328">
        <v>4</v>
      </c>
      <c r="AB328">
        <v>3</v>
      </c>
      <c r="AC328">
        <v>4</v>
      </c>
      <c r="AD328">
        <v>3</v>
      </c>
      <c r="AE328">
        <v>18</v>
      </c>
      <c r="AF328">
        <v>13</v>
      </c>
      <c r="AG328">
        <v>13</v>
      </c>
      <c r="AH328">
        <v>13</v>
      </c>
    </row>
    <row r="329" spans="1:34" x14ac:dyDescent="0.2">
      <c r="A329" t="s">
        <v>34</v>
      </c>
      <c r="B329" t="s">
        <v>35</v>
      </c>
      <c r="C329">
        <v>18</v>
      </c>
      <c r="D329" t="s">
        <v>53</v>
      </c>
      <c r="E329" t="s">
        <v>48</v>
      </c>
      <c r="F329" t="s">
        <v>45</v>
      </c>
      <c r="G329">
        <v>1</v>
      </c>
      <c r="H329">
        <v>1</v>
      </c>
      <c r="I329" t="s">
        <v>39</v>
      </c>
      <c r="J329" t="s">
        <v>46</v>
      </c>
      <c r="K329" t="s">
        <v>52</v>
      </c>
      <c r="L329" t="s">
        <v>42</v>
      </c>
      <c r="M329">
        <v>2</v>
      </c>
      <c r="N329">
        <v>4</v>
      </c>
      <c r="O329">
        <v>0</v>
      </c>
      <c r="P329" t="s">
        <v>44</v>
      </c>
      <c r="Q329" t="s">
        <v>43</v>
      </c>
      <c r="R329" t="s">
        <v>44</v>
      </c>
      <c r="S329">
        <f t="shared" si="5"/>
        <v>0</v>
      </c>
      <c r="T329" t="s">
        <v>43</v>
      </c>
      <c r="U329" t="s">
        <v>43</v>
      </c>
      <c r="V329" t="s">
        <v>43</v>
      </c>
      <c r="W329" t="s">
        <v>44</v>
      </c>
      <c r="X329" t="s">
        <v>44</v>
      </c>
      <c r="Y329">
        <v>5</v>
      </c>
      <c r="Z329">
        <v>2</v>
      </c>
      <c r="AA329">
        <v>2</v>
      </c>
      <c r="AB329">
        <v>1</v>
      </c>
      <c r="AC329">
        <v>1</v>
      </c>
      <c r="AD329">
        <v>3</v>
      </c>
      <c r="AE329">
        <v>2</v>
      </c>
      <c r="AF329">
        <v>17</v>
      </c>
      <c r="AG329">
        <v>17</v>
      </c>
      <c r="AH329">
        <v>18</v>
      </c>
    </row>
    <row r="330" spans="1:34" x14ac:dyDescent="0.2">
      <c r="A330" t="s">
        <v>34</v>
      </c>
      <c r="B330" t="s">
        <v>35</v>
      </c>
      <c r="C330">
        <v>18</v>
      </c>
      <c r="D330" t="s">
        <v>36</v>
      </c>
      <c r="E330" t="s">
        <v>37</v>
      </c>
      <c r="F330" t="s">
        <v>45</v>
      </c>
      <c r="G330">
        <v>1</v>
      </c>
      <c r="H330">
        <v>1</v>
      </c>
      <c r="I330" t="s">
        <v>46</v>
      </c>
      <c r="J330" t="s">
        <v>46</v>
      </c>
      <c r="K330" t="s">
        <v>50</v>
      </c>
      <c r="L330" t="s">
        <v>42</v>
      </c>
      <c r="M330">
        <v>2</v>
      </c>
      <c r="N330">
        <v>2</v>
      </c>
      <c r="O330">
        <v>0</v>
      </c>
      <c r="P330" t="s">
        <v>43</v>
      </c>
      <c r="Q330" t="s">
        <v>44</v>
      </c>
      <c r="R330" t="s">
        <v>44</v>
      </c>
      <c r="S330">
        <f t="shared" si="5"/>
        <v>0</v>
      </c>
      <c r="T330" t="s">
        <v>43</v>
      </c>
      <c r="U330" t="s">
        <v>43</v>
      </c>
      <c r="V330" t="s">
        <v>43</v>
      </c>
      <c r="W330" t="s">
        <v>43</v>
      </c>
      <c r="X330" t="s">
        <v>44</v>
      </c>
      <c r="Y330">
        <v>5</v>
      </c>
      <c r="Z330">
        <v>4</v>
      </c>
      <c r="AA330">
        <v>4</v>
      </c>
      <c r="AB330">
        <v>1</v>
      </c>
      <c r="AC330">
        <v>1</v>
      </c>
      <c r="AD330">
        <v>4</v>
      </c>
      <c r="AE330">
        <v>0</v>
      </c>
      <c r="AF330">
        <v>12</v>
      </c>
      <c r="AG330">
        <v>13</v>
      </c>
      <c r="AH330">
        <v>13</v>
      </c>
    </row>
    <row r="331" spans="1:34" x14ac:dyDescent="0.2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v>2</v>
      </c>
      <c r="H331">
        <v>2</v>
      </c>
      <c r="I331" t="s">
        <v>46</v>
      </c>
      <c r="J331" t="s">
        <v>46</v>
      </c>
      <c r="K331" t="s">
        <v>41</v>
      </c>
      <c r="L331" t="s">
        <v>42</v>
      </c>
      <c r="M331">
        <v>1</v>
      </c>
      <c r="N331">
        <v>2</v>
      </c>
      <c r="O331">
        <v>0</v>
      </c>
      <c r="P331" t="s">
        <v>44</v>
      </c>
      <c r="Q331" t="s">
        <v>43</v>
      </c>
      <c r="R331" t="s">
        <v>44</v>
      </c>
      <c r="S331">
        <f t="shared" si="5"/>
        <v>0</v>
      </c>
      <c r="T331" t="s">
        <v>44</v>
      </c>
      <c r="U331" t="s">
        <v>44</v>
      </c>
      <c r="V331" t="s">
        <v>43</v>
      </c>
      <c r="W331" t="s">
        <v>43</v>
      </c>
      <c r="X331" t="s">
        <v>44</v>
      </c>
      <c r="Y331">
        <v>5</v>
      </c>
      <c r="Z331">
        <v>4</v>
      </c>
      <c r="AA331">
        <v>5</v>
      </c>
      <c r="AB331">
        <v>1</v>
      </c>
      <c r="AC331">
        <v>2</v>
      </c>
      <c r="AD331">
        <v>5</v>
      </c>
      <c r="AE331">
        <v>12</v>
      </c>
      <c r="AF331">
        <v>12</v>
      </c>
      <c r="AG331">
        <v>12</v>
      </c>
      <c r="AH331">
        <v>14</v>
      </c>
    </row>
    <row r="332" spans="1:34" x14ac:dyDescent="0.2">
      <c r="A332" t="s">
        <v>34</v>
      </c>
      <c r="B332" t="s">
        <v>35</v>
      </c>
      <c r="C332">
        <v>18</v>
      </c>
      <c r="D332" t="s">
        <v>36</v>
      </c>
      <c r="E332" t="s">
        <v>37</v>
      </c>
      <c r="F332" t="s">
        <v>45</v>
      </c>
      <c r="G332">
        <v>2</v>
      </c>
      <c r="H332">
        <v>1</v>
      </c>
      <c r="I332" t="s">
        <v>46</v>
      </c>
      <c r="J332" t="s">
        <v>46</v>
      </c>
      <c r="K332" t="s">
        <v>52</v>
      </c>
      <c r="L332" t="s">
        <v>42</v>
      </c>
      <c r="M332">
        <v>2</v>
      </c>
      <c r="N332">
        <v>2</v>
      </c>
      <c r="O332">
        <v>0</v>
      </c>
      <c r="P332" t="s">
        <v>44</v>
      </c>
      <c r="Q332" t="s">
        <v>44</v>
      </c>
      <c r="R332" t="s">
        <v>44</v>
      </c>
      <c r="S332">
        <f t="shared" si="5"/>
        <v>0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>
        <v>4</v>
      </c>
      <c r="Z332">
        <v>3</v>
      </c>
      <c r="AA332">
        <v>1</v>
      </c>
      <c r="AB332">
        <v>1</v>
      </c>
      <c r="AC332">
        <v>1</v>
      </c>
      <c r="AD332">
        <v>5</v>
      </c>
      <c r="AE332">
        <v>10</v>
      </c>
      <c r="AF332">
        <v>12</v>
      </c>
      <c r="AG332">
        <v>13</v>
      </c>
      <c r="AH332">
        <v>14</v>
      </c>
    </row>
    <row r="333" spans="1:34" x14ac:dyDescent="0.2">
      <c r="A333" t="s">
        <v>34</v>
      </c>
      <c r="B333" t="s">
        <v>51</v>
      </c>
      <c r="C333">
        <v>17</v>
      </c>
      <c r="D333" t="s">
        <v>36</v>
      </c>
      <c r="E333" t="s">
        <v>37</v>
      </c>
      <c r="F333" t="s">
        <v>45</v>
      </c>
      <c r="G333">
        <v>1</v>
      </c>
      <c r="H333">
        <v>1</v>
      </c>
      <c r="I333" t="s">
        <v>46</v>
      </c>
      <c r="J333" t="s">
        <v>46</v>
      </c>
      <c r="K333" t="s">
        <v>52</v>
      </c>
      <c r="L333" t="s">
        <v>47</v>
      </c>
      <c r="M333">
        <v>1</v>
      </c>
      <c r="N333">
        <v>2</v>
      </c>
      <c r="O333">
        <v>0</v>
      </c>
      <c r="P333" t="s">
        <v>44</v>
      </c>
      <c r="Q333" t="s">
        <v>44</v>
      </c>
      <c r="R333" t="s">
        <v>44</v>
      </c>
      <c r="S333">
        <f t="shared" si="5"/>
        <v>0</v>
      </c>
      <c r="T333" t="s">
        <v>44</v>
      </c>
      <c r="U333" t="s">
        <v>44</v>
      </c>
      <c r="V333" t="s">
        <v>43</v>
      </c>
      <c r="W333" t="s">
        <v>43</v>
      </c>
      <c r="X333" t="s">
        <v>44</v>
      </c>
      <c r="Y333">
        <v>4</v>
      </c>
      <c r="Z333">
        <v>3</v>
      </c>
      <c r="AA333">
        <v>3</v>
      </c>
      <c r="AB333">
        <v>1</v>
      </c>
      <c r="AC333">
        <v>2</v>
      </c>
      <c r="AD333">
        <v>4</v>
      </c>
      <c r="AE333">
        <v>0</v>
      </c>
      <c r="AF333">
        <v>12</v>
      </c>
      <c r="AG333">
        <v>12</v>
      </c>
      <c r="AH333">
        <v>12</v>
      </c>
    </row>
    <row r="334" spans="1:34" x14ac:dyDescent="0.2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v>2</v>
      </c>
      <c r="H334">
        <v>2</v>
      </c>
      <c r="I334" t="s">
        <v>39</v>
      </c>
      <c r="J334" t="s">
        <v>39</v>
      </c>
      <c r="K334" t="s">
        <v>46</v>
      </c>
      <c r="L334" t="s">
        <v>42</v>
      </c>
      <c r="M334">
        <v>1</v>
      </c>
      <c r="N334">
        <v>3</v>
      </c>
      <c r="O334">
        <v>0</v>
      </c>
      <c r="P334" t="s">
        <v>44</v>
      </c>
      <c r="Q334" t="s">
        <v>43</v>
      </c>
      <c r="R334" t="s">
        <v>44</v>
      </c>
      <c r="S334">
        <f t="shared" si="5"/>
        <v>0</v>
      </c>
      <c r="T334" t="s">
        <v>44</v>
      </c>
      <c r="U334" t="s">
        <v>43</v>
      </c>
      <c r="V334" t="s">
        <v>43</v>
      </c>
      <c r="W334" t="s">
        <v>43</v>
      </c>
      <c r="X334" t="s">
        <v>44</v>
      </c>
      <c r="Y334">
        <v>4</v>
      </c>
      <c r="Z334">
        <v>3</v>
      </c>
      <c r="AA334">
        <v>3</v>
      </c>
      <c r="AB334">
        <v>1</v>
      </c>
      <c r="AC334">
        <v>2</v>
      </c>
      <c r="AD334">
        <v>2</v>
      </c>
      <c r="AE334">
        <v>0</v>
      </c>
      <c r="AF334">
        <v>18</v>
      </c>
      <c r="AG334">
        <v>18</v>
      </c>
      <c r="AH334">
        <v>18</v>
      </c>
    </row>
    <row r="335" spans="1:34" x14ac:dyDescent="0.2">
      <c r="A335" t="s">
        <v>34</v>
      </c>
      <c r="B335" t="s">
        <v>35</v>
      </c>
      <c r="C335">
        <v>17</v>
      </c>
      <c r="D335" t="s">
        <v>36</v>
      </c>
      <c r="E335" t="s">
        <v>37</v>
      </c>
      <c r="F335" t="s">
        <v>45</v>
      </c>
      <c r="G335">
        <v>1</v>
      </c>
      <c r="H335">
        <v>1</v>
      </c>
      <c r="I335" t="s">
        <v>49</v>
      </c>
      <c r="J335" t="s">
        <v>40</v>
      </c>
      <c r="K335" t="s">
        <v>52</v>
      </c>
      <c r="L335" t="s">
        <v>42</v>
      </c>
      <c r="M335">
        <v>1</v>
      </c>
      <c r="N335">
        <v>3</v>
      </c>
      <c r="O335">
        <v>0</v>
      </c>
      <c r="P335" t="s">
        <v>44</v>
      </c>
      <c r="Q335" t="s">
        <v>43</v>
      </c>
      <c r="R335" t="s">
        <v>44</v>
      </c>
      <c r="S335">
        <f t="shared" si="5"/>
        <v>0</v>
      </c>
      <c r="T335" t="s">
        <v>44</v>
      </c>
      <c r="U335" t="s">
        <v>43</v>
      </c>
      <c r="V335" t="s">
        <v>43</v>
      </c>
      <c r="W335" t="s">
        <v>43</v>
      </c>
      <c r="X335" t="s">
        <v>44</v>
      </c>
      <c r="Y335">
        <v>4</v>
      </c>
      <c r="Z335">
        <v>3</v>
      </c>
      <c r="AA335">
        <v>3</v>
      </c>
      <c r="AB335">
        <v>1</v>
      </c>
      <c r="AC335">
        <v>1</v>
      </c>
      <c r="AD335">
        <v>3</v>
      </c>
      <c r="AE335">
        <v>0</v>
      </c>
      <c r="AF335">
        <v>13</v>
      </c>
      <c r="AG335">
        <v>13</v>
      </c>
      <c r="AH335">
        <v>14</v>
      </c>
    </row>
    <row r="336" spans="1:34" x14ac:dyDescent="0.2">
      <c r="A336" t="s">
        <v>34</v>
      </c>
      <c r="B336" t="s">
        <v>51</v>
      </c>
      <c r="C336">
        <v>18</v>
      </c>
      <c r="D336" t="s">
        <v>36</v>
      </c>
      <c r="E336" t="s">
        <v>37</v>
      </c>
      <c r="F336" t="s">
        <v>45</v>
      </c>
      <c r="G336">
        <v>2</v>
      </c>
      <c r="H336">
        <v>1</v>
      </c>
      <c r="I336" t="s">
        <v>49</v>
      </c>
      <c r="J336" t="s">
        <v>49</v>
      </c>
      <c r="K336" t="s">
        <v>52</v>
      </c>
      <c r="L336" t="s">
        <v>42</v>
      </c>
      <c r="M336">
        <v>1</v>
      </c>
      <c r="N336">
        <v>3</v>
      </c>
      <c r="O336">
        <v>0</v>
      </c>
      <c r="P336" t="s">
        <v>44</v>
      </c>
      <c r="Q336" t="s">
        <v>44</v>
      </c>
      <c r="R336" t="s">
        <v>44</v>
      </c>
      <c r="S336">
        <f t="shared" si="5"/>
        <v>0</v>
      </c>
      <c r="T336" t="s">
        <v>43</v>
      </c>
      <c r="U336" t="s">
        <v>43</v>
      </c>
      <c r="V336" t="s">
        <v>43</v>
      </c>
      <c r="W336" t="s">
        <v>43</v>
      </c>
      <c r="X336" t="s">
        <v>44</v>
      </c>
      <c r="Y336">
        <v>4</v>
      </c>
      <c r="Z336">
        <v>2</v>
      </c>
      <c r="AA336">
        <v>4</v>
      </c>
      <c r="AB336">
        <v>1</v>
      </c>
      <c r="AC336">
        <v>3</v>
      </c>
      <c r="AD336">
        <v>2</v>
      </c>
      <c r="AE336">
        <v>0</v>
      </c>
      <c r="AF336">
        <v>14</v>
      </c>
      <c r="AG336">
        <v>15</v>
      </c>
      <c r="AH336">
        <v>15</v>
      </c>
    </row>
    <row r="337" spans="1:34" x14ac:dyDescent="0.2">
      <c r="A337" t="s">
        <v>34</v>
      </c>
      <c r="B337" t="s">
        <v>51</v>
      </c>
      <c r="C337">
        <v>18</v>
      </c>
      <c r="D337" t="s">
        <v>36</v>
      </c>
      <c r="E337" t="s">
        <v>48</v>
      </c>
      <c r="F337" t="s">
        <v>38</v>
      </c>
      <c r="G337">
        <v>4</v>
      </c>
      <c r="H337">
        <v>4</v>
      </c>
      <c r="I337" t="s">
        <v>40</v>
      </c>
      <c r="J337" t="s">
        <v>40</v>
      </c>
      <c r="K337" t="s">
        <v>52</v>
      </c>
      <c r="L337" t="s">
        <v>42</v>
      </c>
      <c r="M337">
        <v>1</v>
      </c>
      <c r="N337">
        <v>2</v>
      </c>
      <c r="O337">
        <v>0</v>
      </c>
      <c r="P337" t="s">
        <v>44</v>
      </c>
      <c r="Q337" t="s">
        <v>43</v>
      </c>
      <c r="R337" t="s">
        <v>44</v>
      </c>
      <c r="S337">
        <f t="shared" si="5"/>
        <v>0</v>
      </c>
      <c r="T337" t="s">
        <v>43</v>
      </c>
      <c r="U337" t="s">
        <v>43</v>
      </c>
      <c r="V337" t="s">
        <v>43</v>
      </c>
      <c r="W337" t="s">
        <v>43</v>
      </c>
      <c r="X337" t="s">
        <v>44</v>
      </c>
      <c r="Y337">
        <v>5</v>
      </c>
      <c r="Z337">
        <v>4</v>
      </c>
      <c r="AA337">
        <v>3</v>
      </c>
      <c r="AB337">
        <v>1</v>
      </c>
      <c r="AC337">
        <v>1</v>
      </c>
      <c r="AD337">
        <v>2</v>
      </c>
      <c r="AE337">
        <v>0</v>
      </c>
      <c r="AF337">
        <v>17</v>
      </c>
      <c r="AG337">
        <v>17</v>
      </c>
      <c r="AH337">
        <v>17</v>
      </c>
    </row>
    <row r="338" spans="1:34" x14ac:dyDescent="0.2">
      <c r="A338" t="s">
        <v>34</v>
      </c>
      <c r="B338" t="s">
        <v>51</v>
      </c>
      <c r="C338">
        <v>18</v>
      </c>
      <c r="D338" t="s">
        <v>36</v>
      </c>
      <c r="E338" t="s">
        <v>37</v>
      </c>
      <c r="F338" t="s">
        <v>45</v>
      </c>
      <c r="G338">
        <v>4</v>
      </c>
      <c r="H338">
        <v>2</v>
      </c>
      <c r="I338" t="s">
        <v>40</v>
      </c>
      <c r="J338" t="s">
        <v>46</v>
      </c>
      <c r="K338" t="s">
        <v>50</v>
      </c>
      <c r="L338" t="s">
        <v>42</v>
      </c>
      <c r="M338">
        <v>1</v>
      </c>
      <c r="N338">
        <v>2</v>
      </c>
      <c r="O338">
        <v>0</v>
      </c>
      <c r="P338" t="s">
        <v>44</v>
      </c>
      <c r="Q338" t="s">
        <v>43</v>
      </c>
      <c r="R338" t="s">
        <v>44</v>
      </c>
      <c r="S338">
        <f t="shared" si="5"/>
        <v>0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>
        <v>4</v>
      </c>
      <c r="Z338">
        <v>3</v>
      </c>
      <c r="AA338">
        <v>2</v>
      </c>
      <c r="AB338">
        <v>1</v>
      </c>
      <c r="AC338">
        <v>4</v>
      </c>
      <c r="AD338">
        <v>5</v>
      </c>
      <c r="AE338">
        <v>2</v>
      </c>
      <c r="AF338">
        <v>15</v>
      </c>
      <c r="AG338">
        <v>16</v>
      </c>
      <c r="AH338">
        <v>16</v>
      </c>
    </row>
    <row r="339" spans="1:34" x14ac:dyDescent="0.2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v>4</v>
      </c>
      <c r="H339">
        <v>3</v>
      </c>
      <c r="I339" t="s">
        <v>29</v>
      </c>
      <c r="J339" t="s">
        <v>49</v>
      </c>
      <c r="K339" t="s">
        <v>52</v>
      </c>
      <c r="L339" t="s">
        <v>42</v>
      </c>
      <c r="M339">
        <v>1</v>
      </c>
      <c r="N339">
        <v>3</v>
      </c>
      <c r="O339">
        <v>0</v>
      </c>
      <c r="P339" t="s">
        <v>44</v>
      </c>
      <c r="Q339" t="s">
        <v>43</v>
      </c>
      <c r="R339" t="s">
        <v>44</v>
      </c>
      <c r="S339">
        <f t="shared" si="5"/>
        <v>0</v>
      </c>
      <c r="T339" t="s">
        <v>44</v>
      </c>
      <c r="U339" t="s">
        <v>43</v>
      </c>
      <c r="V339" t="s">
        <v>43</v>
      </c>
      <c r="W339" t="s">
        <v>43</v>
      </c>
      <c r="X339" t="s">
        <v>44</v>
      </c>
      <c r="Y339">
        <v>4</v>
      </c>
      <c r="Z339">
        <v>2</v>
      </c>
      <c r="AA339">
        <v>2</v>
      </c>
      <c r="AB339">
        <v>1</v>
      </c>
      <c r="AC339">
        <v>2</v>
      </c>
      <c r="AD339">
        <v>3</v>
      </c>
      <c r="AE339">
        <v>0</v>
      </c>
      <c r="AF339">
        <v>17</v>
      </c>
      <c r="AG339">
        <v>18</v>
      </c>
      <c r="AH339">
        <v>18</v>
      </c>
    </row>
    <row r="340" spans="1:34" x14ac:dyDescent="0.2">
      <c r="A340" t="s">
        <v>34</v>
      </c>
      <c r="B340" t="s">
        <v>35</v>
      </c>
      <c r="C340">
        <v>17</v>
      </c>
      <c r="D340" t="s">
        <v>53</v>
      </c>
      <c r="E340" t="s">
        <v>48</v>
      </c>
      <c r="F340" t="s">
        <v>45</v>
      </c>
      <c r="G340">
        <v>3</v>
      </c>
      <c r="H340">
        <v>1</v>
      </c>
      <c r="I340" t="s">
        <v>49</v>
      </c>
      <c r="J340" t="s">
        <v>46</v>
      </c>
      <c r="K340" t="s">
        <v>52</v>
      </c>
      <c r="L340" t="s">
        <v>42</v>
      </c>
      <c r="M340">
        <v>2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>
        <f t="shared" si="5"/>
        <v>0</v>
      </c>
      <c r="T340" t="s">
        <v>44</v>
      </c>
      <c r="U340" t="s">
        <v>43</v>
      </c>
      <c r="V340" t="s">
        <v>43</v>
      </c>
      <c r="W340" t="s">
        <v>44</v>
      </c>
      <c r="X340" t="s">
        <v>44</v>
      </c>
      <c r="Y340">
        <v>3</v>
      </c>
      <c r="Z340">
        <v>1</v>
      </c>
      <c r="AA340">
        <v>2</v>
      </c>
      <c r="AB340">
        <v>1</v>
      </c>
      <c r="AC340">
        <v>1</v>
      </c>
      <c r="AD340">
        <v>3</v>
      </c>
      <c r="AE340">
        <v>0</v>
      </c>
      <c r="AF340">
        <v>18</v>
      </c>
      <c r="AG340">
        <v>19</v>
      </c>
      <c r="AH340">
        <v>19</v>
      </c>
    </row>
    <row r="341" spans="1:34" x14ac:dyDescent="0.2">
      <c r="A341" t="s">
        <v>34</v>
      </c>
      <c r="B341" t="s">
        <v>51</v>
      </c>
      <c r="C341">
        <v>18</v>
      </c>
      <c r="D341" t="s">
        <v>53</v>
      </c>
      <c r="E341" t="s">
        <v>48</v>
      </c>
      <c r="F341" t="s">
        <v>45</v>
      </c>
      <c r="G341">
        <v>3</v>
      </c>
      <c r="H341">
        <v>2</v>
      </c>
      <c r="I341" t="s">
        <v>49</v>
      </c>
      <c r="J341" t="s">
        <v>46</v>
      </c>
      <c r="K341" t="s">
        <v>52</v>
      </c>
      <c r="L341" t="s">
        <v>42</v>
      </c>
      <c r="M341">
        <v>2</v>
      </c>
      <c r="N341">
        <v>3</v>
      </c>
      <c r="O341">
        <v>0</v>
      </c>
      <c r="P341" t="s">
        <v>44</v>
      </c>
      <c r="Q341" t="s">
        <v>43</v>
      </c>
      <c r="R341" t="s">
        <v>44</v>
      </c>
      <c r="S341">
        <f t="shared" si="5"/>
        <v>0</v>
      </c>
      <c r="T341" t="s">
        <v>43</v>
      </c>
      <c r="U341" t="s">
        <v>43</v>
      </c>
      <c r="V341" t="s">
        <v>43</v>
      </c>
      <c r="W341" t="s">
        <v>43</v>
      </c>
      <c r="X341" t="s">
        <v>44</v>
      </c>
      <c r="Y341">
        <v>5</v>
      </c>
      <c r="Z341">
        <v>4</v>
      </c>
      <c r="AA341">
        <v>2</v>
      </c>
      <c r="AB341">
        <v>1</v>
      </c>
      <c r="AC341">
        <v>1</v>
      </c>
      <c r="AD341">
        <v>4</v>
      </c>
      <c r="AE341">
        <v>0</v>
      </c>
      <c r="AF341">
        <v>14</v>
      </c>
      <c r="AG341">
        <v>15</v>
      </c>
      <c r="AH341">
        <v>15</v>
      </c>
    </row>
    <row r="342" spans="1:34" x14ac:dyDescent="0.2">
      <c r="A342" t="s">
        <v>34</v>
      </c>
      <c r="B342" t="s">
        <v>51</v>
      </c>
      <c r="C342">
        <v>17</v>
      </c>
      <c r="D342" t="s">
        <v>36</v>
      </c>
      <c r="E342" t="s">
        <v>37</v>
      </c>
      <c r="F342" t="s">
        <v>45</v>
      </c>
      <c r="G342">
        <v>3</v>
      </c>
      <c r="H342">
        <v>3</v>
      </c>
      <c r="I342" t="s">
        <v>29</v>
      </c>
      <c r="J342" t="s">
        <v>46</v>
      </c>
      <c r="K342" t="s">
        <v>50</v>
      </c>
      <c r="L342" t="s">
        <v>42</v>
      </c>
      <c r="M342">
        <v>1</v>
      </c>
      <c r="N342">
        <v>1</v>
      </c>
      <c r="O342">
        <v>0</v>
      </c>
      <c r="P342" t="s">
        <v>44</v>
      </c>
      <c r="Q342" t="s">
        <v>43</v>
      </c>
      <c r="R342" t="s">
        <v>44</v>
      </c>
      <c r="S342">
        <f t="shared" si="5"/>
        <v>0</v>
      </c>
      <c r="T342" t="s">
        <v>44</v>
      </c>
      <c r="U342" t="s">
        <v>43</v>
      </c>
      <c r="V342" t="s">
        <v>43</v>
      </c>
      <c r="W342" t="s">
        <v>43</v>
      </c>
      <c r="X342" t="s">
        <v>44</v>
      </c>
      <c r="Y342">
        <v>4</v>
      </c>
      <c r="Z342">
        <v>4</v>
      </c>
      <c r="AA342">
        <v>3</v>
      </c>
      <c r="AB342">
        <v>1</v>
      </c>
      <c r="AC342">
        <v>3</v>
      </c>
      <c r="AD342">
        <v>5</v>
      </c>
      <c r="AE342">
        <v>0</v>
      </c>
      <c r="AF342">
        <v>14</v>
      </c>
      <c r="AG342">
        <v>15</v>
      </c>
      <c r="AH342">
        <v>15</v>
      </c>
    </row>
    <row r="343" spans="1:34" x14ac:dyDescent="0.2">
      <c r="A343" t="s">
        <v>34</v>
      </c>
      <c r="B343" t="s">
        <v>35</v>
      </c>
      <c r="C343">
        <v>19</v>
      </c>
      <c r="D343" t="s">
        <v>36</v>
      </c>
      <c r="E343" t="s">
        <v>37</v>
      </c>
      <c r="F343" t="s">
        <v>45</v>
      </c>
      <c r="G343">
        <v>4</v>
      </c>
      <c r="H343">
        <v>4</v>
      </c>
      <c r="I343" t="s">
        <v>29</v>
      </c>
      <c r="J343" t="s">
        <v>46</v>
      </c>
      <c r="K343" t="s">
        <v>52</v>
      </c>
      <c r="L343" t="s">
        <v>46</v>
      </c>
      <c r="M343">
        <v>2</v>
      </c>
      <c r="N343">
        <v>2</v>
      </c>
      <c r="O343">
        <v>0</v>
      </c>
      <c r="P343" t="s">
        <v>44</v>
      </c>
      <c r="Q343" t="s">
        <v>43</v>
      </c>
      <c r="R343" t="s">
        <v>44</v>
      </c>
      <c r="S343">
        <f t="shared" si="5"/>
        <v>0</v>
      </c>
      <c r="T343" t="s">
        <v>43</v>
      </c>
      <c r="U343" t="s">
        <v>43</v>
      </c>
      <c r="V343" t="s">
        <v>43</v>
      </c>
      <c r="W343" t="s">
        <v>43</v>
      </c>
      <c r="X343" t="s">
        <v>44</v>
      </c>
      <c r="Y343">
        <v>2</v>
      </c>
      <c r="Z343">
        <v>3</v>
      </c>
      <c r="AA343">
        <v>4</v>
      </c>
      <c r="AB343">
        <v>2</v>
      </c>
      <c r="AC343">
        <v>3</v>
      </c>
      <c r="AD343">
        <v>2</v>
      </c>
      <c r="AE343">
        <v>2</v>
      </c>
      <c r="AF343">
        <v>14</v>
      </c>
      <c r="AG343">
        <v>13</v>
      </c>
      <c r="AH343">
        <v>13</v>
      </c>
    </row>
    <row r="344" spans="1:34" x14ac:dyDescent="0.2">
      <c r="A344" t="s">
        <v>34</v>
      </c>
      <c r="B344" t="s">
        <v>35</v>
      </c>
      <c r="C344">
        <v>18</v>
      </c>
      <c r="D344" t="s">
        <v>36</v>
      </c>
      <c r="E344" t="s">
        <v>48</v>
      </c>
      <c r="F344" t="s">
        <v>45</v>
      </c>
      <c r="G344">
        <v>4</v>
      </c>
      <c r="H344">
        <v>3</v>
      </c>
      <c r="I344" t="s">
        <v>46</v>
      </c>
      <c r="J344" t="s">
        <v>46</v>
      </c>
      <c r="K344" t="s">
        <v>50</v>
      </c>
      <c r="L344" t="s">
        <v>46</v>
      </c>
      <c r="M344">
        <v>2</v>
      </c>
      <c r="N344">
        <v>2</v>
      </c>
      <c r="O344">
        <v>0</v>
      </c>
      <c r="P344" t="s">
        <v>44</v>
      </c>
      <c r="Q344" t="s">
        <v>43</v>
      </c>
      <c r="R344" t="s">
        <v>44</v>
      </c>
      <c r="S344">
        <f t="shared" si="5"/>
        <v>0</v>
      </c>
      <c r="T344" t="s">
        <v>44</v>
      </c>
      <c r="U344" t="s">
        <v>43</v>
      </c>
      <c r="V344" t="s">
        <v>43</v>
      </c>
      <c r="W344" t="s">
        <v>43</v>
      </c>
      <c r="X344" t="s">
        <v>43</v>
      </c>
      <c r="Y344">
        <v>4</v>
      </c>
      <c r="Z344">
        <v>4</v>
      </c>
      <c r="AA344">
        <v>5</v>
      </c>
      <c r="AB344">
        <v>1</v>
      </c>
      <c r="AC344">
        <v>2</v>
      </c>
      <c r="AD344">
        <v>2</v>
      </c>
      <c r="AE344">
        <v>0</v>
      </c>
      <c r="AF344">
        <v>13</v>
      </c>
      <c r="AG344">
        <v>14</v>
      </c>
      <c r="AH344">
        <v>14</v>
      </c>
    </row>
    <row r="345" spans="1:34" x14ac:dyDescent="0.2">
      <c r="A345" t="s">
        <v>34</v>
      </c>
      <c r="B345" t="s">
        <v>35</v>
      </c>
      <c r="C345">
        <v>18</v>
      </c>
      <c r="D345" t="s">
        <v>36</v>
      </c>
      <c r="E345" t="s">
        <v>37</v>
      </c>
      <c r="F345" t="s">
        <v>45</v>
      </c>
      <c r="G345">
        <v>4</v>
      </c>
      <c r="H345">
        <v>3</v>
      </c>
      <c r="I345" t="s">
        <v>46</v>
      </c>
      <c r="J345" t="s">
        <v>46</v>
      </c>
      <c r="K345" t="s">
        <v>52</v>
      </c>
      <c r="L345" t="s">
        <v>47</v>
      </c>
      <c r="M345">
        <v>1</v>
      </c>
      <c r="N345">
        <v>4</v>
      </c>
      <c r="O345">
        <v>0</v>
      </c>
      <c r="P345" t="s">
        <v>44</v>
      </c>
      <c r="Q345" t="s">
        <v>43</v>
      </c>
      <c r="R345" t="s">
        <v>44</v>
      </c>
      <c r="S345">
        <f t="shared" si="5"/>
        <v>0</v>
      </c>
      <c r="T345" t="s">
        <v>44</v>
      </c>
      <c r="U345" t="s">
        <v>43</v>
      </c>
      <c r="V345" t="s">
        <v>43</v>
      </c>
      <c r="W345" t="s">
        <v>43</v>
      </c>
      <c r="X345" t="s">
        <v>44</v>
      </c>
      <c r="Y345">
        <v>4</v>
      </c>
      <c r="Z345">
        <v>3</v>
      </c>
      <c r="AA345">
        <v>3</v>
      </c>
      <c r="AB345">
        <v>1</v>
      </c>
      <c r="AC345">
        <v>1</v>
      </c>
      <c r="AD345">
        <v>3</v>
      </c>
      <c r="AE345">
        <v>0</v>
      </c>
      <c r="AF345">
        <v>16</v>
      </c>
      <c r="AG345">
        <v>17</v>
      </c>
      <c r="AH345">
        <v>17</v>
      </c>
    </row>
    <row r="346" spans="1:34" x14ac:dyDescent="0.2">
      <c r="A346" t="s">
        <v>34</v>
      </c>
      <c r="B346" t="s">
        <v>51</v>
      </c>
      <c r="C346">
        <v>18</v>
      </c>
      <c r="D346" t="s">
        <v>36</v>
      </c>
      <c r="E346" t="s">
        <v>48</v>
      </c>
      <c r="F346" t="s">
        <v>45</v>
      </c>
      <c r="G346">
        <v>4</v>
      </c>
      <c r="H346">
        <v>4</v>
      </c>
      <c r="I346" t="s">
        <v>40</v>
      </c>
      <c r="J346" t="s">
        <v>40</v>
      </c>
      <c r="K346" t="s">
        <v>50</v>
      </c>
      <c r="L346" t="s">
        <v>42</v>
      </c>
      <c r="M346">
        <v>1</v>
      </c>
      <c r="N346">
        <v>1</v>
      </c>
      <c r="O346">
        <v>0</v>
      </c>
      <c r="P346" t="s">
        <v>44</v>
      </c>
      <c r="Q346" t="s">
        <v>43</v>
      </c>
      <c r="R346" t="s">
        <v>44</v>
      </c>
      <c r="S346">
        <f t="shared" si="5"/>
        <v>0</v>
      </c>
      <c r="T346" t="s">
        <v>44</v>
      </c>
      <c r="U346" t="s">
        <v>43</v>
      </c>
      <c r="V346" t="s">
        <v>43</v>
      </c>
      <c r="W346" t="s">
        <v>43</v>
      </c>
      <c r="X346" t="s">
        <v>43</v>
      </c>
      <c r="Y346">
        <v>1</v>
      </c>
      <c r="Z346">
        <v>4</v>
      </c>
      <c r="AA346">
        <v>2</v>
      </c>
      <c r="AB346">
        <v>2</v>
      </c>
      <c r="AC346">
        <v>2</v>
      </c>
      <c r="AD346">
        <v>1</v>
      </c>
      <c r="AE346">
        <v>0</v>
      </c>
      <c r="AF346">
        <v>18</v>
      </c>
      <c r="AG346">
        <v>18</v>
      </c>
      <c r="AH346">
        <v>17</v>
      </c>
    </row>
    <row r="347" spans="1:34" x14ac:dyDescent="0.2">
      <c r="A347" t="s">
        <v>34</v>
      </c>
      <c r="B347" t="s">
        <v>35</v>
      </c>
      <c r="C347">
        <v>18</v>
      </c>
      <c r="D347" t="s">
        <v>36</v>
      </c>
      <c r="E347" t="s">
        <v>48</v>
      </c>
      <c r="F347" t="s">
        <v>38</v>
      </c>
      <c r="G347">
        <v>4</v>
      </c>
      <c r="H347">
        <v>4</v>
      </c>
      <c r="I347" t="s">
        <v>29</v>
      </c>
      <c r="J347" t="s">
        <v>46</v>
      </c>
      <c r="K347" t="s">
        <v>50</v>
      </c>
      <c r="L347" t="s">
        <v>42</v>
      </c>
      <c r="M347">
        <v>1</v>
      </c>
      <c r="N347">
        <v>2</v>
      </c>
      <c r="O347">
        <v>0</v>
      </c>
      <c r="P347" t="s">
        <v>44</v>
      </c>
      <c r="Q347" t="s">
        <v>43</v>
      </c>
      <c r="R347" t="s">
        <v>43</v>
      </c>
      <c r="S347">
        <f t="shared" si="5"/>
        <v>1</v>
      </c>
      <c r="T347" t="s">
        <v>44</v>
      </c>
      <c r="U347" t="s">
        <v>43</v>
      </c>
      <c r="V347" t="s">
        <v>43</v>
      </c>
      <c r="W347" t="s">
        <v>43</v>
      </c>
      <c r="X347" t="s">
        <v>43</v>
      </c>
      <c r="Y347">
        <v>4</v>
      </c>
      <c r="Z347">
        <v>2</v>
      </c>
      <c r="AA347">
        <v>4</v>
      </c>
      <c r="AB347">
        <v>1</v>
      </c>
      <c r="AC347">
        <v>1</v>
      </c>
      <c r="AD347">
        <v>4</v>
      </c>
      <c r="AE347">
        <v>0</v>
      </c>
      <c r="AF347">
        <v>14</v>
      </c>
      <c r="AG347">
        <v>15</v>
      </c>
      <c r="AH347">
        <v>15</v>
      </c>
    </row>
    <row r="348" spans="1:34" x14ac:dyDescent="0.2">
      <c r="A348" t="s">
        <v>34</v>
      </c>
      <c r="B348" t="s">
        <v>51</v>
      </c>
      <c r="C348">
        <v>17</v>
      </c>
      <c r="D348" t="s">
        <v>36</v>
      </c>
      <c r="E348" t="s">
        <v>48</v>
      </c>
      <c r="F348" t="s">
        <v>45</v>
      </c>
      <c r="G348">
        <v>4</v>
      </c>
      <c r="H348">
        <v>4</v>
      </c>
      <c r="I348" t="s">
        <v>46</v>
      </c>
      <c r="J348" t="s">
        <v>40</v>
      </c>
      <c r="K348" t="s">
        <v>50</v>
      </c>
      <c r="L348" t="s">
        <v>47</v>
      </c>
      <c r="M348">
        <v>2</v>
      </c>
      <c r="N348">
        <v>1</v>
      </c>
      <c r="O348">
        <v>0</v>
      </c>
      <c r="P348" t="s">
        <v>44</v>
      </c>
      <c r="Q348" t="s">
        <v>44</v>
      </c>
      <c r="R348" t="s">
        <v>44</v>
      </c>
      <c r="S348">
        <f t="shared" si="5"/>
        <v>0</v>
      </c>
      <c r="T348" t="s">
        <v>44</v>
      </c>
      <c r="U348" t="s">
        <v>43</v>
      </c>
      <c r="V348" t="s">
        <v>43</v>
      </c>
      <c r="W348" t="s">
        <v>43</v>
      </c>
      <c r="X348" t="s">
        <v>44</v>
      </c>
      <c r="Y348">
        <v>4</v>
      </c>
      <c r="Z348">
        <v>1</v>
      </c>
      <c r="AA348">
        <v>1</v>
      </c>
      <c r="AB348">
        <v>2</v>
      </c>
      <c r="AC348">
        <v>2</v>
      </c>
      <c r="AD348">
        <v>5</v>
      </c>
      <c r="AE348">
        <v>0</v>
      </c>
      <c r="AF348">
        <v>12</v>
      </c>
      <c r="AG348">
        <v>13</v>
      </c>
      <c r="AH348">
        <v>13</v>
      </c>
    </row>
    <row r="349" spans="1:34" x14ac:dyDescent="0.2">
      <c r="A349" t="s">
        <v>34</v>
      </c>
      <c r="B349" t="s">
        <v>35</v>
      </c>
      <c r="C349">
        <v>17</v>
      </c>
      <c r="D349" t="s">
        <v>53</v>
      </c>
      <c r="E349" t="s">
        <v>37</v>
      </c>
      <c r="F349" t="s">
        <v>45</v>
      </c>
      <c r="G349">
        <v>4</v>
      </c>
      <c r="H349">
        <v>4</v>
      </c>
      <c r="I349" t="s">
        <v>49</v>
      </c>
      <c r="J349" t="s">
        <v>49</v>
      </c>
      <c r="K349" t="s">
        <v>52</v>
      </c>
      <c r="L349" t="s">
        <v>42</v>
      </c>
      <c r="M349">
        <v>2</v>
      </c>
      <c r="N349">
        <v>3</v>
      </c>
      <c r="O349">
        <v>0</v>
      </c>
      <c r="P349" t="s">
        <v>44</v>
      </c>
      <c r="Q349" t="s">
        <v>43</v>
      </c>
      <c r="R349" t="s">
        <v>44</v>
      </c>
      <c r="S349">
        <f t="shared" si="5"/>
        <v>0</v>
      </c>
      <c r="T349" t="s">
        <v>43</v>
      </c>
      <c r="U349" t="s">
        <v>43</v>
      </c>
      <c r="V349" t="s">
        <v>43</v>
      </c>
      <c r="W349" t="s">
        <v>43</v>
      </c>
      <c r="X349" t="s">
        <v>44</v>
      </c>
      <c r="Y349">
        <v>5</v>
      </c>
      <c r="Z349">
        <v>3</v>
      </c>
      <c r="AA349">
        <v>4</v>
      </c>
      <c r="AB349">
        <v>1</v>
      </c>
      <c r="AC349">
        <v>1</v>
      </c>
      <c r="AD349">
        <v>5</v>
      </c>
      <c r="AE349">
        <v>0</v>
      </c>
      <c r="AF349">
        <v>7</v>
      </c>
      <c r="AG349">
        <v>7</v>
      </c>
      <c r="AH349">
        <v>8</v>
      </c>
    </row>
    <row r="350" spans="1:34" x14ac:dyDescent="0.2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v>4</v>
      </c>
      <c r="H350">
        <v>2</v>
      </c>
      <c r="I350" t="s">
        <v>46</v>
      </c>
      <c r="J350" t="s">
        <v>46</v>
      </c>
      <c r="K350" t="s">
        <v>52</v>
      </c>
      <c r="L350" t="s">
        <v>42</v>
      </c>
      <c r="M350">
        <v>2</v>
      </c>
      <c r="N350">
        <v>3</v>
      </c>
      <c r="O350">
        <v>0</v>
      </c>
      <c r="P350" t="s">
        <v>44</v>
      </c>
      <c r="Q350" t="s">
        <v>43</v>
      </c>
      <c r="R350" t="s">
        <v>44</v>
      </c>
      <c r="S350">
        <f t="shared" si="5"/>
        <v>0</v>
      </c>
      <c r="T350" t="s">
        <v>44</v>
      </c>
      <c r="U350" t="s">
        <v>43</v>
      </c>
      <c r="V350" t="s">
        <v>43</v>
      </c>
      <c r="W350" t="s">
        <v>43</v>
      </c>
      <c r="X350" t="s">
        <v>44</v>
      </c>
      <c r="Y350">
        <v>4</v>
      </c>
      <c r="Z350">
        <v>3</v>
      </c>
      <c r="AA350">
        <v>3</v>
      </c>
      <c r="AB350">
        <v>1</v>
      </c>
      <c r="AC350">
        <v>1</v>
      </c>
      <c r="AD350">
        <v>3</v>
      </c>
      <c r="AE350">
        <v>0</v>
      </c>
      <c r="AF350">
        <v>16</v>
      </c>
      <c r="AG350">
        <v>16</v>
      </c>
      <c r="AH350">
        <v>16</v>
      </c>
    </row>
    <row r="351" spans="1:34" x14ac:dyDescent="0.2">
      <c r="A351" t="s">
        <v>34</v>
      </c>
      <c r="B351" t="s">
        <v>35</v>
      </c>
      <c r="C351">
        <v>17</v>
      </c>
      <c r="D351" t="s">
        <v>36</v>
      </c>
      <c r="E351" t="s">
        <v>37</v>
      </c>
      <c r="F351" t="s">
        <v>45</v>
      </c>
      <c r="G351">
        <v>3</v>
      </c>
      <c r="H351">
        <v>2</v>
      </c>
      <c r="I351" t="s">
        <v>29</v>
      </c>
      <c r="J351" t="s">
        <v>29</v>
      </c>
      <c r="K351" t="s">
        <v>52</v>
      </c>
      <c r="L351" t="s">
        <v>47</v>
      </c>
      <c r="M351">
        <v>1</v>
      </c>
      <c r="N351">
        <v>4</v>
      </c>
      <c r="O351">
        <v>0</v>
      </c>
      <c r="P351" t="s">
        <v>44</v>
      </c>
      <c r="Q351" t="s">
        <v>43</v>
      </c>
      <c r="R351" t="s">
        <v>44</v>
      </c>
      <c r="S351">
        <f t="shared" si="5"/>
        <v>0</v>
      </c>
      <c r="T351" t="s">
        <v>43</v>
      </c>
      <c r="U351" t="s">
        <v>44</v>
      </c>
      <c r="V351" t="s">
        <v>43</v>
      </c>
      <c r="W351" t="s">
        <v>43</v>
      </c>
      <c r="X351" t="s">
        <v>44</v>
      </c>
      <c r="Y351">
        <v>5</v>
      </c>
      <c r="Z351">
        <v>2</v>
      </c>
      <c r="AA351">
        <v>2</v>
      </c>
      <c r="AB351">
        <v>1</v>
      </c>
      <c r="AC351">
        <v>2</v>
      </c>
      <c r="AD351">
        <v>5</v>
      </c>
      <c r="AE351">
        <v>0</v>
      </c>
      <c r="AF351">
        <v>18</v>
      </c>
      <c r="AG351">
        <v>18</v>
      </c>
      <c r="AH351">
        <v>18</v>
      </c>
    </row>
    <row r="352" spans="1:34" x14ac:dyDescent="0.2">
      <c r="A352" t="s">
        <v>34</v>
      </c>
      <c r="B352" t="s">
        <v>51</v>
      </c>
      <c r="C352">
        <v>19</v>
      </c>
      <c r="D352" t="s">
        <v>53</v>
      </c>
      <c r="E352" t="s">
        <v>48</v>
      </c>
      <c r="F352" t="s">
        <v>45</v>
      </c>
      <c r="G352">
        <v>2</v>
      </c>
      <c r="H352">
        <v>1</v>
      </c>
      <c r="I352" t="s">
        <v>39</v>
      </c>
      <c r="J352" t="s">
        <v>49</v>
      </c>
      <c r="K352" t="s">
        <v>41</v>
      </c>
      <c r="L352" t="s">
        <v>42</v>
      </c>
      <c r="M352">
        <v>2</v>
      </c>
      <c r="N352">
        <v>3</v>
      </c>
      <c r="O352">
        <v>1</v>
      </c>
      <c r="P352" t="s">
        <v>44</v>
      </c>
      <c r="Q352" t="s">
        <v>44</v>
      </c>
      <c r="R352" t="s">
        <v>44</v>
      </c>
      <c r="S352">
        <f t="shared" si="5"/>
        <v>0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>
        <v>4</v>
      </c>
      <c r="Z352">
        <v>3</v>
      </c>
      <c r="AA352">
        <v>1</v>
      </c>
      <c r="AB352">
        <v>1</v>
      </c>
      <c r="AC352">
        <v>1</v>
      </c>
      <c r="AD352">
        <v>5</v>
      </c>
      <c r="AE352">
        <v>0</v>
      </c>
      <c r="AF352">
        <v>9</v>
      </c>
      <c r="AG352">
        <v>10</v>
      </c>
      <c r="AH352">
        <v>11</v>
      </c>
    </row>
    <row r="353" spans="1:34" x14ac:dyDescent="0.2">
      <c r="A353" t="s">
        <v>34</v>
      </c>
      <c r="B353" t="s">
        <v>51</v>
      </c>
      <c r="C353">
        <v>20</v>
      </c>
      <c r="D353" t="s">
        <v>36</v>
      </c>
      <c r="E353" t="s">
        <v>37</v>
      </c>
      <c r="F353" t="s">
        <v>38</v>
      </c>
      <c r="G353">
        <v>3</v>
      </c>
      <c r="H353">
        <v>2</v>
      </c>
      <c r="I353" t="s">
        <v>49</v>
      </c>
      <c r="J353" t="s">
        <v>46</v>
      </c>
      <c r="K353" t="s">
        <v>41</v>
      </c>
      <c r="L353" t="s">
        <v>46</v>
      </c>
      <c r="M353">
        <v>1</v>
      </c>
      <c r="N353">
        <v>1</v>
      </c>
      <c r="O353">
        <v>2</v>
      </c>
      <c r="P353" t="s">
        <v>44</v>
      </c>
      <c r="Q353" t="s">
        <v>44</v>
      </c>
      <c r="R353" t="s">
        <v>44</v>
      </c>
      <c r="S353">
        <f t="shared" si="5"/>
        <v>0</v>
      </c>
      <c r="T353" t="s">
        <v>43</v>
      </c>
      <c r="U353" t="s">
        <v>43</v>
      </c>
      <c r="V353" t="s">
        <v>43</v>
      </c>
      <c r="W353" t="s">
        <v>44</v>
      </c>
      <c r="X353" t="s">
        <v>44</v>
      </c>
      <c r="Y353">
        <v>5</v>
      </c>
      <c r="Z353">
        <v>5</v>
      </c>
      <c r="AA353">
        <v>3</v>
      </c>
      <c r="AB353">
        <v>1</v>
      </c>
      <c r="AC353">
        <v>1</v>
      </c>
      <c r="AD353">
        <v>5</v>
      </c>
      <c r="AE353">
        <v>0</v>
      </c>
      <c r="AF353">
        <v>14</v>
      </c>
      <c r="AG353">
        <v>15</v>
      </c>
      <c r="AH353">
        <v>15</v>
      </c>
    </row>
    <row r="354" spans="1:34" x14ac:dyDescent="0.2">
      <c r="A354" t="s">
        <v>34</v>
      </c>
      <c r="B354" t="s">
        <v>51</v>
      </c>
      <c r="C354">
        <v>19</v>
      </c>
      <c r="D354" t="s">
        <v>53</v>
      </c>
      <c r="E354" t="s">
        <v>37</v>
      </c>
      <c r="F354" t="s">
        <v>45</v>
      </c>
      <c r="G354">
        <v>3</v>
      </c>
      <c r="H354">
        <v>3</v>
      </c>
      <c r="I354" t="s">
        <v>46</v>
      </c>
      <c r="J354" t="s">
        <v>49</v>
      </c>
      <c r="K354" t="s">
        <v>52</v>
      </c>
      <c r="L354" t="s">
        <v>47</v>
      </c>
      <c r="M354">
        <v>1</v>
      </c>
      <c r="N354">
        <v>2</v>
      </c>
      <c r="O354">
        <v>0</v>
      </c>
      <c r="P354" t="s">
        <v>44</v>
      </c>
      <c r="Q354" t="s">
        <v>44</v>
      </c>
      <c r="R354" t="s">
        <v>44</v>
      </c>
      <c r="S354">
        <f t="shared" si="5"/>
        <v>0</v>
      </c>
      <c r="T354" t="s">
        <v>43</v>
      </c>
      <c r="U354" t="s">
        <v>43</v>
      </c>
      <c r="V354" t="s">
        <v>43</v>
      </c>
      <c r="W354" t="s">
        <v>44</v>
      </c>
      <c r="X354" t="s">
        <v>43</v>
      </c>
      <c r="Y354">
        <v>4</v>
      </c>
      <c r="Z354">
        <v>5</v>
      </c>
      <c r="AA354">
        <v>3</v>
      </c>
      <c r="AB354">
        <v>1</v>
      </c>
      <c r="AC354">
        <v>2</v>
      </c>
      <c r="AD354">
        <v>5</v>
      </c>
      <c r="AE354">
        <v>0</v>
      </c>
      <c r="AF354">
        <v>10</v>
      </c>
      <c r="AG354">
        <v>10</v>
      </c>
      <c r="AH354">
        <v>11</v>
      </c>
    </row>
    <row r="355" spans="1:34" x14ac:dyDescent="0.2">
      <c r="A355" t="s">
        <v>34</v>
      </c>
      <c r="B355" t="s">
        <v>35</v>
      </c>
      <c r="C355">
        <v>18</v>
      </c>
      <c r="D355" t="s">
        <v>36</v>
      </c>
      <c r="E355" t="s">
        <v>37</v>
      </c>
      <c r="F355" t="s">
        <v>45</v>
      </c>
      <c r="G355">
        <v>1</v>
      </c>
      <c r="H355">
        <v>4</v>
      </c>
      <c r="I355" t="s">
        <v>46</v>
      </c>
      <c r="J355" t="s">
        <v>40</v>
      </c>
      <c r="K355" t="s">
        <v>50</v>
      </c>
      <c r="L355" t="s">
        <v>42</v>
      </c>
      <c r="M355">
        <v>1</v>
      </c>
      <c r="N355">
        <v>2</v>
      </c>
      <c r="O355">
        <v>0</v>
      </c>
      <c r="P355" t="s">
        <v>43</v>
      </c>
      <c r="Q355" t="s">
        <v>43</v>
      </c>
      <c r="R355" t="s">
        <v>44</v>
      </c>
      <c r="S355">
        <f t="shared" si="5"/>
        <v>0</v>
      </c>
      <c r="T355" t="s">
        <v>44</v>
      </c>
      <c r="U355" t="s">
        <v>44</v>
      </c>
      <c r="V355" t="s">
        <v>43</v>
      </c>
      <c r="W355" t="s">
        <v>44</v>
      </c>
      <c r="X355" t="s">
        <v>43</v>
      </c>
      <c r="Y355">
        <v>3</v>
      </c>
      <c r="Z355">
        <v>4</v>
      </c>
      <c r="AA355">
        <v>4</v>
      </c>
      <c r="AB355">
        <v>1</v>
      </c>
      <c r="AC355">
        <v>2</v>
      </c>
      <c r="AD355">
        <v>5</v>
      </c>
      <c r="AE355">
        <v>2</v>
      </c>
      <c r="AF355">
        <v>10</v>
      </c>
      <c r="AG355">
        <v>10</v>
      </c>
      <c r="AH355">
        <v>11</v>
      </c>
    </row>
    <row r="356" spans="1:34" x14ac:dyDescent="0.2">
      <c r="A356" t="s">
        <v>34</v>
      </c>
      <c r="B356" t="s">
        <v>35</v>
      </c>
      <c r="C356">
        <v>18</v>
      </c>
      <c r="D356" t="s">
        <v>36</v>
      </c>
      <c r="E356" t="s">
        <v>37</v>
      </c>
      <c r="F356" t="s">
        <v>45</v>
      </c>
      <c r="G356">
        <v>2</v>
      </c>
      <c r="H356">
        <v>1</v>
      </c>
      <c r="I356" t="s">
        <v>49</v>
      </c>
      <c r="J356" t="s">
        <v>46</v>
      </c>
      <c r="K356" t="s">
        <v>41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44</v>
      </c>
      <c r="S356">
        <f t="shared" si="5"/>
        <v>0</v>
      </c>
      <c r="T356" t="s">
        <v>43</v>
      </c>
      <c r="U356" t="s">
        <v>43</v>
      </c>
      <c r="V356" t="s">
        <v>43</v>
      </c>
      <c r="W356" t="s">
        <v>43</v>
      </c>
      <c r="X356" t="s">
        <v>44</v>
      </c>
      <c r="Y356">
        <v>5</v>
      </c>
      <c r="Z356">
        <v>3</v>
      </c>
      <c r="AA356">
        <v>3</v>
      </c>
      <c r="AB356">
        <v>1</v>
      </c>
      <c r="AC356">
        <v>2</v>
      </c>
      <c r="AD356">
        <v>1</v>
      </c>
      <c r="AE356">
        <v>2</v>
      </c>
      <c r="AF356">
        <v>12</v>
      </c>
      <c r="AG356">
        <v>12</v>
      </c>
      <c r="AH356">
        <v>15</v>
      </c>
    </row>
    <row r="357" spans="1:34" x14ac:dyDescent="0.2">
      <c r="A357" t="s">
        <v>34</v>
      </c>
      <c r="B357" t="s">
        <v>35</v>
      </c>
      <c r="C357">
        <v>17</v>
      </c>
      <c r="D357" t="s">
        <v>36</v>
      </c>
      <c r="E357" t="s">
        <v>37</v>
      </c>
      <c r="F357" t="s">
        <v>45</v>
      </c>
      <c r="G357">
        <v>2</v>
      </c>
      <c r="H357">
        <v>3</v>
      </c>
      <c r="I357" t="s">
        <v>46</v>
      </c>
      <c r="J357" t="s">
        <v>46</v>
      </c>
      <c r="K357" t="s">
        <v>41</v>
      </c>
      <c r="L357" t="s">
        <v>47</v>
      </c>
      <c r="M357">
        <v>2</v>
      </c>
      <c r="N357">
        <v>2</v>
      </c>
      <c r="O357">
        <v>0</v>
      </c>
      <c r="P357" t="s">
        <v>44</v>
      </c>
      <c r="Q357" t="s">
        <v>44</v>
      </c>
      <c r="R357" t="s">
        <v>44</v>
      </c>
      <c r="S357">
        <f t="shared" si="5"/>
        <v>0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>
        <v>4</v>
      </c>
      <c r="Z357">
        <v>2</v>
      </c>
      <c r="AA357">
        <v>1</v>
      </c>
      <c r="AB357">
        <v>1</v>
      </c>
      <c r="AC357">
        <v>1</v>
      </c>
      <c r="AD357">
        <v>3</v>
      </c>
      <c r="AE357">
        <v>2</v>
      </c>
      <c r="AF357">
        <v>11</v>
      </c>
      <c r="AG357">
        <v>12</v>
      </c>
      <c r="AH357">
        <v>14</v>
      </c>
    </row>
    <row r="358" spans="1:34" x14ac:dyDescent="0.2">
      <c r="A358" t="s">
        <v>34</v>
      </c>
      <c r="B358" t="s">
        <v>35</v>
      </c>
      <c r="C358">
        <v>17</v>
      </c>
      <c r="D358" t="s">
        <v>53</v>
      </c>
      <c r="E358" t="s">
        <v>37</v>
      </c>
      <c r="F358" t="s">
        <v>45</v>
      </c>
      <c r="G358">
        <v>4</v>
      </c>
      <c r="H358">
        <v>4</v>
      </c>
      <c r="I358" t="s">
        <v>40</v>
      </c>
      <c r="J358" t="s">
        <v>40</v>
      </c>
      <c r="K358" t="s">
        <v>41</v>
      </c>
      <c r="L358" t="s">
        <v>42</v>
      </c>
      <c r="M358">
        <v>1</v>
      </c>
      <c r="N358">
        <v>1</v>
      </c>
      <c r="O358">
        <v>0</v>
      </c>
      <c r="P358" t="s">
        <v>44</v>
      </c>
      <c r="Q358" t="s">
        <v>44</v>
      </c>
      <c r="R358" t="s">
        <v>44</v>
      </c>
      <c r="S358">
        <f t="shared" si="5"/>
        <v>0</v>
      </c>
      <c r="T358" t="s">
        <v>43</v>
      </c>
      <c r="U358" t="s">
        <v>43</v>
      </c>
      <c r="V358" t="s">
        <v>43</v>
      </c>
      <c r="W358" t="s">
        <v>43</v>
      </c>
      <c r="X358" t="s">
        <v>44</v>
      </c>
      <c r="Y358">
        <v>4</v>
      </c>
      <c r="Z358">
        <v>4</v>
      </c>
      <c r="AA358">
        <v>4</v>
      </c>
      <c r="AB358">
        <v>1</v>
      </c>
      <c r="AC358">
        <v>1</v>
      </c>
      <c r="AD358">
        <v>5</v>
      </c>
      <c r="AE358">
        <v>2</v>
      </c>
      <c r="AF358">
        <v>15</v>
      </c>
      <c r="AG358">
        <v>16</v>
      </c>
      <c r="AH358">
        <v>17</v>
      </c>
    </row>
    <row r="359" spans="1:34" x14ac:dyDescent="0.2">
      <c r="A359" t="s">
        <v>34</v>
      </c>
      <c r="B359" t="s">
        <v>35</v>
      </c>
      <c r="C359">
        <v>18</v>
      </c>
      <c r="D359" t="s">
        <v>36</v>
      </c>
      <c r="E359" t="s">
        <v>37</v>
      </c>
      <c r="F359" t="s">
        <v>45</v>
      </c>
      <c r="G359">
        <v>4</v>
      </c>
      <c r="H359">
        <v>3</v>
      </c>
      <c r="I359" t="s">
        <v>46</v>
      </c>
      <c r="J359" t="s">
        <v>46</v>
      </c>
      <c r="K359" t="s">
        <v>41</v>
      </c>
      <c r="L359" t="s">
        <v>42</v>
      </c>
      <c r="M359">
        <v>1</v>
      </c>
      <c r="N359">
        <v>3</v>
      </c>
      <c r="O359">
        <v>0</v>
      </c>
      <c r="P359" t="s">
        <v>44</v>
      </c>
      <c r="Q359" t="s">
        <v>43</v>
      </c>
      <c r="R359" t="s">
        <v>44</v>
      </c>
      <c r="S359">
        <f t="shared" si="5"/>
        <v>0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>
        <v>4</v>
      </c>
      <c r="Z359">
        <v>3</v>
      </c>
      <c r="AA359">
        <v>4</v>
      </c>
      <c r="AB359">
        <v>1</v>
      </c>
      <c r="AC359">
        <v>1</v>
      </c>
      <c r="AD359">
        <v>5</v>
      </c>
      <c r="AE359">
        <v>2</v>
      </c>
      <c r="AF359">
        <v>14</v>
      </c>
      <c r="AG359">
        <v>15</v>
      </c>
      <c r="AH359">
        <v>17</v>
      </c>
    </row>
    <row r="360" spans="1:34" x14ac:dyDescent="0.2">
      <c r="A360" t="s">
        <v>34</v>
      </c>
      <c r="B360" t="s">
        <v>35</v>
      </c>
      <c r="C360">
        <v>18</v>
      </c>
      <c r="D360" t="s">
        <v>36</v>
      </c>
      <c r="E360" t="s">
        <v>48</v>
      </c>
      <c r="F360" t="s">
        <v>45</v>
      </c>
      <c r="G360">
        <v>4</v>
      </c>
      <c r="H360">
        <v>3</v>
      </c>
      <c r="I360" t="s">
        <v>29</v>
      </c>
      <c r="J360" t="s">
        <v>49</v>
      </c>
      <c r="K360" t="s">
        <v>41</v>
      </c>
      <c r="L360" t="s">
        <v>42</v>
      </c>
      <c r="M360">
        <v>2</v>
      </c>
      <c r="N360">
        <v>1</v>
      </c>
      <c r="O360">
        <v>0</v>
      </c>
      <c r="P360" t="s">
        <v>44</v>
      </c>
      <c r="Q360" t="s">
        <v>43</v>
      </c>
      <c r="R360" t="s">
        <v>44</v>
      </c>
      <c r="S360">
        <f t="shared" si="5"/>
        <v>0</v>
      </c>
      <c r="T360" t="s">
        <v>44</v>
      </c>
      <c r="U360" t="s">
        <v>43</v>
      </c>
      <c r="V360" t="s">
        <v>43</v>
      </c>
      <c r="W360" t="s">
        <v>43</v>
      </c>
      <c r="X360" t="s">
        <v>44</v>
      </c>
      <c r="Y360">
        <v>3</v>
      </c>
      <c r="Z360">
        <v>2</v>
      </c>
      <c r="AA360">
        <v>4</v>
      </c>
      <c r="AB360">
        <v>1</v>
      </c>
      <c r="AC360">
        <v>4</v>
      </c>
      <c r="AD360">
        <v>1</v>
      </c>
      <c r="AE360">
        <v>8</v>
      </c>
      <c r="AF360">
        <v>12</v>
      </c>
      <c r="AG360">
        <v>12</v>
      </c>
      <c r="AH360">
        <v>15</v>
      </c>
    </row>
    <row r="361" spans="1:34" x14ac:dyDescent="0.2">
      <c r="A361" t="s">
        <v>34</v>
      </c>
      <c r="B361" t="s">
        <v>35</v>
      </c>
      <c r="C361">
        <v>17</v>
      </c>
      <c r="D361" t="s">
        <v>53</v>
      </c>
      <c r="E361" t="s">
        <v>37</v>
      </c>
      <c r="F361" t="s">
        <v>45</v>
      </c>
      <c r="G361">
        <v>3</v>
      </c>
      <c r="H361">
        <v>4</v>
      </c>
      <c r="I361" t="s">
        <v>39</v>
      </c>
      <c r="J361" t="s">
        <v>49</v>
      </c>
      <c r="K361" t="s">
        <v>41</v>
      </c>
      <c r="L361" t="s">
        <v>47</v>
      </c>
      <c r="M361">
        <v>1</v>
      </c>
      <c r="N361">
        <v>3</v>
      </c>
      <c r="O361">
        <v>0</v>
      </c>
      <c r="P361" t="s">
        <v>44</v>
      </c>
      <c r="Q361" t="s">
        <v>43</v>
      </c>
      <c r="R361" t="s">
        <v>44</v>
      </c>
      <c r="S361">
        <f t="shared" si="5"/>
        <v>0</v>
      </c>
      <c r="T361" t="s">
        <v>43</v>
      </c>
      <c r="U361" t="s">
        <v>44</v>
      </c>
      <c r="V361" t="s">
        <v>43</v>
      </c>
      <c r="W361" t="s">
        <v>43</v>
      </c>
      <c r="X361" t="s">
        <v>44</v>
      </c>
      <c r="Y361">
        <v>4</v>
      </c>
      <c r="Z361">
        <v>3</v>
      </c>
      <c r="AA361">
        <v>4</v>
      </c>
      <c r="AB361">
        <v>2</v>
      </c>
      <c r="AC361">
        <v>5</v>
      </c>
      <c r="AD361">
        <v>5</v>
      </c>
      <c r="AE361">
        <v>2</v>
      </c>
      <c r="AF361">
        <v>15</v>
      </c>
      <c r="AG361">
        <v>15</v>
      </c>
      <c r="AH361">
        <v>17</v>
      </c>
    </row>
    <row r="362" spans="1:34" x14ac:dyDescent="0.2">
      <c r="A362" t="s">
        <v>34</v>
      </c>
      <c r="B362" t="s">
        <v>35</v>
      </c>
      <c r="C362">
        <v>18</v>
      </c>
      <c r="D362" t="s">
        <v>36</v>
      </c>
      <c r="E362" t="s">
        <v>37</v>
      </c>
      <c r="F362" t="s">
        <v>45</v>
      </c>
      <c r="G362">
        <v>3</v>
      </c>
      <c r="H362">
        <v>3</v>
      </c>
      <c r="I362" t="s">
        <v>39</v>
      </c>
      <c r="J362" t="s">
        <v>46</v>
      </c>
      <c r="K362" t="s">
        <v>41</v>
      </c>
      <c r="L362" t="s">
        <v>47</v>
      </c>
      <c r="M362">
        <v>1</v>
      </c>
      <c r="N362">
        <v>2</v>
      </c>
      <c r="O362">
        <v>0</v>
      </c>
      <c r="P362" t="s">
        <v>44</v>
      </c>
      <c r="Q362" t="s">
        <v>43</v>
      </c>
      <c r="R362" t="s">
        <v>44</v>
      </c>
      <c r="S362">
        <f t="shared" si="5"/>
        <v>0</v>
      </c>
      <c r="T362" t="s">
        <v>44</v>
      </c>
      <c r="U362" t="s">
        <v>43</v>
      </c>
      <c r="V362" t="s">
        <v>43</v>
      </c>
      <c r="W362" t="s">
        <v>43</v>
      </c>
      <c r="X362" t="s">
        <v>44</v>
      </c>
      <c r="Y362">
        <v>4</v>
      </c>
      <c r="Z362">
        <v>1</v>
      </c>
      <c r="AA362">
        <v>4</v>
      </c>
      <c r="AB362">
        <v>1</v>
      </c>
      <c r="AC362">
        <v>1</v>
      </c>
      <c r="AD362">
        <v>3</v>
      </c>
      <c r="AE362">
        <v>8</v>
      </c>
      <c r="AF362">
        <v>11</v>
      </c>
      <c r="AG362">
        <v>12</v>
      </c>
      <c r="AH362">
        <v>14</v>
      </c>
    </row>
    <row r="363" spans="1:34" x14ac:dyDescent="0.2">
      <c r="A363" t="s">
        <v>34</v>
      </c>
      <c r="B363" t="s">
        <v>51</v>
      </c>
      <c r="C363">
        <v>19</v>
      </c>
      <c r="D363" t="s">
        <v>36</v>
      </c>
      <c r="E363" t="s">
        <v>37</v>
      </c>
      <c r="F363" t="s">
        <v>45</v>
      </c>
      <c r="G363">
        <v>4</v>
      </c>
      <c r="H363">
        <v>2</v>
      </c>
      <c r="I363" t="s">
        <v>29</v>
      </c>
      <c r="J363" t="s">
        <v>46</v>
      </c>
      <c r="K363" t="s">
        <v>41</v>
      </c>
      <c r="L363" t="s">
        <v>42</v>
      </c>
      <c r="M363">
        <v>2</v>
      </c>
      <c r="N363">
        <v>2</v>
      </c>
      <c r="O363">
        <v>0</v>
      </c>
      <c r="P363" t="s">
        <v>44</v>
      </c>
      <c r="Q363" t="s">
        <v>43</v>
      </c>
      <c r="R363" t="s">
        <v>44</v>
      </c>
      <c r="S363">
        <f t="shared" si="5"/>
        <v>0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>
        <v>5</v>
      </c>
      <c r="Z363">
        <v>4</v>
      </c>
      <c r="AA363">
        <v>4</v>
      </c>
      <c r="AB363">
        <v>1</v>
      </c>
      <c r="AC363">
        <v>1</v>
      </c>
      <c r="AD363">
        <v>1</v>
      </c>
      <c r="AE363">
        <v>9</v>
      </c>
      <c r="AF363">
        <v>11</v>
      </c>
      <c r="AG363">
        <v>10</v>
      </c>
      <c r="AH363">
        <v>10</v>
      </c>
    </row>
    <row r="364" spans="1:34" x14ac:dyDescent="0.2">
      <c r="A364" t="s">
        <v>34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v>4</v>
      </c>
      <c r="H364">
        <v>4</v>
      </c>
      <c r="I364" t="s">
        <v>40</v>
      </c>
      <c r="J364" t="s">
        <v>46</v>
      </c>
      <c r="K364" t="s">
        <v>41</v>
      </c>
      <c r="L364" t="s">
        <v>42</v>
      </c>
      <c r="M364">
        <v>1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>
        <f t="shared" si="5"/>
        <v>0</v>
      </c>
      <c r="T364" t="s">
        <v>44</v>
      </c>
      <c r="U364" t="s">
        <v>43</v>
      </c>
      <c r="V364" t="s">
        <v>43</v>
      </c>
      <c r="W364" t="s">
        <v>43</v>
      </c>
      <c r="X364" t="s">
        <v>44</v>
      </c>
      <c r="Y364">
        <v>4</v>
      </c>
      <c r="Z364">
        <v>4</v>
      </c>
      <c r="AA364">
        <v>4</v>
      </c>
      <c r="AB364">
        <v>3</v>
      </c>
      <c r="AC364">
        <v>3</v>
      </c>
      <c r="AD364">
        <v>5</v>
      </c>
      <c r="AE364">
        <v>0</v>
      </c>
      <c r="AF364">
        <v>12</v>
      </c>
      <c r="AG364">
        <v>11</v>
      </c>
      <c r="AH364">
        <v>13</v>
      </c>
    </row>
    <row r="365" spans="1:34" x14ac:dyDescent="0.2">
      <c r="A365" t="s">
        <v>34</v>
      </c>
      <c r="B365" t="s">
        <v>35</v>
      </c>
      <c r="C365">
        <v>18</v>
      </c>
      <c r="D365" t="s">
        <v>36</v>
      </c>
      <c r="E365" t="s">
        <v>37</v>
      </c>
      <c r="F365" t="s">
        <v>45</v>
      </c>
      <c r="G365">
        <v>3</v>
      </c>
      <c r="H365">
        <v>4</v>
      </c>
      <c r="I365" t="s">
        <v>46</v>
      </c>
      <c r="J365" t="s">
        <v>46</v>
      </c>
      <c r="K365" t="s">
        <v>41</v>
      </c>
      <c r="L365" t="s">
        <v>42</v>
      </c>
      <c r="M365">
        <v>1</v>
      </c>
      <c r="N365">
        <v>1</v>
      </c>
      <c r="O365">
        <v>0</v>
      </c>
      <c r="P365" t="s">
        <v>44</v>
      </c>
      <c r="Q365" t="s">
        <v>43</v>
      </c>
      <c r="R365" t="s">
        <v>44</v>
      </c>
      <c r="S365">
        <f t="shared" si="5"/>
        <v>0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>
        <v>5</v>
      </c>
      <c r="Z365">
        <v>4</v>
      </c>
      <c r="AA365">
        <v>4</v>
      </c>
      <c r="AB365">
        <v>1</v>
      </c>
      <c r="AC365">
        <v>1</v>
      </c>
      <c r="AD365">
        <v>1</v>
      </c>
      <c r="AE365">
        <v>4</v>
      </c>
      <c r="AF365">
        <v>11</v>
      </c>
      <c r="AG365">
        <v>12</v>
      </c>
      <c r="AH365">
        <v>14</v>
      </c>
    </row>
    <row r="366" spans="1:34" x14ac:dyDescent="0.2">
      <c r="A366" t="s">
        <v>34</v>
      </c>
      <c r="B366" t="s">
        <v>35</v>
      </c>
      <c r="C366">
        <v>17</v>
      </c>
      <c r="D366" t="s">
        <v>36</v>
      </c>
      <c r="E366" t="s">
        <v>37</v>
      </c>
      <c r="F366" t="s">
        <v>45</v>
      </c>
      <c r="G366">
        <v>4</v>
      </c>
      <c r="H366">
        <v>4</v>
      </c>
      <c r="I366" t="s">
        <v>29</v>
      </c>
      <c r="J366" t="s">
        <v>29</v>
      </c>
      <c r="K366" t="s">
        <v>41</v>
      </c>
      <c r="L366" t="s">
        <v>42</v>
      </c>
      <c r="M366">
        <v>1</v>
      </c>
      <c r="N366">
        <v>1</v>
      </c>
      <c r="O366">
        <v>0</v>
      </c>
      <c r="P366" t="s">
        <v>44</v>
      </c>
      <c r="Q366" t="s">
        <v>44</v>
      </c>
      <c r="R366" t="s">
        <v>44</v>
      </c>
      <c r="S366">
        <f t="shared" si="5"/>
        <v>0</v>
      </c>
      <c r="T366" t="s">
        <v>43</v>
      </c>
      <c r="U366" t="s">
        <v>43</v>
      </c>
      <c r="V366" t="s">
        <v>43</v>
      </c>
      <c r="W366" t="s">
        <v>43</v>
      </c>
      <c r="X366" t="s">
        <v>44</v>
      </c>
      <c r="Y366">
        <v>5</v>
      </c>
      <c r="Z366">
        <v>3</v>
      </c>
      <c r="AA366">
        <v>4</v>
      </c>
      <c r="AB366">
        <v>1</v>
      </c>
      <c r="AC366">
        <v>2</v>
      </c>
      <c r="AD366">
        <v>5</v>
      </c>
      <c r="AE366">
        <v>2</v>
      </c>
      <c r="AF366">
        <v>14</v>
      </c>
      <c r="AG366">
        <v>15</v>
      </c>
      <c r="AH366">
        <v>17</v>
      </c>
    </row>
    <row r="367" spans="1:34" x14ac:dyDescent="0.2">
      <c r="A367" t="s">
        <v>34</v>
      </c>
      <c r="B367" t="s">
        <v>35</v>
      </c>
      <c r="C367">
        <v>17</v>
      </c>
      <c r="D367" t="s">
        <v>36</v>
      </c>
      <c r="E367" t="s">
        <v>37</v>
      </c>
      <c r="F367" t="s">
        <v>38</v>
      </c>
      <c r="G367">
        <v>4</v>
      </c>
      <c r="H367">
        <v>3</v>
      </c>
      <c r="I367" t="s">
        <v>49</v>
      </c>
      <c r="J367" t="s">
        <v>49</v>
      </c>
      <c r="K367" t="s">
        <v>41</v>
      </c>
      <c r="L367" t="s">
        <v>42</v>
      </c>
      <c r="M367">
        <v>1</v>
      </c>
      <c r="N367">
        <v>2</v>
      </c>
      <c r="O367">
        <v>0</v>
      </c>
      <c r="P367" t="s">
        <v>44</v>
      </c>
      <c r="Q367" t="s">
        <v>43</v>
      </c>
      <c r="R367" t="s">
        <v>44</v>
      </c>
      <c r="S367">
        <f t="shared" si="5"/>
        <v>0</v>
      </c>
      <c r="T367" t="s">
        <v>44</v>
      </c>
      <c r="U367" t="s">
        <v>43</v>
      </c>
      <c r="V367" t="s">
        <v>43</v>
      </c>
      <c r="W367" t="s">
        <v>43</v>
      </c>
      <c r="X367" t="s">
        <v>43</v>
      </c>
      <c r="Y367">
        <v>5</v>
      </c>
      <c r="Z367">
        <v>2</v>
      </c>
      <c r="AA367">
        <v>2</v>
      </c>
      <c r="AB367">
        <v>1</v>
      </c>
      <c r="AC367">
        <v>2</v>
      </c>
      <c r="AD367">
        <v>5</v>
      </c>
      <c r="AE367">
        <v>14</v>
      </c>
      <c r="AF367">
        <v>15</v>
      </c>
      <c r="AG367">
        <v>14</v>
      </c>
      <c r="AH367">
        <v>17</v>
      </c>
    </row>
    <row r="368" spans="1:34" x14ac:dyDescent="0.2">
      <c r="A368" t="s">
        <v>34</v>
      </c>
      <c r="B368" t="s">
        <v>35</v>
      </c>
      <c r="C368">
        <v>17</v>
      </c>
      <c r="D368" t="s">
        <v>36</v>
      </c>
      <c r="E368" t="s">
        <v>48</v>
      </c>
      <c r="F368" t="s">
        <v>38</v>
      </c>
      <c r="G368">
        <v>3</v>
      </c>
      <c r="H368">
        <v>3</v>
      </c>
      <c r="I368" t="s">
        <v>49</v>
      </c>
      <c r="J368" t="s">
        <v>46</v>
      </c>
      <c r="K368" t="s">
        <v>50</v>
      </c>
      <c r="L368" t="s">
        <v>42</v>
      </c>
      <c r="M368">
        <v>1</v>
      </c>
      <c r="N368">
        <v>2</v>
      </c>
      <c r="O368">
        <v>0</v>
      </c>
      <c r="P368" t="s">
        <v>43</v>
      </c>
      <c r="Q368" t="s">
        <v>43</v>
      </c>
      <c r="R368" t="s">
        <v>44</v>
      </c>
      <c r="S368">
        <f t="shared" si="5"/>
        <v>0</v>
      </c>
      <c r="T368" t="s">
        <v>44</v>
      </c>
      <c r="U368" t="s">
        <v>43</v>
      </c>
      <c r="V368" t="s">
        <v>43</v>
      </c>
      <c r="W368" t="s">
        <v>43</v>
      </c>
      <c r="X368" t="s">
        <v>44</v>
      </c>
      <c r="Y368">
        <v>5</v>
      </c>
      <c r="Z368">
        <v>3</v>
      </c>
      <c r="AA368">
        <v>3</v>
      </c>
      <c r="AB368">
        <v>1</v>
      </c>
      <c r="AC368">
        <v>1</v>
      </c>
      <c r="AD368">
        <v>5</v>
      </c>
      <c r="AE368">
        <v>0</v>
      </c>
      <c r="AF368">
        <v>12</v>
      </c>
      <c r="AG368">
        <v>12</v>
      </c>
      <c r="AH368">
        <v>13</v>
      </c>
    </row>
    <row r="369" spans="1:34" x14ac:dyDescent="0.2">
      <c r="A369" t="s">
        <v>34</v>
      </c>
      <c r="B369" t="s">
        <v>35</v>
      </c>
      <c r="C369">
        <v>17</v>
      </c>
      <c r="D369" t="s">
        <v>36</v>
      </c>
      <c r="E369" t="s">
        <v>48</v>
      </c>
      <c r="F369" t="s">
        <v>45</v>
      </c>
      <c r="G369">
        <v>2</v>
      </c>
      <c r="H369">
        <v>1</v>
      </c>
      <c r="I369" t="s">
        <v>46</v>
      </c>
      <c r="J369" t="s">
        <v>46</v>
      </c>
      <c r="K369" t="s">
        <v>50</v>
      </c>
      <c r="L369" t="s">
        <v>47</v>
      </c>
      <c r="M369">
        <v>1</v>
      </c>
      <c r="N369">
        <v>2</v>
      </c>
      <c r="O369">
        <v>0</v>
      </c>
      <c r="P369" t="s">
        <v>44</v>
      </c>
      <c r="Q369" t="s">
        <v>44</v>
      </c>
      <c r="R369" t="s">
        <v>44</v>
      </c>
      <c r="S369">
        <f t="shared" si="5"/>
        <v>0</v>
      </c>
      <c r="T369" t="s">
        <v>43</v>
      </c>
      <c r="U369" t="s">
        <v>43</v>
      </c>
      <c r="V369" t="s">
        <v>43</v>
      </c>
      <c r="W369" t="s">
        <v>43</v>
      </c>
      <c r="X369" t="s">
        <v>44</v>
      </c>
      <c r="Y369">
        <v>4</v>
      </c>
      <c r="Z369">
        <v>2</v>
      </c>
      <c r="AA369">
        <v>3</v>
      </c>
      <c r="AB369">
        <v>2</v>
      </c>
      <c r="AC369">
        <v>2</v>
      </c>
      <c r="AD369">
        <v>2</v>
      </c>
      <c r="AE369">
        <v>2</v>
      </c>
      <c r="AF369">
        <v>11</v>
      </c>
      <c r="AG369">
        <v>12</v>
      </c>
      <c r="AH369">
        <v>14</v>
      </c>
    </row>
    <row r="370" spans="1:34" x14ac:dyDescent="0.2">
      <c r="A370" t="s">
        <v>34</v>
      </c>
      <c r="B370" t="s">
        <v>51</v>
      </c>
      <c r="C370">
        <v>18</v>
      </c>
      <c r="D370" t="s">
        <v>36</v>
      </c>
      <c r="E370" t="s">
        <v>48</v>
      </c>
      <c r="F370" t="s">
        <v>45</v>
      </c>
      <c r="G370">
        <v>4</v>
      </c>
      <c r="H370">
        <v>4</v>
      </c>
      <c r="I370" t="s">
        <v>46</v>
      </c>
      <c r="J370" t="s">
        <v>46</v>
      </c>
      <c r="K370" t="s">
        <v>52</v>
      </c>
      <c r="L370" t="s">
        <v>47</v>
      </c>
      <c r="M370">
        <v>1</v>
      </c>
      <c r="N370">
        <v>1</v>
      </c>
      <c r="O370">
        <v>0</v>
      </c>
      <c r="P370" t="s">
        <v>44</v>
      </c>
      <c r="Q370" t="s">
        <v>43</v>
      </c>
      <c r="R370" t="s">
        <v>44</v>
      </c>
      <c r="S370">
        <f t="shared" si="5"/>
        <v>0</v>
      </c>
      <c r="T370" t="s">
        <v>44</v>
      </c>
      <c r="U370" t="s">
        <v>43</v>
      </c>
      <c r="V370" t="s">
        <v>43</v>
      </c>
      <c r="W370" t="s">
        <v>43</v>
      </c>
      <c r="X370" t="s">
        <v>44</v>
      </c>
      <c r="Y370">
        <v>4</v>
      </c>
      <c r="Z370">
        <v>2</v>
      </c>
      <c r="AA370">
        <v>5</v>
      </c>
      <c r="AB370">
        <v>3</v>
      </c>
      <c r="AC370">
        <v>4</v>
      </c>
      <c r="AD370">
        <v>5</v>
      </c>
      <c r="AE370">
        <v>2</v>
      </c>
      <c r="AF370">
        <v>8</v>
      </c>
      <c r="AG370">
        <v>9</v>
      </c>
      <c r="AH370">
        <v>11</v>
      </c>
    </row>
    <row r="371" spans="1:34" x14ac:dyDescent="0.2">
      <c r="A371" t="s">
        <v>34</v>
      </c>
      <c r="B371" t="s">
        <v>35</v>
      </c>
      <c r="C371">
        <v>19</v>
      </c>
      <c r="D371" t="s">
        <v>36</v>
      </c>
      <c r="E371" t="s">
        <v>37</v>
      </c>
      <c r="F371" t="s">
        <v>45</v>
      </c>
      <c r="G371">
        <v>1</v>
      </c>
      <c r="H371">
        <v>1</v>
      </c>
      <c r="I371" t="s">
        <v>46</v>
      </c>
      <c r="J371" t="s">
        <v>46</v>
      </c>
      <c r="K371" t="s">
        <v>41</v>
      </c>
      <c r="L371" t="s">
        <v>46</v>
      </c>
      <c r="M371">
        <v>3</v>
      </c>
      <c r="N371">
        <v>3</v>
      </c>
      <c r="O371">
        <v>0</v>
      </c>
      <c r="P371" t="s">
        <v>44</v>
      </c>
      <c r="Q371" t="s">
        <v>44</v>
      </c>
      <c r="R371" t="s">
        <v>44</v>
      </c>
      <c r="S371">
        <f t="shared" si="5"/>
        <v>0</v>
      </c>
      <c r="T371" t="s">
        <v>43</v>
      </c>
      <c r="U371" t="s">
        <v>43</v>
      </c>
      <c r="V371" t="s">
        <v>44</v>
      </c>
      <c r="W371" t="s">
        <v>44</v>
      </c>
      <c r="X371" t="s">
        <v>43</v>
      </c>
      <c r="Y371">
        <v>1</v>
      </c>
      <c r="Z371">
        <v>5</v>
      </c>
      <c r="AA371">
        <v>5</v>
      </c>
      <c r="AB371">
        <v>4</v>
      </c>
      <c r="AC371">
        <v>3</v>
      </c>
      <c r="AD371">
        <v>5</v>
      </c>
      <c r="AE371">
        <v>12</v>
      </c>
      <c r="AF371">
        <v>10</v>
      </c>
      <c r="AG371">
        <v>10</v>
      </c>
      <c r="AH371">
        <v>11</v>
      </c>
    </row>
    <row r="372" spans="1:34" x14ac:dyDescent="0.2">
      <c r="A372" t="s">
        <v>34</v>
      </c>
      <c r="B372" t="s">
        <v>35</v>
      </c>
      <c r="C372">
        <v>19</v>
      </c>
      <c r="D372" t="s">
        <v>36</v>
      </c>
      <c r="E372" t="s">
        <v>48</v>
      </c>
      <c r="F372" t="s">
        <v>38</v>
      </c>
      <c r="G372">
        <v>1</v>
      </c>
      <c r="H372">
        <v>1</v>
      </c>
      <c r="I372" t="s">
        <v>46</v>
      </c>
      <c r="J372" t="s">
        <v>46</v>
      </c>
      <c r="K372" t="s">
        <v>41</v>
      </c>
      <c r="L372" t="s">
        <v>46</v>
      </c>
      <c r="M372">
        <v>3</v>
      </c>
      <c r="N372">
        <v>2</v>
      </c>
      <c r="O372">
        <v>2</v>
      </c>
      <c r="P372" t="s">
        <v>44</v>
      </c>
      <c r="Q372" t="s">
        <v>43</v>
      </c>
      <c r="R372" t="s">
        <v>44</v>
      </c>
      <c r="S372">
        <f t="shared" si="5"/>
        <v>0</v>
      </c>
      <c r="T372" t="s">
        <v>44</v>
      </c>
      <c r="U372" t="s">
        <v>44</v>
      </c>
      <c r="V372" t="s">
        <v>43</v>
      </c>
      <c r="W372" t="s">
        <v>43</v>
      </c>
      <c r="X372" t="s">
        <v>43</v>
      </c>
      <c r="Y372">
        <v>5</v>
      </c>
      <c r="Z372">
        <v>3</v>
      </c>
      <c r="AA372">
        <v>4</v>
      </c>
      <c r="AB372">
        <v>1</v>
      </c>
      <c r="AC372">
        <v>1</v>
      </c>
      <c r="AD372">
        <v>4</v>
      </c>
      <c r="AE372">
        <v>2</v>
      </c>
      <c r="AF372">
        <v>8</v>
      </c>
      <c r="AG372">
        <v>8</v>
      </c>
      <c r="AH372">
        <v>9</v>
      </c>
    </row>
    <row r="373" spans="1:34" x14ac:dyDescent="0.2">
      <c r="A373" t="s">
        <v>34</v>
      </c>
      <c r="B373" t="s">
        <v>35</v>
      </c>
      <c r="C373">
        <v>18</v>
      </c>
      <c r="D373" t="s">
        <v>36</v>
      </c>
      <c r="E373" t="s">
        <v>37</v>
      </c>
      <c r="F373" t="s">
        <v>45</v>
      </c>
      <c r="G373">
        <v>2</v>
      </c>
      <c r="H373">
        <v>2</v>
      </c>
      <c r="I373" t="s">
        <v>46</v>
      </c>
      <c r="J373" t="s">
        <v>46</v>
      </c>
      <c r="K373" t="s">
        <v>41</v>
      </c>
      <c r="L373" t="s">
        <v>42</v>
      </c>
      <c r="M373">
        <v>1</v>
      </c>
      <c r="N373">
        <v>1</v>
      </c>
      <c r="O373">
        <v>0</v>
      </c>
      <c r="P373" t="s">
        <v>44</v>
      </c>
      <c r="Q373" t="s">
        <v>43</v>
      </c>
      <c r="R373" t="s">
        <v>44</v>
      </c>
      <c r="S373">
        <f t="shared" si="5"/>
        <v>0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>
        <v>4</v>
      </c>
      <c r="Z373">
        <v>3</v>
      </c>
      <c r="AA373">
        <v>5</v>
      </c>
      <c r="AB373">
        <v>2</v>
      </c>
      <c r="AC373">
        <v>4</v>
      </c>
      <c r="AD373">
        <v>5</v>
      </c>
      <c r="AE373">
        <v>2</v>
      </c>
      <c r="AF373">
        <v>10</v>
      </c>
      <c r="AG373">
        <v>10</v>
      </c>
      <c r="AH373">
        <v>10</v>
      </c>
    </row>
    <row r="374" spans="1:34" x14ac:dyDescent="0.2">
      <c r="A374" t="s">
        <v>34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v>2</v>
      </c>
      <c r="H374">
        <v>2</v>
      </c>
      <c r="I374" t="s">
        <v>46</v>
      </c>
      <c r="J374" t="s">
        <v>46</v>
      </c>
      <c r="K374" t="s">
        <v>41</v>
      </c>
      <c r="L374" t="s">
        <v>42</v>
      </c>
      <c r="M374">
        <v>1</v>
      </c>
      <c r="N374">
        <v>2</v>
      </c>
      <c r="O374">
        <v>0</v>
      </c>
      <c r="P374" t="s">
        <v>44</v>
      </c>
      <c r="Q374" t="s">
        <v>43</v>
      </c>
      <c r="R374" t="s">
        <v>44</v>
      </c>
      <c r="S374">
        <f t="shared" si="5"/>
        <v>0</v>
      </c>
      <c r="T374" t="s">
        <v>44</v>
      </c>
      <c r="U374" t="s">
        <v>43</v>
      </c>
      <c r="V374" t="s">
        <v>43</v>
      </c>
      <c r="W374" t="s">
        <v>44</v>
      </c>
      <c r="X374" t="s">
        <v>43</v>
      </c>
      <c r="Y374">
        <v>4</v>
      </c>
      <c r="Z374">
        <v>2</v>
      </c>
      <c r="AA374">
        <v>2</v>
      </c>
      <c r="AB374">
        <v>1</v>
      </c>
      <c r="AC374">
        <v>1</v>
      </c>
      <c r="AD374">
        <v>3</v>
      </c>
      <c r="AE374">
        <v>4</v>
      </c>
      <c r="AF374">
        <v>14</v>
      </c>
      <c r="AG374">
        <v>13</v>
      </c>
      <c r="AH374">
        <v>13</v>
      </c>
    </row>
    <row r="375" spans="1:34" x14ac:dyDescent="0.2">
      <c r="A375" t="s">
        <v>34</v>
      </c>
      <c r="B375" t="s">
        <v>35</v>
      </c>
      <c r="C375">
        <v>17</v>
      </c>
      <c r="D375" t="s">
        <v>53</v>
      </c>
      <c r="E375" t="s">
        <v>48</v>
      </c>
      <c r="F375" t="s">
        <v>45</v>
      </c>
      <c r="G375">
        <v>2</v>
      </c>
      <c r="H375">
        <v>2</v>
      </c>
      <c r="I375" t="s">
        <v>49</v>
      </c>
      <c r="J375" t="s">
        <v>49</v>
      </c>
      <c r="K375" t="s">
        <v>41</v>
      </c>
      <c r="L375" t="s">
        <v>42</v>
      </c>
      <c r="M375">
        <v>1</v>
      </c>
      <c r="N375">
        <v>3</v>
      </c>
      <c r="O375">
        <v>0</v>
      </c>
      <c r="P375" t="s">
        <v>44</v>
      </c>
      <c r="Q375" t="s">
        <v>43</v>
      </c>
      <c r="R375" t="s">
        <v>44</v>
      </c>
      <c r="S375">
        <f t="shared" si="5"/>
        <v>0</v>
      </c>
      <c r="T375" t="s">
        <v>43</v>
      </c>
      <c r="U375" t="s">
        <v>43</v>
      </c>
      <c r="V375" t="s">
        <v>43</v>
      </c>
      <c r="W375" t="s">
        <v>43</v>
      </c>
      <c r="X375" t="s">
        <v>44</v>
      </c>
      <c r="Y375">
        <v>3</v>
      </c>
      <c r="Z375">
        <v>3</v>
      </c>
      <c r="AA375">
        <v>2</v>
      </c>
      <c r="AB375">
        <v>2</v>
      </c>
      <c r="AC375">
        <v>2</v>
      </c>
      <c r="AD375">
        <v>3</v>
      </c>
      <c r="AE375">
        <v>0</v>
      </c>
      <c r="AF375">
        <v>11</v>
      </c>
      <c r="AG375">
        <v>11</v>
      </c>
      <c r="AH375">
        <v>10</v>
      </c>
    </row>
    <row r="376" spans="1:34" x14ac:dyDescent="0.2">
      <c r="A376" t="s">
        <v>34</v>
      </c>
      <c r="B376" t="s">
        <v>35</v>
      </c>
      <c r="C376">
        <v>17</v>
      </c>
      <c r="D376" t="s">
        <v>36</v>
      </c>
      <c r="E376" t="s">
        <v>37</v>
      </c>
      <c r="F376" t="s">
        <v>45</v>
      </c>
      <c r="G376">
        <v>3</v>
      </c>
      <c r="H376">
        <v>1</v>
      </c>
      <c r="I376" t="s">
        <v>49</v>
      </c>
      <c r="J376" t="s">
        <v>49</v>
      </c>
      <c r="K376" t="s">
        <v>41</v>
      </c>
      <c r="L376" t="s">
        <v>47</v>
      </c>
      <c r="M376">
        <v>1</v>
      </c>
      <c r="N376">
        <v>3</v>
      </c>
      <c r="O376">
        <v>0</v>
      </c>
      <c r="P376" t="s">
        <v>44</v>
      </c>
      <c r="Q376" t="s">
        <v>43</v>
      </c>
      <c r="R376" t="s">
        <v>44</v>
      </c>
      <c r="S376">
        <f t="shared" si="5"/>
        <v>0</v>
      </c>
      <c r="T376" t="s">
        <v>44</v>
      </c>
      <c r="U376" t="s">
        <v>44</v>
      </c>
      <c r="V376" t="s">
        <v>43</v>
      </c>
      <c r="W376" t="s">
        <v>43</v>
      </c>
      <c r="X376" t="s">
        <v>44</v>
      </c>
      <c r="Y376">
        <v>3</v>
      </c>
      <c r="Z376">
        <v>4</v>
      </c>
      <c r="AA376">
        <v>3</v>
      </c>
      <c r="AB376">
        <v>2</v>
      </c>
      <c r="AC376">
        <v>3</v>
      </c>
      <c r="AD376">
        <v>5</v>
      </c>
      <c r="AE376">
        <v>0</v>
      </c>
      <c r="AF376">
        <v>17</v>
      </c>
      <c r="AG376">
        <v>18</v>
      </c>
      <c r="AH376">
        <v>17</v>
      </c>
    </row>
    <row r="377" spans="1:34" x14ac:dyDescent="0.2">
      <c r="A377" t="s">
        <v>34</v>
      </c>
      <c r="B377" t="s">
        <v>35</v>
      </c>
      <c r="C377">
        <v>17</v>
      </c>
      <c r="D377" t="s">
        <v>36</v>
      </c>
      <c r="E377" t="s">
        <v>48</v>
      </c>
      <c r="F377" t="s">
        <v>45</v>
      </c>
      <c r="G377">
        <v>0</v>
      </c>
      <c r="H377">
        <v>2</v>
      </c>
      <c r="I377" t="s">
        <v>39</v>
      </c>
      <c r="J377" t="s">
        <v>39</v>
      </c>
      <c r="K377" t="s">
        <v>50</v>
      </c>
      <c r="L377" t="s">
        <v>47</v>
      </c>
      <c r="M377">
        <v>2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>
        <f t="shared" si="5"/>
        <v>0</v>
      </c>
      <c r="T377" t="s">
        <v>44</v>
      </c>
      <c r="U377" t="s">
        <v>43</v>
      </c>
      <c r="V377" t="s">
        <v>43</v>
      </c>
      <c r="W377" t="s">
        <v>43</v>
      </c>
      <c r="X377" t="s">
        <v>44</v>
      </c>
      <c r="Y377">
        <v>3</v>
      </c>
      <c r="Z377">
        <v>3</v>
      </c>
      <c r="AA377">
        <v>3</v>
      </c>
      <c r="AB377">
        <v>2</v>
      </c>
      <c r="AC377">
        <v>3</v>
      </c>
      <c r="AD377">
        <v>2</v>
      </c>
      <c r="AE377">
        <v>0</v>
      </c>
      <c r="AF377">
        <v>14</v>
      </c>
      <c r="AG377">
        <v>14</v>
      </c>
      <c r="AH377">
        <v>15</v>
      </c>
    </row>
    <row r="378" spans="1:34" x14ac:dyDescent="0.2">
      <c r="A378" t="s">
        <v>34</v>
      </c>
      <c r="B378" t="s">
        <v>35</v>
      </c>
      <c r="C378">
        <v>18</v>
      </c>
      <c r="D378" t="s">
        <v>36</v>
      </c>
      <c r="E378" t="s">
        <v>37</v>
      </c>
      <c r="F378" t="s">
        <v>45</v>
      </c>
      <c r="G378">
        <v>1</v>
      </c>
      <c r="H378">
        <v>1</v>
      </c>
      <c r="I378" t="s">
        <v>46</v>
      </c>
      <c r="J378" t="s">
        <v>46</v>
      </c>
      <c r="K378" t="s">
        <v>50</v>
      </c>
      <c r="L378" t="s">
        <v>42</v>
      </c>
      <c r="M378">
        <v>2</v>
      </c>
      <c r="N378">
        <v>3</v>
      </c>
      <c r="O378">
        <v>0</v>
      </c>
      <c r="P378" t="s">
        <v>44</v>
      </c>
      <c r="Q378" t="s">
        <v>44</v>
      </c>
      <c r="R378" t="s">
        <v>44</v>
      </c>
      <c r="S378">
        <f t="shared" si="5"/>
        <v>0</v>
      </c>
      <c r="T378" t="s">
        <v>43</v>
      </c>
      <c r="U378" t="s">
        <v>43</v>
      </c>
      <c r="V378" t="s">
        <v>43</v>
      </c>
      <c r="W378" t="s">
        <v>43</v>
      </c>
      <c r="X378" t="s">
        <v>44</v>
      </c>
      <c r="Y378">
        <v>4</v>
      </c>
      <c r="Z378">
        <v>5</v>
      </c>
      <c r="AA378">
        <v>5</v>
      </c>
      <c r="AB378">
        <v>1</v>
      </c>
      <c r="AC378">
        <v>2</v>
      </c>
      <c r="AD378">
        <v>2</v>
      </c>
      <c r="AE378">
        <v>0</v>
      </c>
      <c r="AF378">
        <v>14</v>
      </c>
      <c r="AG378">
        <v>14</v>
      </c>
      <c r="AH378">
        <v>14</v>
      </c>
    </row>
    <row r="379" spans="1:34" x14ac:dyDescent="0.2">
      <c r="A379" t="s">
        <v>34</v>
      </c>
      <c r="B379" t="s">
        <v>51</v>
      </c>
      <c r="C379">
        <v>18</v>
      </c>
      <c r="D379" t="s">
        <v>36</v>
      </c>
      <c r="E379" t="s">
        <v>37</v>
      </c>
      <c r="F379" t="s">
        <v>45</v>
      </c>
      <c r="G379">
        <v>4</v>
      </c>
      <c r="H379">
        <v>4</v>
      </c>
      <c r="I379" t="s">
        <v>46</v>
      </c>
      <c r="J379" t="s">
        <v>46</v>
      </c>
      <c r="K379" t="s">
        <v>41</v>
      </c>
      <c r="L379" t="s">
        <v>42</v>
      </c>
      <c r="M379">
        <v>1</v>
      </c>
      <c r="N379">
        <v>3</v>
      </c>
      <c r="O379">
        <v>0</v>
      </c>
      <c r="P379" t="s">
        <v>44</v>
      </c>
      <c r="Q379" t="s">
        <v>44</v>
      </c>
      <c r="R379" t="s">
        <v>44</v>
      </c>
      <c r="S379">
        <f t="shared" si="5"/>
        <v>0</v>
      </c>
      <c r="T379" t="s">
        <v>43</v>
      </c>
      <c r="U379" t="s">
        <v>43</v>
      </c>
      <c r="V379" t="s">
        <v>43</v>
      </c>
      <c r="W379" t="s">
        <v>43</v>
      </c>
      <c r="X379" t="s">
        <v>44</v>
      </c>
      <c r="Y379">
        <v>4</v>
      </c>
      <c r="Z379">
        <v>3</v>
      </c>
      <c r="AA379">
        <v>3</v>
      </c>
      <c r="AB379">
        <v>2</v>
      </c>
      <c r="AC379">
        <v>2</v>
      </c>
      <c r="AD379">
        <v>3</v>
      </c>
      <c r="AE379">
        <v>0</v>
      </c>
      <c r="AF379">
        <v>13</v>
      </c>
      <c r="AG379">
        <v>14</v>
      </c>
      <c r="AH379">
        <v>13</v>
      </c>
    </row>
    <row r="380" spans="1:34" x14ac:dyDescent="0.2">
      <c r="A380" t="s">
        <v>34</v>
      </c>
      <c r="B380" t="s">
        <v>51</v>
      </c>
      <c r="C380">
        <v>17</v>
      </c>
      <c r="D380" t="s">
        <v>36</v>
      </c>
      <c r="E380" t="s">
        <v>37</v>
      </c>
      <c r="F380" t="s">
        <v>45</v>
      </c>
      <c r="G380">
        <v>3</v>
      </c>
      <c r="H380">
        <v>3</v>
      </c>
      <c r="I380" t="s">
        <v>46</v>
      </c>
      <c r="J380" t="s">
        <v>49</v>
      </c>
      <c r="K380" t="s">
        <v>52</v>
      </c>
      <c r="L380" t="s">
        <v>42</v>
      </c>
      <c r="M380">
        <v>1</v>
      </c>
      <c r="N380">
        <v>1</v>
      </c>
      <c r="O380">
        <v>0</v>
      </c>
      <c r="P380" t="s">
        <v>44</v>
      </c>
      <c r="Q380" t="s">
        <v>44</v>
      </c>
      <c r="R380" t="s">
        <v>44</v>
      </c>
      <c r="S380">
        <f t="shared" si="5"/>
        <v>0</v>
      </c>
      <c r="T380" t="s">
        <v>43</v>
      </c>
      <c r="U380" t="s">
        <v>44</v>
      </c>
      <c r="V380" t="s">
        <v>43</v>
      </c>
      <c r="W380" t="s">
        <v>43</v>
      </c>
      <c r="X380" t="s">
        <v>44</v>
      </c>
      <c r="Y380">
        <v>4</v>
      </c>
      <c r="Z380">
        <v>3</v>
      </c>
      <c r="AA380">
        <v>5</v>
      </c>
      <c r="AB380">
        <v>3</v>
      </c>
      <c r="AC380">
        <v>5</v>
      </c>
      <c r="AD380">
        <v>5</v>
      </c>
      <c r="AE380">
        <v>0</v>
      </c>
      <c r="AF380">
        <v>17</v>
      </c>
      <c r="AG380">
        <v>18</v>
      </c>
      <c r="AH380">
        <v>17</v>
      </c>
    </row>
    <row r="381" spans="1:34" x14ac:dyDescent="0.2">
      <c r="A381" t="s">
        <v>34</v>
      </c>
      <c r="B381" t="s">
        <v>51</v>
      </c>
      <c r="C381">
        <v>17</v>
      </c>
      <c r="D381" t="s">
        <v>53</v>
      </c>
      <c r="E381" t="s">
        <v>37</v>
      </c>
      <c r="F381" t="s">
        <v>45</v>
      </c>
      <c r="G381">
        <v>2</v>
      </c>
      <c r="H381">
        <v>2</v>
      </c>
      <c r="I381" t="s">
        <v>49</v>
      </c>
      <c r="J381" t="s">
        <v>46</v>
      </c>
      <c r="K381" t="s">
        <v>41</v>
      </c>
      <c r="L381" t="s">
        <v>42</v>
      </c>
      <c r="M381">
        <v>4</v>
      </c>
      <c r="N381">
        <v>1</v>
      </c>
      <c r="O381">
        <v>0</v>
      </c>
      <c r="P381" t="s">
        <v>44</v>
      </c>
      <c r="Q381" t="s">
        <v>43</v>
      </c>
      <c r="R381" t="s">
        <v>44</v>
      </c>
      <c r="S381">
        <f t="shared" si="5"/>
        <v>0</v>
      </c>
      <c r="T381" t="s">
        <v>44</v>
      </c>
      <c r="U381" t="s">
        <v>43</v>
      </c>
      <c r="V381" t="s">
        <v>43</v>
      </c>
      <c r="W381" t="s">
        <v>43</v>
      </c>
      <c r="X381" t="s">
        <v>44</v>
      </c>
      <c r="Y381">
        <v>4</v>
      </c>
      <c r="Z381">
        <v>4</v>
      </c>
      <c r="AA381">
        <v>5</v>
      </c>
      <c r="AB381">
        <v>5</v>
      </c>
      <c r="AC381">
        <v>5</v>
      </c>
      <c r="AD381">
        <v>4</v>
      </c>
      <c r="AE381">
        <v>2</v>
      </c>
      <c r="AF381">
        <v>11</v>
      </c>
      <c r="AG381">
        <v>10</v>
      </c>
      <c r="AH381">
        <v>10</v>
      </c>
    </row>
    <row r="382" spans="1:34" x14ac:dyDescent="0.2">
      <c r="A382" t="s">
        <v>34</v>
      </c>
      <c r="B382" t="s">
        <v>35</v>
      </c>
      <c r="C382">
        <v>17</v>
      </c>
      <c r="D382" t="s">
        <v>36</v>
      </c>
      <c r="E382" t="s">
        <v>37</v>
      </c>
      <c r="F382" t="s">
        <v>45</v>
      </c>
      <c r="G382">
        <v>4</v>
      </c>
      <c r="H382">
        <v>4</v>
      </c>
      <c r="I382" t="s">
        <v>40</v>
      </c>
      <c r="J382" t="s">
        <v>49</v>
      </c>
      <c r="K382" t="s">
        <v>41</v>
      </c>
      <c r="L382" t="s">
        <v>42</v>
      </c>
      <c r="M382">
        <v>1</v>
      </c>
      <c r="N382">
        <v>3</v>
      </c>
      <c r="O382">
        <v>0</v>
      </c>
      <c r="P382" t="s">
        <v>44</v>
      </c>
      <c r="Q382" t="s">
        <v>43</v>
      </c>
      <c r="R382" t="s">
        <v>44</v>
      </c>
      <c r="S382">
        <f t="shared" si="5"/>
        <v>0</v>
      </c>
      <c r="T382" t="s">
        <v>43</v>
      </c>
      <c r="U382" t="s">
        <v>43</v>
      </c>
      <c r="V382" t="s">
        <v>43</v>
      </c>
      <c r="W382" t="s">
        <v>43</v>
      </c>
      <c r="X382" t="s">
        <v>44</v>
      </c>
      <c r="Y382">
        <v>5</v>
      </c>
      <c r="Z382">
        <v>4</v>
      </c>
      <c r="AA382">
        <v>4</v>
      </c>
      <c r="AB382">
        <v>1</v>
      </c>
      <c r="AC382">
        <v>3</v>
      </c>
      <c r="AD382">
        <v>4</v>
      </c>
      <c r="AE382">
        <v>0</v>
      </c>
      <c r="AF382">
        <v>13</v>
      </c>
      <c r="AG382">
        <v>12</v>
      </c>
      <c r="AH382">
        <v>13</v>
      </c>
    </row>
    <row r="383" spans="1:34" x14ac:dyDescent="0.2">
      <c r="A383" t="s">
        <v>34</v>
      </c>
      <c r="B383" t="s">
        <v>35</v>
      </c>
      <c r="C383">
        <v>17</v>
      </c>
      <c r="D383" t="s">
        <v>36</v>
      </c>
      <c r="E383" t="s">
        <v>37</v>
      </c>
      <c r="F383" t="s">
        <v>45</v>
      </c>
      <c r="G383">
        <v>4</v>
      </c>
      <c r="H383">
        <v>4</v>
      </c>
      <c r="I383" t="s">
        <v>40</v>
      </c>
      <c r="J383" t="s">
        <v>40</v>
      </c>
      <c r="K383" t="s">
        <v>41</v>
      </c>
      <c r="L383" t="s">
        <v>42</v>
      </c>
      <c r="M383">
        <v>2</v>
      </c>
      <c r="N383">
        <v>3</v>
      </c>
      <c r="O383">
        <v>0</v>
      </c>
      <c r="P383" t="s">
        <v>44</v>
      </c>
      <c r="Q383" t="s">
        <v>43</v>
      </c>
      <c r="R383" t="s">
        <v>44</v>
      </c>
      <c r="S383">
        <f t="shared" si="5"/>
        <v>0</v>
      </c>
      <c r="T383" t="s">
        <v>44</v>
      </c>
      <c r="U383" t="s">
        <v>44</v>
      </c>
      <c r="V383" t="s">
        <v>43</v>
      </c>
      <c r="W383" t="s">
        <v>43</v>
      </c>
      <c r="X383" t="s">
        <v>43</v>
      </c>
      <c r="Y383">
        <v>4</v>
      </c>
      <c r="Z383">
        <v>3</v>
      </c>
      <c r="AA383">
        <v>3</v>
      </c>
      <c r="AB383">
        <v>1</v>
      </c>
      <c r="AC383">
        <v>2</v>
      </c>
      <c r="AD383">
        <v>4</v>
      </c>
      <c r="AE383">
        <v>4</v>
      </c>
      <c r="AF383">
        <v>15</v>
      </c>
      <c r="AG383">
        <v>14</v>
      </c>
      <c r="AH383">
        <v>15</v>
      </c>
    </row>
    <row r="384" spans="1:34" x14ac:dyDescent="0.2">
      <c r="A384" t="s">
        <v>34</v>
      </c>
      <c r="B384" t="s">
        <v>35</v>
      </c>
      <c r="C384">
        <v>17</v>
      </c>
      <c r="D384" t="s">
        <v>36</v>
      </c>
      <c r="E384" t="s">
        <v>37</v>
      </c>
      <c r="F384" t="s">
        <v>45</v>
      </c>
      <c r="G384">
        <v>3</v>
      </c>
      <c r="H384">
        <v>3</v>
      </c>
      <c r="I384" t="s">
        <v>39</v>
      </c>
      <c r="J384" t="s">
        <v>46</v>
      </c>
      <c r="K384" t="s">
        <v>41</v>
      </c>
      <c r="L384" t="s">
        <v>42</v>
      </c>
      <c r="M384">
        <v>1</v>
      </c>
      <c r="N384">
        <v>1</v>
      </c>
      <c r="O384">
        <v>0</v>
      </c>
      <c r="P384" t="s">
        <v>44</v>
      </c>
      <c r="Q384" t="s">
        <v>43</v>
      </c>
      <c r="R384" t="s">
        <v>43</v>
      </c>
      <c r="S384">
        <f t="shared" si="5"/>
        <v>1</v>
      </c>
      <c r="T384" t="s">
        <v>43</v>
      </c>
      <c r="U384" t="s">
        <v>43</v>
      </c>
      <c r="V384" t="s">
        <v>43</v>
      </c>
      <c r="W384" t="s">
        <v>43</v>
      </c>
      <c r="X384" t="s">
        <v>44</v>
      </c>
      <c r="Y384">
        <v>4</v>
      </c>
      <c r="Z384">
        <v>2</v>
      </c>
      <c r="AA384">
        <v>5</v>
      </c>
      <c r="AB384">
        <v>2</v>
      </c>
      <c r="AC384">
        <v>5</v>
      </c>
      <c r="AD384">
        <v>5</v>
      </c>
      <c r="AE384">
        <v>2</v>
      </c>
      <c r="AF384">
        <v>11</v>
      </c>
      <c r="AG384">
        <v>12</v>
      </c>
      <c r="AH384">
        <v>11</v>
      </c>
    </row>
    <row r="385" spans="1:34" x14ac:dyDescent="0.2">
      <c r="A385" t="s">
        <v>34</v>
      </c>
      <c r="B385" t="s">
        <v>51</v>
      </c>
      <c r="C385">
        <v>18</v>
      </c>
      <c r="D385" t="s">
        <v>36</v>
      </c>
      <c r="E385" t="s">
        <v>48</v>
      </c>
      <c r="F385" t="s">
        <v>45</v>
      </c>
      <c r="G385">
        <v>2</v>
      </c>
      <c r="H385">
        <v>2</v>
      </c>
      <c r="I385" t="s">
        <v>46</v>
      </c>
      <c r="J385" t="s">
        <v>46</v>
      </c>
      <c r="K385" t="s">
        <v>41</v>
      </c>
      <c r="L385" t="s">
        <v>42</v>
      </c>
      <c r="M385">
        <v>1</v>
      </c>
      <c r="N385">
        <v>4</v>
      </c>
      <c r="O385">
        <v>0</v>
      </c>
      <c r="P385" t="s">
        <v>44</v>
      </c>
      <c r="Q385" t="s">
        <v>43</v>
      </c>
      <c r="R385" t="s">
        <v>43</v>
      </c>
      <c r="S385">
        <f t="shared" si="5"/>
        <v>1</v>
      </c>
      <c r="T385" t="s">
        <v>43</v>
      </c>
      <c r="U385" t="s">
        <v>43</v>
      </c>
      <c r="V385" t="s">
        <v>43</v>
      </c>
      <c r="W385" t="s">
        <v>43</v>
      </c>
      <c r="X385" t="s">
        <v>44</v>
      </c>
      <c r="Y385">
        <v>4</v>
      </c>
      <c r="Z385">
        <v>5</v>
      </c>
      <c r="AA385">
        <v>5</v>
      </c>
      <c r="AB385">
        <v>2</v>
      </c>
      <c r="AC385">
        <v>4</v>
      </c>
      <c r="AD385">
        <v>5</v>
      </c>
      <c r="AE385">
        <v>0</v>
      </c>
      <c r="AF385">
        <v>11</v>
      </c>
      <c r="AG385">
        <v>11</v>
      </c>
      <c r="AH385">
        <v>12</v>
      </c>
    </row>
    <row r="386" spans="1:34" x14ac:dyDescent="0.2">
      <c r="A386" t="s">
        <v>34</v>
      </c>
      <c r="B386" t="s">
        <v>51</v>
      </c>
      <c r="C386">
        <v>19</v>
      </c>
      <c r="D386" t="s">
        <v>53</v>
      </c>
      <c r="E386" t="s">
        <v>37</v>
      </c>
      <c r="F386" t="s">
        <v>45</v>
      </c>
      <c r="G386">
        <v>3</v>
      </c>
      <c r="H386">
        <v>2</v>
      </c>
      <c r="I386" t="s">
        <v>39</v>
      </c>
      <c r="J386" t="s">
        <v>49</v>
      </c>
      <c r="K386" t="s">
        <v>50</v>
      </c>
      <c r="L386" t="s">
        <v>46</v>
      </c>
      <c r="M386">
        <v>1</v>
      </c>
      <c r="N386">
        <v>1</v>
      </c>
      <c r="O386">
        <v>0</v>
      </c>
      <c r="P386" t="s">
        <v>44</v>
      </c>
      <c r="Q386" t="s">
        <v>43</v>
      </c>
      <c r="R386" t="s">
        <v>44</v>
      </c>
      <c r="S386">
        <f t="shared" si="5"/>
        <v>0</v>
      </c>
      <c r="T386" t="s">
        <v>44</v>
      </c>
      <c r="U386" t="s">
        <v>44</v>
      </c>
      <c r="V386" t="s">
        <v>43</v>
      </c>
      <c r="W386" t="s">
        <v>44</v>
      </c>
      <c r="X386" t="s">
        <v>43</v>
      </c>
      <c r="Y386">
        <v>5</v>
      </c>
      <c r="Z386">
        <v>3</v>
      </c>
      <c r="AA386">
        <v>4</v>
      </c>
      <c r="AB386">
        <v>2</v>
      </c>
      <c r="AC386">
        <v>2</v>
      </c>
      <c r="AD386">
        <v>5</v>
      </c>
      <c r="AE386">
        <v>0</v>
      </c>
      <c r="AF386">
        <v>11</v>
      </c>
      <c r="AG386">
        <v>10</v>
      </c>
      <c r="AH386">
        <v>10</v>
      </c>
    </row>
    <row r="387" spans="1:34" x14ac:dyDescent="0.2">
      <c r="A387" t="s">
        <v>34</v>
      </c>
      <c r="B387" t="s">
        <v>35</v>
      </c>
      <c r="C387">
        <v>18</v>
      </c>
      <c r="D387" t="s">
        <v>36</v>
      </c>
      <c r="E387" t="s">
        <v>37</v>
      </c>
      <c r="F387" t="s">
        <v>45</v>
      </c>
      <c r="G387">
        <v>2</v>
      </c>
      <c r="H387">
        <v>2</v>
      </c>
      <c r="I387" t="s">
        <v>39</v>
      </c>
      <c r="J387" t="s">
        <v>46</v>
      </c>
      <c r="K387" t="s">
        <v>41</v>
      </c>
      <c r="L387" t="s">
        <v>42</v>
      </c>
      <c r="M387">
        <v>4</v>
      </c>
      <c r="N387">
        <v>2</v>
      </c>
      <c r="O387">
        <v>0</v>
      </c>
      <c r="P387" t="s">
        <v>44</v>
      </c>
      <c r="Q387" t="s">
        <v>44</v>
      </c>
      <c r="R387" t="s">
        <v>44</v>
      </c>
      <c r="S387">
        <f t="shared" ref="S387:S450" si="6">IF(R387="yes",1,0)</f>
        <v>0</v>
      </c>
      <c r="T387" t="s">
        <v>43</v>
      </c>
      <c r="U387" t="s">
        <v>43</v>
      </c>
      <c r="V387" t="s">
        <v>43</v>
      </c>
      <c r="W387" t="s">
        <v>44</v>
      </c>
      <c r="X387" t="s">
        <v>43</v>
      </c>
      <c r="Y387">
        <v>4</v>
      </c>
      <c r="Z387">
        <v>2</v>
      </c>
      <c r="AA387">
        <v>5</v>
      </c>
      <c r="AB387">
        <v>1</v>
      </c>
      <c r="AC387">
        <v>1</v>
      </c>
      <c r="AD387">
        <v>2</v>
      </c>
      <c r="AE387">
        <v>2</v>
      </c>
      <c r="AF387">
        <v>10</v>
      </c>
      <c r="AG387">
        <v>9</v>
      </c>
      <c r="AH387">
        <v>10</v>
      </c>
    </row>
    <row r="388" spans="1:34" x14ac:dyDescent="0.2">
      <c r="A388" t="s">
        <v>34</v>
      </c>
      <c r="B388" t="s">
        <v>35</v>
      </c>
      <c r="C388">
        <v>17</v>
      </c>
      <c r="D388" t="s">
        <v>53</v>
      </c>
      <c r="E388" t="s">
        <v>37</v>
      </c>
      <c r="F388" t="s">
        <v>45</v>
      </c>
      <c r="G388">
        <v>2</v>
      </c>
      <c r="H388">
        <v>4</v>
      </c>
      <c r="I388" t="s">
        <v>39</v>
      </c>
      <c r="J388" t="s">
        <v>46</v>
      </c>
      <c r="K388" t="s">
        <v>41</v>
      </c>
      <c r="L388" t="s">
        <v>47</v>
      </c>
      <c r="M388">
        <v>1</v>
      </c>
      <c r="N388">
        <v>3</v>
      </c>
      <c r="O388">
        <v>0</v>
      </c>
      <c r="P388" t="s">
        <v>44</v>
      </c>
      <c r="Q388" t="s">
        <v>43</v>
      </c>
      <c r="R388" t="s">
        <v>44</v>
      </c>
      <c r="S388">
        <f t="shared" si="6"/>
        <v>0</v>
      </c>
      <c r="T388" t="s">
        <v>44</v>
      </c>
      <c r="U388" t="s">
        <v>43</v>
      </c>
      <c r="V388" t="s">
        <v>43</v>
      </c>
      <c r="W388" t="s">
        <v>43</v>
      </c>
      <c r="X388" t="s">
        <v>43</v>
      </c>
      <c r="Y388">
        <v>4</v>
      </c>
      <c r="Z388">
        <v>4</v>
      </c>
      <c r="AA388">
        <v>3</v>
      </c>
      <c r="AB388">
        <v>1</v>
      </c>
      <c r="AC388">
        <v>1</v>
      </c>
      <c r="AD388">
        <v>5</v>
      </c>
      <c r="AE388">
        <v>0</v>
      </c>
      <c r="AF388">
        <v>15</v>
      </c>
      <c r="AG388">
        <v>15</v>
      </c>
      <c r="AH388">
        <v>15</v>
      </c>
    </row>
    <row r="389" spans="1:34" x14ac:dyDescent="0.2">
      <c r="A389" t="s">
        <v>34</v>
      </c>
      <c r="B389" t="s">
        <v>51</v>
      </c>
      <c r="C389">
        <v>18</v>
      </c>
      <c r="D389" t="s">
        <v>36</v>
      </c>
      <c r="E389" t="s">
        <v>37</v>
      </c>
      <c r="F389" t="s">
        <v>45</v>
      </c>
      <c r="G389">
        <v>2</v>
      </c>
      <c r="H389">
        <v>2</v>
      </c>
      <c r="I389" t="s">
        <v>46</v>
      </c>
      <c r="J389" t="s">
        <v>46</v>
      </c>
      <c r="K389" t="s">
        <v>52</v>
      </c>
      <c r="L389" t="s">
        <v>42</v>
      </c>
      <c r="M389">
        <v>1</v>
      </c>
      <c r="N389">
        <v>1</v>
      </c>
      <c r="O389">
        <v>0</v>
      </c>
      <c r="P389" t="s">
        <v>44</v>
      </c>
      <c r="Q389" t="s">
        <v>44</v>
      </c>
      <c r="R389" t="s">
        <v>44</v>
      </c>
      <c r="S389">
        <f t="shared" si="6"/>
        <v>0</v>
      </c>
      <c r="T389" t="s">
        <v>44</v>
      </c>
      <c r="U389" t="s">
        <v>44</v>
      </c>
      <c r="V389" t="s">
        <v>43</v>
      </c>
      <c r="W389" t="s">
        <v>43</v>
      </c>
      <c r="X389" t="s">
        <v>44</v>
      </c>
      <c r="Y389">
        <v>5</v>
      </c>
      <c r="Z389">
        <v>4</v>
      </c>
      <c r="AA389">
        <v>2</v>
      </c>
      <c r="AB389">
        <v>1</v>
      </c>
      <c r="AC389">
        <v>2</v>
      </c>
      <c r="AD389">
        <v>5</v>
      </c>
      <c r="AE389">
        <v>6</v>
      </c>
      <c r="AF389">
        <v>15</v>
      </c>
      <c r="AG389">
        <v>14</v>
      </c>
      <c r="AH389">
        <v>15</v>
      </c>
    </row>
    <row r="390" spans="1:34" x14ac:dyDescent="0.2">
      <c r="A390" t="s">
        <v>34</v>
      </c>
      <c r="B390" t="s">
        <v>35</v>
      </c>
      <c r="C390">
        <v>18</v>
      </c>
      <c r="D390" t="s">
        <v>36</v>
      </c>
      <c r="E390" t="s">
        <v>37</v>
      </c>
      <c r="F390" t="s">
        <v>45</v>
      </c>
      <c r="G390">
        <v>3</v>
      </c>
      <c r="H390">
        <v>3</v>
      </c>
      <c r="I390" t="s">
        <v>49</v>
      </c>
      <c r="J390" t="s">
        <v>49</v>
      </c>
      <c r="K390" t="s">
        <v>50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44</v>
      </c>
      <c r="R390" t="s">
        <v>44</v>
      </c>
      <c r="S390">
        <f t="shared" si="6"/>
        <v>0</v>
      </c>
      <c r="T390" t="s">
        <v>43</v>
      </c>
      <c r="U390" t="s">
        <v>43</v>
      </c>
      <c r="V390" t="s">
        <v>43</v>
      </c>
      <c r="W390" t="s">
        <v>43</v>
      </c>
      <c r="X390" t="s">
        <v>44</v>
      </c>
      <c r="Y390">
        <v>5</v>
      </c>
      <c r="Z390">
        <v>3</v>
      </c>
      <c r="AA390">
        <v>4</v>
      </c>
      <c r="AB390">
        <v>1</v>
      </c>
      <c r="AC390">
        <v>1</v>
      </c>
      <c r="AD390">
        <v>4</v>
      </c>
      <c r="AE390">
        <v>8</v>
      </c>
      <c r="AF390">
        <v>10</v>
      </c>
      <c r="AG390">
        <v>11</v>
      </c>
      <c r="AH390">
        <v>12</v>
      </c>
    </row>
    <row r="391" spans="1:34" x14ac:dyDescent="0.2">
      <c r="A391" t="s">
        <v>34</v>
      </c>
      <c r="B391" t="s">
        <v>35</v>
      </c>
      <c r="C391">
        <v>18</v>
      </c>
      <c r="D391" t="s">
        <v>36</v>
      </c>
      <c r="E391" t="s">
        <v>48</v>
      </c>
      <c r="F391" t="s">
        <v>45</v>
      </c>
      <c r="G391">
        <v>2</v>
      </c>
      <c r="H391">
        <v>2</v>
      </c>
      <c r="I391" t="s">
        <v>46</v>
      </c>
      <c r="J391" t="s">
        <v>46</v>
      </c>
      <c r="K391" t="s">
        <v>50</v>
      </c>
      <c r="L391" t="s">
        <v>46</v>
      </c>
      <c r="M391">
        <v>1</v>
      </c>
      <c r="N391">
        <v>2</v>
      </c>
      <c r="O391">
        <v>0</v>
      </c>
      <c r="P391" t="s">
        <v>44</v>
      </c>
      <c r="Q391" t="s">
        <v>44</v>
      </c>
      <c r="R391" t="s">
        <v>44</v>
      </c>
      <c r="S391">
        <f t="shared" si="6"/>
        <v>0</v>
      </c>
      <c r="T391" t="s">
        <v>43</v>
      </c>
      <c r="U391" t="s">
        <v>44</v>
      </c>
      <c r="V391" t="s">
        <v>43</v>
      </c>
      <c r="W391" t="s">
        <v>43</v>
      </c>
      <c r="X391" t="s">
        <v>43</v>
      </c>
      <c r="Y391">
        <v>4</v>
      </c>
      <c r="Z391">
        <v>3</v>
      </c>
      <c r="AA391">
        <v>3</v>
      </c>
      <c r="AB391">
        <v>1</v>
      </c>
      <c r="AC391">
        <v>1</v>
      </c>
      <c r="AD391">
        <v>2</v>
      </c>
      <c r="AE391">
        <v>0</v>
      </c>
      <c r="AF391">
        <v>10</v>
      </c>
      <c r="AG391">
        <v>9</v>
      </c>
      <c r="AH391">
        <v>12</v>
      </c>
    </row>
    <row r="392" spans="1:34" x14ac:dyDescent="0.2">
      <c r="A392" t="s">
        <v>34</v>
      </c>
      <c r="B392" t="s">
        <v>35</v>
      </c>
      <c r="C392">
        <v>18</v>
      </c>
      <c r="D392" t="s">
        <v>53</v>
      </c>
      <c r="E392" t="s">
        <v>37</v>
      </c>
      <c r="F392" t="s">
        <v>45</v>
      </c>
      <c r="G392">
        <v>2</v>
      </c>
      <c r="H392">
        <v>2</v>
      </c>
      <c r="I392" t="s">
        <v>39</v>
      </c>
      <c r="J392" t="s">
        <v>46</v>
      </c>
      <c r="K392" t="s">
        <v>41</v>
      </c>
      <c r="L392" t="s">
        <v>42</v>
      </c>
      <c r="M392">
        <v>2</v>
      </c>
      <c r="N392">
        <v>4</v>
      </c>
      <c r="O392">
        <v>0</v>
      </c>
      <c r="P392" t="s">
        <v>44</v>
      </c>
      <c r="Q392" t="s">
        <v>44</v>
      </c>
      <c r="R392" t="s">
        <v>44</v>
      </c>
      <c r="S392">
        <f t="shared" si="6"/>
        <v>0</v>
      </c>
      <c r="T392" t="s">
        <v>43</v>
      </c>
      <c r="U392" t="s">
        <v>43</v>
      </c>
      <c r="V392" t="s">
        <v>43</v>
      </c>
      <c r="W392" t="s">
        <v>44</v>
      </c>
      <c r="X392" t="s">
        <v>44</v>
      </c>
      <c r="Y392">
        <v>4</v>
      </c>
      <c r="Z392">
        <v>4</v>
      </c>
      <c r="AA392">
        <v>4</v>
      </c>
      <c r="AB392">
        <v>1</v>
      </c>
      <c r="AC392">
        <v>1</v>
      </c>
      <c r="AD392">
        <v>4</v>
      </c>
      <c r="AE392">
        <v>6</v>
      </c>
      <c r="AF392">
        <v>14</v>
      </c>
      <c r="AG392">
        <v>13</v>
      </c>
      <c r="AH392">
        <v>14</v>
      </c>
    </row>
    <row r="393" spans="1:34" x14ac:dyDescent="0.2">
      <c r="A393" t="s">
        <v>34</v>
      </c>
      <c r="B393" t="s">
        <v>35</v>
      </c>
      <c r="C393">
        <v>17</v>
      </c>
      <c r="D393" t="s">
        <v>36</v>
      </c>
      <c r="E393" t="s">
        <v>37</v>
      </c>
      <c r="F393" t="s">
        <v>45</v>
      </c>
      <c r="G393">
        <v>3</v>
      </c>
      <c r="H393">
        <v>4</v>
      </c>
      <c r="I393" t="s">
        <v>49</v>
      </c>
      <c r="J393" t="s">
        <v>46</v>
      </c>
      <c r="K393" t="s">
        <v>41</v>
      </c>
      <c r="L393" t="s">
        <v>42</v>
      </c>
      <c r="M393">
        <v>1</v>
      </c>
      <c r="N393">
        <v>3</v>
      </c>
      <c r="O393">
        <v>0</v>
      </c>
      <c r="P393" t="s">
        <v>44</v>
      </c>
      <c r="Q393" t="s">
        <v>44</v>
      </c>
      <c r="R393" t="s">
        <v>44</v>
      </c>
      <c r="S393">
        <f t="shared" si="6"/>
        <v>0</v>
      </c>
      <c r="T393" t="s">
        <v>44</v>
      </c>
      <c r="U393" t="s">
        <v>43</v>
      </c>
      <c r="V393" t="s">
        <v>43</v>
      </c>
      <c r="W393" t="s">
        <v>43</v>
      </c>
      <c r="X393" t="s">
        <v>44</v>
      </c>
      <c r="Y393">
        <v>4</v>
      </c>
      <c r="Z393">
        <v>4</v>
      </c>
      <c r="AA393">
        <v>5</v>
      </c>
      <c r="AB393">
        <v>1</v>
      </c>
      <c r="AC393">
        <v>3</v>
      </c>
      <c r="AD393">
        <v>5</v>
      </c>
      <c r="AE393">
        <v>8</v>
      </c>
      <c r="AF393">
        <v>11</v>
      </c>
      <c r="AG393">
        <v>13</v>
      </c>
      <c r="AH393">
        <v>14</v>
      </c>
    </row>
    <row r="394" spans="1:34" x14ac:dyDescent="0.2">
      <c r="A394" t="s">
        <v>34</v>
      </c>
      <c r="B394" t="s">
        <v>35</v>
      </c>
      <c r="C394">
        <v>17</v>
      </c>
      <c r="D394" t="s">
        <v>36</v>
      </c>
      <c r="E394" t="s">
        <v>37</v>
      </c>
      <c r="F394" t="s">
        <v>45</v>
      </c>
      <c r="G394">
        <v>3</v>
      </c>
      <c r="H394">
        <v>2</v>
      </c>
      <c r="I394" t="s">
        <v>46</v>
      </c>
      <c r="J394" t="s">
        <v>46</v>
      </c>
      <c r="K394" t="s">
        <v>50</v>
      </c>
      <c r="L394" t="s">
        <v>42</v>
      </c>
      <c r="M394">
        <v>1</v>
      </c>
      <c r="N394">
        <v>2</v>
      </c>
      <c r="O394">
        <v>0</v>
      </c>
      <c r="P394" t="s">
        <v>44</v>
      </c>
      <c r="Q394" t="s">
        <v>43</v>
      </c>
      <c r="R394" t="s">
        <v>44</v>
      </c>
      <c r="S394">
        <f t="shared" si="6"/>
        <v>0</v>
      </c>
      <c r="T394" t="s">
        <v>44</v>
      </c>
      <c r="U394" t="s">
        <v>43</v>
      </c>
      <c r="V394" t="s">
        <v>43</v>
      </c>
      <c r="W394" t="s">
        <v>43</v>
      </c>
      <c r="X394" t="s">
        <v>43</v>
      </c>
      <c r="Y394">
        <v>4</v>
      </c>
      <c r="Z394">
        <v>3</v>
      </c>
      <c r="AA394">
        <v>2</v>
      </c>
      <c r="AB394">
        <v>2</v>
      </c>
      <c r="AC394">
        <v>3</v>
      </c>
      <c r="AD394">
        <v>2</v>
      </c>
      <c r="AE394">
        <v>0</v>
      </c>
      <c r="AF394">
        <v>12</v>
      </c>
      <c r="AG394">
        <v>13</v>
      </c>
      <c r="AH394">
        <v>15</v>
      </c>
    </row>
    <row r="395" spans="1:34" x14ac:dyDescent="0.2">
      <c r="A395" t="s">
        <v>34</v>
      </c>
      <c r="B395" t="s">
        <v>35</v>
      </c>
      <c r="C395">
        <v>18</v>
      </c>
      <c r="D395" t="s">
        <v>36</v>
      </c>
      <c r="E395" t="s">
        <v>48</v>
      </c>
      <c r="F395" t="s">
        <v>45</v>
      </c>
      <c r="G395">
        <v>3</v>
      </c>
      <c r="H395">
        <v>3</v>
      </c>
      <c r="I395" t="s">
        <v>49</v>
      </c>
      <c r="J395" t="s">
        <v>49</v>
      </c>
      <c r="K395" t="s">
        <v>50</v>
      </c>
      <c r="L395" t="s">
        <v>42</v>
      </c>
      <c r="M395">
        <v>1</v>
      </c>
      <c r="N395">
        <v>4</v>
      </c>
      <c r="O395">
        <v>0</v>
      </c>
      <c r="P395" t="s">
        <v>44</v>
      </c>
      <c r="Q395" t="s">
        <v>43</v>
      </c>
      <c r="R395" t="s">
        <v>44</v>
      </c>
      <c r="S395">
        <f t="shared" si="6"/>
        <v>0</v>
      </c>
      <c r="T395" t="s">
        <v>44</v>
      </c>
      <c r="U395" t="s">
        <v>43</v>
      </c>
      <c r="V395" t="s">
        <v>43</v>
      </c>
      <c r="W395" t="s">
        <v>43</v>
      </c>
      <c r="X395" t="s">
        <v>44</v>
      </c>
      <c r="Y395">
        <v>5</v>
      </c>
      <c r="Z395">
        <v>3</v>
      </c>
      <c r="AA395">
        <v>3</v>
      </c>
      <c r="AB395">
        <v>1</v>
      </c>
      <c r="AC395">
        <v>1</v>
      </c>
      <c r="AD395">
        <v>1</v>
      </c>
      <c r="AE395">
        <v>4</v>
      </c>
      <c r="AF395">
        <v>14</v>
      </c>
      <c r="AG395">
        <v>14</v>
      </c>
      <c r="AH395">
        <v>15</v>
      </c>
    </row>
    <row r="396" spans="1:34" x14ac:dyDescent="0.2">
      <c r="A396" t="s">
        <v>34</v>
      </c>
      <c r="B396" t="s">
        <v>35</v>
      </c>
      <c r="C396">
        <v>17</v>
      </c>
      <c r="D396" t="s">
        <v>53</v>
      </c>
      <c r="E396" t="s">
        <v>37</v>
      </c>
      <c r="F396" t="s">
        <v>38</v>
      </c>
      <c r="G396">
        <v>3</v>
      </c>
      <c r="H396">
        <v>2</v>
      </c>
      <c r="I396" t="s">
        <v>46</v>
      </c>
      <c r="J396" t="s">
        <v>46</v>
      </c>
      <c r="K396" t="s">
        <v>50</v>
      </c>
      <c r="L396" t="s">
        <v>42</v>
      </c>
      <c r="M396">
        <v>1</v>
      </c>
      <c r="N396">
        <v>2</v>
      </c>
      <c r="O396">
        <v>0</v>
      </c>
      <c r="P396" t="s">
        <v>44</v>
      </c>
      <c r="Q396" t="s">
        <v>43</v>
      </c>
      <c r="R396" t="s">
        <v>44</v>
      </c>
      <c r="S396">
        <f t="shared" si="6"/>
        <v>0</v>
      </c>
      <c r="T396" t="s">
        <v>44</v>
      </c>
      <c r="U396" t="s">
        <v>43</v>
      </c>
      <c r="V396" t="s">
        <v>43</v>
      </c>
      <c r="W396" t="s">
        <v>43</v>
      </c>
      <c r="X396" t="s">
        <v>44</v>
      </c>
      <c r="Y396">
        <v>4</v>
      </c>
      <c r="Z396">
        <v>3</v>
      </c>
      <c r="AA396">
        <v>3</v>
      </c>
      <c r="AB396">
        <v>2</v>
      </c>
      <c r="AC396">
        <v>3</v>
      </c>
      <c r="AD396">
        <v>2</v>
      </c>
      <c r="AE396">
        <v>0</v>
      </c>
      <c r="AF396">
        <v>14</v>
      </c>
      <c r="AG396">
        <v>14</v>
      </c>
      <c r="AH396">
        <v>16</v>
      </c>
    </row>
    <row r="397" spans="1:34" x14ac:dyDescent="0.2">
      <c r="A397" t="s">
        <v>34</v>
      </c>
      <c r="B397" t="s">
        <v>51</v>
      </c>
      <c r="C397">
        <v>18</v>
      </c>
      <c r="D397" t="s">
        <v>36</v>
      </c>
      <c r="E397" t="s">
        <v>37</v>
      </c>
      <c r="F397" t="s">
        <v>45</v>
      </c>
      <c r="G397">
        <v>4</v>
      </c>
      <c r="H397">
        <v>4</v>
      </c>
      <c r="I397" t="s">
        <v>40</v>
      </c>
      <c r="J397" t="s">
        <v>49</v>
      </c>
      <c r="K397" t="s">
        <v>50</v>
      </c>
      <c r="L397" t="s">
        <v>47</v>
      </c>
      <c r="M397">
        <v>1</v>
      </c>
      <c r="N397">
        <v>2</v>
      </c>
      <c r="O397">
        <v>0</v>
      </c>
      <c r="P397" t="s">
        <v>44</v>
      </c>
      <c r="Q397" t="s">
        <v>43</v>
      </c>
      <c r="R397" t="s">
        <v>44</v>
      </c>
      <c r="S397">
        <f t="shared" si="6"/>
        <v>0</v>
      </c>
      <c r="T397" t="s">
        <v>43</v>
      </c>
      <c r="U397" t="s">
        <v>43</v>
      </c>
      <c r="V397" t="s">
        <v>43</v>
      </c>
      <c r="W397" t="s">
        <v>43</v>
      </c>
      <c r="X397" t="s">
        <v>44</v>
      </c>
      <c r="Y397">
        <v>4</v>
      </c>
      <c r="Z397">
        <v>3</v>
      </c>
      <c r="AA397">
        <v>3</v>
      </c>
      <c r="AB397">
        <v>2</v>
      </c>
      <c r="AC397">
        <v>2</v>
      </c>
      <c r="AD397">
        <v>2</v>
      </c>
      <c r="AE397">
        <v>0</v>
      </c>
      <c r="AF397">
        <v>12</v>
      </c>
      <c r="AG397">
        <v>12</v>
      </c>
      <c r="AH397">
        <v>13</v>
      </c>
    </row>
    <row r="398" spans="1:34" x14ac:dyDescent="0.2">
      <c r="A398" t="s">
        <v>34</v>
      </c>
      <c r="B398" t="s">
        <v>51</v>
      </c>
      <c r="C398">
        <v>18</v>
      </c>
      <c r="D398" t="s">
        <v>36</v>
      </c>
      <c r="E398" t="s">
        <v>48</v>
      </c>
      <c r="F398" t="s">
        <v>45</v>
      </c>
      <c r="G398">
        <v>3</v>
      </c>
      <c r="H398">
        <v>4</v>
      </c>
      <c r="I398" t="s">
        <v>49</v>
      </c>
      <c r="J398" t="s">
        <v>46</v>
      </c>
      <c r="K398" t="s">
        <v>50</v>
      </c>
      <c r="L398" t="s">
        <v>42</v>
      </c>
      <c r="M398">
        <v>1</v>
      </c>
      <c r="N398">
        <v>2</v>
      </c>
      <c r="O398">
        <v>0</v>
      </c>
      <c r="P398" t="s">
        <v>44</v>
      </c>
      <c r="Q398" t="s">
        <v>44</v>
      </c>
      <c r="R398" t="s">
        <v>44</v>
      </c>
      <c r="S398">
        <f t="shared" si="6"/>
        <v>0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>
        <v>4</v>
      </c>
      <c r="Z398">
        <v>3</v>
      </c>
      <c r="AA398">
        <v>3</v>
      </c>
      <c r="AB398">
        <v>1</v>
      </c>
      <c r="AC398">
        <v>3</v>
      </c>
      <c r="AD398">
        <v>5</v>
      </c>
      <c r="AE398">
        <v>6</v>
      </c>
      <c r="AF398">
        <v>16</v>
      </c>
      <c r="AG398">
        <v>16</v>
      </c>
      <c r="AH398">
        <v>17</v>
      </c>
    </row>
    <row r="399" spans="1:34" x14ac:dyDescent="0.2">
      <c r="A399" t="s">
        <v>34</v>
      </c>
      <c r="B399" t="s">
        <v>35</v>
      </c>
      <c r="C399">
        <v>17</v>
      </c>
      <c r="D399" t="s">
        <v>36</v>
      </c>
      <c r="E399" t="s">
        <v>37</v>
      </c>
      <c r="F399" t="s">
        <v>38</v>
      </c>
      <c r="G399">
        <v>2</v>
      </c>
      <c r="H399">
        <v>2</v>
      </c>
      <c r="I399" t="s">
        <v>39</v>
      </c>
      <c r="J399" t="s">
        <v>39</v>
      </c>
      <c r="K399" t="s">
        <v>50</v>
      </c>
      <c r="L399" t="s">
        <v>47</v>
      </c>
      <c r="M399">
        <v>1</v>
      </c>
      <c r="N399">
        <v>2</v>
      </c>
      <c r="O399">
        <v>0</v>
      </c>
      <c r="P399" t="s">
        <v>44</v>
      </c>
      <c r="Q399" t="s">
        <v>43</v>
      </c>
      <c r="R399" t="s">
        <v>44</v>
      </c>
      <c r="S399">
        <f t="shared" si="6"/>
        <v>0</v>
      </c>
      <c r="T399" t="s">
        <v>44</v>
      </c>
      <c r="U399" t="s">
        <v>43</v>
      </c>
      <c r="V399" t="s">
        <v>43</v>
      </c>
      <c r="W399" t="s">
        <v>43</v>
      </c>
      <c r="X399" t="s">
        <v>43</v>
      </c>
      <c r="Y399">
        <v>3</v>
      </c>
      <c r="Z399">
        <v>3</v>
      </c>
      <c r="AA399">
        <v>1</v>
      </c>
      <c r="AB399">
        <v>1</v>
      </c>
      <c r="AC399">
        <v>2</v>
      </c>
      <c r="AD399">
        <v>4</v>
      </c>
      <c r="AE399">
        <v>18</v>
      </c>
      <c r="AF399">
        <v>10</v>
      </c>
      <c r="AG399">
        <v>12</v>
      </c>
      <c r="AH399">
        <v>14</v>
      </c>
    </row>
    <row r="400" spans="1:34" x14ac:dyDescent="0.2">
      <c r="A400" t="s">
        <v>34</v>
      </c>
      <c r="B400" t="s">
        <v>35</v>
      </c>
      <c r="C400">
        <v>18</v>
      </c>
      <c r="D400" t="s">
        <v>36</v>
      </c>
      <c r="E400" t="s">
        <v>37</v>
      </c>
      <c r="F400" t="s">
        <v>45</v>
      </c>
      <c r="G400">
        <v>2</v>
      </c>
      <c r="H400">
        <v>3</v>
      </c>
      <c r="I400" t="s">
        <v>39</v>
      </c>
      <c r="J400" t="s">
        <v>46</v>
      </c>
      <c r="K400" t="s">
        <v>41</v>
      </c>
      <c r="L400" t="s">
        <v>42</v>
      </c>
      <c r="M400">
        <v>1</v>
      </c>
      <c r="N400">
        <v>3</v>
      </c>
      <c r="O400">
        <v>0</v>
      </c>
      <c r="P400" t="s">
        <v>44</v>
      </c>
      <c r="Q400" t="s">
        <v>43</v>
      </c>
      <c r="R400" t="s">
        <v>44</v>
      </c>
      <c r="S400">
        <f t="shared" si="6"/>
        <v>0</v>
      </c>
      <c r="T400" t="s">
        <v>44</v>
      </c>
      <c r="U400" t="s">
        <v>43</v>
      </c>
      <c r="V400" t="s">
        <v>43</v>
      </c>
      <c r="W400" t="s">
        <v>43</v>
      </c>
      <c r="X400" t="s">
        <v>44</v>
      </c>
      <c r="Y400">
        <v>4</v>
      </c>
      <c r="Z400">
        <v>3</v>
      </c>
      <c r="AA400">
        <v>3</v>
      </c>
      <c r="AB400">
        <v>1</v>
      </c>
      <c r="AC400">
        <v>2</v>
      </c>
      <c r="AD400">
        <v>3</v>
      </c>
      <c r="AE400">
        <v>0</v>
      </c>
      <c r="AF400">
        <v>11</v>
      </c>
      <c r="AG400">
        <v>12</v>
      </c>
      <c r="AH400">
        <v>14</v>
      </c>
    </row>
    <row r="401" spans="1:34" x14ac:dyDescent="0.2">
      <c r="A401" t="s">
        <v>34</v>
      </c>
      <c r="B401" t="s">
        <v>35</v>
      </c>
      <c r="C401">
        <v>18</v>
      </c>
      <c r="D401" t="s">
        <v>36</v>
      </c>
      <c r="E401" t="s">
        <v>37</v>
      </c>
      <c r="F401" t="s">
        <v>45</v>
      </c>
      <c r="G401">
        <v>3</v>
      </c>
      <c r="H401">
        <v>2</v>
      </c>
      <c r="I401" t="s">
        <v>46</v>
      </c>
      <c r="J401" t="s">
        <v>49</v>
      </c>
      <c r="K401" t="s">
        <v>46</v>
      </c>
      <c r="L401" t="s">
        <v>42</v>
      </c>
      <c r="M401">
        <v>1</v>
      </c>
      <c r="N401">
        <v>3</v>
      </c>
      <c r="O401">
        <v>0</v>
      </c>
      <c r="P401" t="s">
        <v>44</v>
      </c>
      <c r="Q401" t="s">
        <v>44</v>
      </c>
      <c r="R401" t="s">
        <v>44</v>
      </c>
      <c r="S401">
        <f t="shared" si="6"/>
        <v>0</v>
      </c>
      <c r="T401" t="s">
        <v>44</v>
      </c>
      <c r="U401" t="s">
        <v>43</v>
      </c>
      <c r="V401" t="s">
        <v>43</v>
      </c>
      <c r="W401" t="s">
        <v>43</v>
      </c>
      <c r="X401" t="s">
        <v>43</v>
      </c>
      <c r="Y401">
        <v>5</v>
      </c>
      <c r="Z401">
        <v>4</v>
      </c>
      <c r="AA401">
        <v>3</v>
      </c>
      <c r="AB401">
        <v>2</v>
      </c>
      <c r="AC401">
        <v>3</v>
      </c>
      <c r="AD401">
        <v>1</v>
      </c>
      <c r="AE401">
        <v>4</v>
      </c>
      <c r="AF401">
        <v>14</v>
      </c>
      <c r="AG401">
        <v>16</v>
      </c>
      <c r="AH401">
        <v>17</v>
      </c>
    </row>
    <row r="402" spans="1:34" x14ac:dyDescent="0.2">
      <c r="A402" t="s">
        <v>34</v>
      </c>
      <c r="B402" t="s">
        <v>51</v>
      </c>
      <c r="C402">
        <v>18</v>
      </c>
      <c r="D402" t="s">
        <v>53</v>
      </c>
      <c r="E402" t="s">
        <v>37</v>
      </c>
      <c r="F402" t="s">
        <v>45</v>
      </c>
      <c r="G402">
        <v>4</v>
      </c>
      <c r="H402">
        <v>3</v>
      </c>
      <c r="I402" t="s">
        <v>40</v>
      </c>
      <c r="J402" t="s">
        <v>49</v>
      </c>
      <c r="K402" t="s">
        <v>41</v>
      </c>
      <c r="L402" t="s">
        <v>42</v>
      </c>
      <c r="M402">
        <v>1</v>
      </c>
      <c r="N402">
        <v>3</v>
      </c>
      <c r="O402">
        <v>0</v>
      </c>
      <c r="P402" t="s">
        <v>44</v>
      </c>
      <c r="Q402" t="s">
        <v>44</v>
      </c>
      <c r="R402" t="s">
        <v>44</v>
      </c>
      <c r="S402">
        <f t="shared" si="6"/>
        <v>0</v>
      </c>
      <c r="T402" t="s">
        <v>44</v>
      </c>
      <c r="U402" t="s">
        <v>43</v>
      </c>
      <c r="V402" t="s">
        <v>43</v>
      </c>
      <c r="W402" t="s">
        <v>43</v>
      </c>
      <c r="X402" t="s">
        <v>43</v>
      </c>
      <c r="Y402">
        <v>5</v>
      </c>
      <c r="Z402">
        <v>3</v>
      </c>
      <c r="AA402">
        <v>2</v>
      </c>
      <c r="AB402">
        <v>1</v>
      </c>
      <c r="AC402">
        <v>2</v>
      </c>
      <c r="AD402">
        <v>4</v>
      </c>
      <c r="AE402">
        <v>4</v>
      </c>
      <c r="AF402">
        <v>15</v>
      </c>
      <c r="AG402">
        <v>14</v>
      </c>
      <c r="AH402">
        <v>17</v>
      </c>
    </row>
    <row r="403" spans="1:34" x14ac:dyDescent="0.2">
      <c r="A403" t="s">
        <v>34</v>
      </c>
      <c r="B403" t="s">
        <v>51</v>
      </c>
      <c r="C403">
        <v>18</v>
      </c>
      <c r="D403" t="s">
        <v>36</v>
      </c>
      <c r="E403" t="s">
        <v>37</v>
      </c>
      <c r="F403" t="s">
        <v>45</v>
      </c>
      <c r="G403">
        <v>4</v>
      </c>
      <c r="H403">
        <v>3</v>
      </c>
      <c r="I403" t="s">
        <v>40</v>
      </c>
      <c r="J403" t="s">
        <v>46</v>
      </c>
      <c r="K403" t="s">
        <v>41</v>
      </c>
      <c r="L403" t="s">
        <v>42</v>
      </c>
      <c r="M403">
        <v>1</v>
      </c>
      <c r="N403">
        <v>3</v>
      </c>
      <c r="O403">
        <v>0</v>
      </c>
      <c r="P403" t="s">
        <v>44</v>
      </c>
      <c r="Q403" t="s">
        <v>43</v>
      </c>
      <c r="R403" t="s">
        <v>44</v>
      </c>
      <c r="S403">
        <f t="shared" si="6"/>
        <v>0</v>
      </c>
      <c r="T403" t="s">
        <v>44</v>
      </c>
      <c r="U403" t="s">
        <v>43</v>
      </c>
      <c r="V403" t="s">
        <v>43</v>
      </c>
      <c r="W403" t="s">
        <v>43</v>
      </c>
      <c r="X403" t="s">
        <v>43</v>
      </c>
      <c r="Y403">
        <v>5</v>
      </c>
      <c r="Z403">
        <v>4</v>
      </c>
      <c r="AA403">
        <v>5</v>
      </c>
      <c r="AB403">
        <v>2</v>
      </c>
      <c r="AC403">
        <v>3</v>
      </c>
      <c r="AD403">
        <v>5</v>
      </c>
      <c r="AE403">
        <v>0</v>
      </c>
      <c r="AF403">
        <v>14</v>
      </c>
      <c r="AG403">
        <v>13</v>
      </c>
      <c r="AH403">
        <v>14</v>
      </c>
    </row>
    <row r="404" spans="1:34" x14ac:dyDescent="0.2">
      <c r="A404" t="s">
        <v>34</v>
      </c>
      <c r="B404" t="s">
        <v>35</v>
      </c>
      <c r="C404">
        <v>17</v>
      </c>
      <c r="D404" t="s">
        <v>36</v>
      </c>
      <c r="E404" t="s">
        <v>37</v>
      </c>
      <c r="F404" t="s">
        <v>45</v>
      </c>
      <c r="G404">
        <v>4</v>
      </c>
      <c r="H404">
        <v>3</v>
      </c>
      <c r="I404" t="s">
        <v>29</v>
      </c>
      <c r="J404" t="s">
        <v>46</v>
      </c>
      <c r="K404" t="s">
        <v>52</v>
      </c>
      <c r="L404" t="s">
        <v>42</v>
      </c>
      <c r="M404">
        <v>1</v>
      </c>
      <c r="N404">
        <v>3</v>
      </c>
      <c r="O404">
        <v>0</v>
      </c>
      <c r="P404" t="s">
        <v>44</v>
      </c>
      <c r="Q404" t="s">
        <v>43</v>
      </c>
      <c r="R404" t="s">
        <v>44</v>
      </c>
      <c r="S404">
        <f t="shared" si="6"/>
        <v>0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>
        <v>4</v>
      </c>
      <c r="Z404">
        <v>4</v>
      </c>
      <c r="AA404">
        <v>3</v>
      </c>
      <c r="AB404">
        <v>1</v>
      </c>
      <c r="AC404">
        <v>3</v>
      </c>
      <c r="AD404">
        <v>4</v>
      </c>
      <c r="AE404">
        <v>0</v>
      </c>
      <c r="AF404">
        <v>11</v>
      </c>
      <c r="AG404">
        <v>12</v>
      </c>
      <c r="AH404">
        <v>13</v>
      </c>
    </row>
    <row r="405" spans="1:34" x14ac:dyDescent="0.2">
      <c r="A405" t="s">
        <v>34</v>
      </c>
      <c r="B405" t="s">
        <v>35</v>
      </c>
      <c r="C405">
        <v>17</v>
      </c>
      <c r="D405" t="s">
        <v>36</v>
      </c>
      <c r="E405" t="s">
        <v>37</v>
      </c>
      <c r="F405" t="s">
        <v>45</v>
      </c>
      <c r="G405">
        <v>2</v>
      </c>
      <c r="H405">
        <v>1</v>
      </c>
      <c r="I405" t="s">
        <v>49</v>
      </c>
      <c r="J405" t="s">
        <v>46</v>
      </c>
      <c r="K405" t="s">
        <v>41</v>
      </c>
      <c r="L405" t="s">
        <v>42</v>
      </c>
      <c r="M405">
        <v>2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>
        <f t="shared" si="6"/>
        <v>0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>
        <v>4</v>
      </c>
      <c r="Z405">
        <v>3</v>
      </c>
      <c r="AA405">
        <v>4</v>
      </c>
      <c r="AB405">
        <v>2</v>
      </c>
      <c r="AC405">
        <v>2</v>
      </c>
      <c r="AD405">
        <v>1</v>
      </c>
      <c r="AE405">
        <v>10</v>
      </c>
      <c r="AF405">
        <v>12</v>
      </c>
      <c r="AG405">
        <v>15</v>
      </c>
      <c r="AH405">
        <v>15</v>
      </c>
    </row>
    <row r="406" spans="1:34" x14ac:dyDescent="0.2">
      <c r="A406" t="s">
        <v>34</v>
      </c>
      <c r="B406" t="s">
        <v>35</v>
      </c>
      <c r="C406">
        <v>17</v>
      </c>
      <c r="D406" t="s">
        <v>36</v>
      </c>
      <c r="E406" t="s">
        <v>37</v>
      </c>
      <c r="F406" t="s">
        <v>45</v>
      </c>
      <c r="G406">
        <v>2</v>
      </c>
      <c r="H406">
        <v>1</v>
      </c>
      <c r="I406" t="s">
        <v>49</v>
      </c>
      <c r="J406" t="s">
        <v>46</v>
      </c>
      <c r="K406" t="s">
        <v>52</v>
      </c>
      <c r="L406" t="s">
        <v>42</v>
      </c>
      <c r="M406">
        <v>1</v>
      </c>
      <c r="N406">
        <v>2</v>
      </c>
      <c r="O406">
        <v>0</v>
      </c>
      <c r="P406" t="s">
        <v>44</v>
      </c>
      <c r="Q406" t="s">
        <v>43</v>
      </c>
      <c r="R406" t="s">
        <v>44</v>
      </c>
      <c r="S406">
        <f t="shared" si="6"/>
        <v>0</v>
      </c>
      <c r="T406" t="s">
        <v>43</v>
      </c>
      <c r="U406" t="s">
        <v>43</v>
      </c>
      <c r="V406" t="s">
        <v>43</v>
      </c>
      <c r="W406" t="s">
        <v>43</v>
      </c>
      <c r="X406" t="s">
        <v>44</v>
      </c>
      <c r="Y406">
        <v>4</v>
      </c>
      <c r="Z406">
        <v>3</v>
      </c>
      <c r="AA406">
        <v>5</v>
      </c>
      <c r="AB406">
        <v>2</v>
      </c>
      <c r="AC406">
        <v>4</v>
      </c>
      <c r="AD406">
        <v>4</v>
      </c>
      <c r="AE406">
        <v>4</v>
      </c>
      <c r="AF406">
        <v>12</v>
      </c>
      <c r="AG406">
        <v>16</v>
      </c>
      <c r="AH406">
        <v>16</v>
      </c>
    </row>
    <row r="407" spans="1:34" x14ac:dyDescent="0.2">
      <c r="A407" t="s">
        <v>34</v>
      </c>
      <c r="B407" t="s">
        <v>35</v>
      </c>
      <c r="C407">
        <v>19</v>
      </c>
      <c r="D407" t="s">
        <v>36</v>
      </c>
      <c r="E407" t="s">
        <v>48</v>
      </c>
      <c r="F407" t="s">
        <v>38</v>
      </c>
      <c r="G407">
        <v>2</v>
      </c>
      <c r="H407">
        <v>3</v>
      </c>
      <c r="I407" t="s">
        <v>39</v>
      </c>
      <c r="J407" t="s">
        <v>46</v>
      </c>
      <c r="K407" t="s">
        <v>50</v>
      </c>
      <c r="L407" t="s">
        <v>46</v>
      </c>
      <c r="M407">
        <v>2</v>
      </c>
      <c r="N407">
        <v>1</v>
      </c>
      <c r="O407">
        <v>1</v>
      </c>
      <c r="P407" t="s">
        <v>44</v>
      </c>
      <c r="Q407" t="s">
        <v>44</v>
      </c>
      <c r="R407" t="s">
        <v>44</v>
      </c>
      <c r="S407">
        <f t="shared" si="6"/>
        <v>0</v>
      </c>
      <c r="T407" t="s">
        <v>44</v>
      </c>
      <c r="U407" t="s">
        <v>43</v>
      </c>
      <c r="V407" t="s">
        <v>44</v>
      </c>
      <c r="W407" t="s">
        <v>43</v>
      </c>
      <c r="X407" t="s">
        <v>44</v>
      </c>
      <c r="Y407">
        <v>2</v>
      </c>
      <c r="Z407">
        <v>2</v>
      </c>
      <c r="AA407">
        <v>3</v>
      </c>
      <c r="AB407">
        <v>3</v>
      </c>
      <c r="AC407">
        <v>4</v>
      </c>
      <c r="AD407">
        <v>5</v>
      </c>
      <c r="AE407">
        <v>16</v>
      </c>
      <c r="AF407">
        <v>10</v>
      </c>
      <c r="AG407">
        <v>11</v>
      </c>
      <c r="AH407">
        <v>11</v>
      </c>
    </row>
    <row r="408" spans="1:34" x14ac:dyDescent="0.2">
      <c r="A408" t="s">
        <v>34</v>
      </c>
      <c r="B408" t="s">
        <v>35</v>
      </c>
      <c r="C408">
        <v>17</v>
      </c>
      <c r="D408" t="s">
        <v>36</v>
      </c>
      <c r="E408" t="s">
        <v>37</v>
      </c>
      <c r="F408" t="s">
        <v>45</v>
      </c>
      <c r="G408">
        <v>3</v>
      </c>
      <c r="H408">
        <v>1</v>
      </c>
      <c r="I408" t="s">
        <v>46</v>
      </c>
      <c r="J408" t="s">
        <v>39</v>
      </c>
      <c r="K408" t="s">
        <v>50</v>
      </c>
      <c r="L408" t="s">
        <v>42</v>
      </c>
      <c r="M408">
        <v>1</v>
      </c>
      <c r="N408">
        <v>1</v>
      </c>
      <c r="O408">
        <v>1</v>
      </c>
      <c r="P408" t="s">
        <v>44</v>
      </c>
      <c r="Q408" t="s">
        <v>43</v>
      </c>
      <c r="R408" t="s">
        <v>43</v>
      </c>
      <c r="S408">
        <f t="shared" si="6"/>
        <v>1</v>
      </c>
      <c r="T408" t="s">
        <v>44</v>
      </c>
      <c r="U408" t="s">
        <v>43</v>
      </c>
      <c r="V408" t="s">
        <v>43</v>
      </c>
      <c r="W408" t="s">
        <v>43</v>
      </c>
      <c r="X408" t="s">
        <v>43</v>
      </c>
      <c r="Y408">
        <v>4</v>
      </c>
      <c r="Z408">
        <v>1</v>
      </c>
      <c r="AA408">
        <v>2</v>
      </c>
      <c r="AB408">
        <v>1</v>
      </c>
      <c r="AC408">
        <v>1</v>
      </c>
      <c r="AD408">
        <v>3</v>
      </c>
      <c r="AE408">
        <v>6</v>
      </c>
      <c r="AF408">
        <v>10</v>
      </c>
      <c r="AG408">
        <v>13</v>
      </c>
      <c r="AH408">
        <v>13</v>
      </c>
    </row>
    <row r="409" spans="1:34" x14ac:dyDescent="0.2">
      <c r="A409" t="s">
        <v>34</v>
      </c>
      <c r="B409" t="s">
        <v>35</v>
      </c>
      <c r="C409">
        <v>21</v>
      </c>
      <c r="D409" t="s">
        <v>36</v>
      </c>
      <c r="E409" t="s">
        <v>48</v>
      </c>
      <c r="F409" t="s">
        <v>45</v>
      </c>
      <c r="G409">
        <v>4</v>
      </c>
      <c r="H409">
        <v>4</v>
      </c>
      <c r="I409" t="s">
        <v>46</v>
      </c>
      <c r="J409" t="s">
        <v>46</v>
      </c>
      <c r="K409" t="s">
        <v>52</v>
      </c>
      <c r="L409" t="s">
        <v>46</v>
      </c>
      <c r="M409">
        <v>1</v>
      </c>
      <c r="N409">
        <v>3</v>
      </c>
      <c r="O409">
        <v>2</v>
      </c>
      <c r="P409" t="s">
        <v>44</v>
      </c>
      <c r="Q409" t="s">
        <v>44</v>
      </c>
      <c r="R409" t="s">
        <v>43</v>
      </c>
      <c r="S409">
        <f t="shared" si="6"/>
        <v>1</v>
      </c>
      <c r="T409" t="s">
        <v>43</v>
      </c>
      <c r="U409" t="s">
        <v>43</v>
      </c>
      <c r="V409" t="s">
        <v>43</v>
      </c>
      <c r="W409" t="s">
        <v>43</v>
      </c>
      <c r="X409" t="s">
        <v>44</v>
      </c>
      <c r="Y409">
        <v>3</v>
      </c>
      <c r="Z409">
        <v>3</v>
      </c>
      <c r="AA409">
        <v>2</v>
      </c>
      <c r="AB409">
        <v>1</v>
      </c>
      <c r="AC409">
        <v>1</v>
      </c>
      <c r="AD409">
        <v>5</v>
      </c>
      <c r="AE409">
        <v>0</v>
      </c>
      <c r="AF409">
        <v>9</v>
      </c>
      <c r="AG409">
        <v>12</v>
      </c>
      <c r="AH409">
        <v>12</v>
      </c>
    </row>
    <row r="410" spans="1:34" x14ac:dyDescent="0.2">
      <c r="A410" t="s">
        <v>34</v>
      </c>
      <c r="B410" t="s">
        <v>51</v>
      </c>
      <c r="C410">
        <v>18</v>
      </c>
      <c r="D410" t="s">
        <v>36</v>
      </c>
      <c r="E410" t="s">
        <v>48</v>
      </c>
      <c r="F410" t="s">
        <v>45</v>
      </c>
      <c r="G410">
        <v>2</v>
      </c>
      <c r="H410">
        <v>2</v>
      </c>
      <c r="I410" t="s">
        <v>49</v>
      </c>
      <c r="J410" t="s">
        <v>49</v>
      </c>
      <c r="K410" t="s">
        <v>52</v>
      </c>
      <c r="L410" t="s">
        <v>42</v>
      </c>
      <c r="M410">
        <v>1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>
        <f t="shared" si="6"/>
        <v>0</v>
      </c>
      <c r="T410" t="s">
        <v>43</v>
      </c>
      <c r="U410" t="s">
        <v>44</v>
      </c>
      <c r="V410" t="s">
        <v>44</v>
      </c>
      <c r="W410" t="s">
        <v>43</v>
      </c>
      <c r="X410" t="s">
        <v>44</v>
      </c>
      <c r="Y410">
        <v>4</v>
      </c>
      <c r="Z410">
        <v>4</v>
      </c>
      <c r="AA410">
        <v>4</v>
      </c>
      <c r="AB410">
        <v>1</v>
      </c>
      <c r="AC410">
        <v>3</v>
      </c>
      <c r="AD410">
        <v>3</v>
      </c>
      <c r="AE410">
        <v>11</v>
      </c>
      <c r="AF410">
        <v>9</v>
      </c>
      <c r="AG410">
        <v>11</v>
      </c>
      <c r="AH410">
        <v>12</v>
      </c>
    </row>
    <row r="411" spans="1:34" x14ac:dyDescent="0.2">
      <c r="A411" t="s">
        <v>34</v>
      </c>
      <c r="B411" t="s">
        <v>51</v>
      </c>
      <c r="C411">
        <v>18</v>
      </c>
      <c r="D411" t="s">
        <v>36</v>
      </c>
      <c r="E411" t="s">
        <v>48</v>
      </c>
      <c r="F411" t="s">
        <v>38</v>
      </c>
      <c r="G411">
        <v>3</v>
      </c>
      <c r="H411">
        <v>4</v>
      </c>
      <c r="I411" t="s">
        <v>46</v>
      </c>
      <c r="J411" t="s">
        <v>46</v>
      </c>
      <c r="K411" t="s">
        <v>52</v>
      </c>
      <c r="L411" t="s">
        <v>46</v>
      </c>
      <c r="M411">
        <v>1</v>
      </c>
      <c r="N411">
        <v>2</v>
      </c>
      <c r="O411">
        <v>0</v>
      </c>
      <c r="P411" t="s">
        <v>44</v>
      </c>
      <c r="Q411" t="s">
        <v>44</v>
      </c>
      <c r="R411" t="s">
        <v>44</v>
      </c>
      <c r="S411">
        <f t="shared" si="6"/>
        <v>0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>
        <v>4</v>
      </c>
      <c r="Z411">
        <v>3</v>
      </c>
      <c r="AA411">
        <v>5</v>
      </c>
      <c r="AB411">
        <v>1</v>
      </c>
      <c r="AC411">
        <v>4</v>
      </c>
      <c r="AD411">
        <v>2</v>
      </c>
      <c r="AE411">
        <v>9</v>
      </c>
      <c r="AF411">
        <v>13</v>
      </c>
      <c r="AG411">
        <v>14</v>
      </c>
      <c r="AH411">
        <v>15</v>
      </c>
    </row>
    <row r="412" spans="1:34" x14ac:dyDescent="0.2">
      <c r="A412" t="s">
        <v>34</v>
      </c>
      <c r="B412" t="s">
        <v>35</v>
      </c>
      <c r="C412">
        <v>17</v>
      </c>
      <c r="D412" t="s">
        <v>36</v>
      </c>
      <c r="E412" t="s">
        <v>37</v>
      </c>
      <c r="F412" t="s">
        <v>45</v>
      </c>
      <c r="G412">
        <v>2</v>
      </c>
      <c r="H412">
        <v>2</v>
      </c>
      <c r="I412" t="s">
        <v>49</v>
      </c>
      <c r="J412" t="s">
        <v>49</v>
      </c>
      <c r="K412" t="s">
        <v>52</v>
      </c>
      <c r="L412" t="s">
        <v>42</v>
      </c>
      <c r="M412">
        <v>1</v>
      </c>
      <c r="N412">
        <v>2</v>
      </c>
      <c r="O412">
        <v>0</v>
      </c>
      <c r="P412" t="s">
        <v>44</v>
      </c>
      <c r="Q412" t="s">
        <v>43</v>
      </c>
      <c r="R412" t="s">
        <v>44</v>
      </c>
      <c r="S412">
        <f t="shared" si="6"/>
        <v>0</v>
      </c>
      <c r="T412" t="s">
        <v>43</v>
      </c>
      <c r="U412" t="s">
        <v>43</v>
      </c>
      <c r="V412" t="s">
        <v>43</v>
      </c>
      <c r="W412" t="s">
        <v>43</v>
      </c>
      <c r="X412" t="s">
        <v>44</v>
      </c>
      <c r="Y412">
        <v>4</v>
      </c>
      <c r="Z412">
        <v>3</v>
      </c>
      <c r="AA412">
        <v>4</v>
      </c>
      <c r="AB412">
        <v>1</v>
      </c>
      <c r="AC412">
        <v>3</v>
      </c>
      <c r="AD412">
        <v>4</v>
      </c>
      <c r="AE412">
        <v>0</v>
      </c>
      <c r="AF412">
        <v>13</v>
      </c>
      <c r="AG412">
        <v>17</v>
      </c>
      <c r="AH412">
        <v>17</v>
      </c>
    </row>
    <row r="413" spans="1:34" x14ac:dyDescent="0.2">
      <c r="A413" t="s">
        <v>34</v>
      </c>
      <c r="B413" t="s">
        <v>51</v>
      </c>
      <c r="C413">
        <v>17</v>
      </c>
      <c r="D413" t="s">
        <v>36</v>
      </c>
      <c r="E413" t="s">
        <v>48</v>
      </c>
      <c r="F413" t="s">
        <v>38</v>
      </c>
      <c r="G413">
        <v>4</v>
      </c>
      <c r="H413">
        <v>4</v>
      </c>
      <c r="I413" t="s">
        <v>29</v>
      </c>
      <c r="J413" t="s">
        <v>46</v>
      </c>
      <c r="K413" t="s">
        <v>52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>
        <f t="shared" si="6"/>
        <v>0</v>
      </c>
      <c r="T413" t="s">
        <v>44</v>
      </c>
      <c r="U413" t="s">
        <v>43</v>
      </c>
      <c r="V413" t="s">
        <v>43</v>
      </c>
      <c r="W413" t="s">
        <v>43</v>
      </c>
      <c r="X413" t="s">
        <v>44</v>
      </c>
      <c r="Y413">
        <v>4</v>
      </c>
      <c r="Z413">
        <v>4</v>
      </c>
      <c r="AA413">
        <v>2</v>
      </c>
      <c r="AB413">
        <v>1</v>
      </c>
      <c r="AC413">
        <v>2</v>
      </c>
      <c r="AD413">
        <v>4</v>
      </c>
      <c r="AE413">
        <v>2</v>
      </c>
      <c r="AF413">
        <v>12</v>
      </c>
      <c r="AG413">
        <v>15</v>
      </c>
      <c r="AH413">
        <v>15</v>
      </c>
    </row>
    <row r="414" spans="1:34" x14ac:dyDescent="0.2">
      <c r="A414" t="s">
        <v>34</v>
      </c>
      <c r="B414" t="s">
        <v>35</v>
      </c>
      <c r="C414">
        <v>18</v>
      </c>
      <c r="D414" t="s">
        <v>36</v>
      </c>
      <c r="E414" t="s">
        <v>48</v>
      </c>
      <c r="F414" t="s">
        <v>45</v>
      </c>
      <c r="G414">
        <v>4</v>
      </c>
      <c r="H414">
        <v>2</v>
      </c>
      <c r="I414" t="s">
        <v>40</v>
      </c>
      <c r="J414" t="s">
        <v>46</v>
      </c>
      <c r="K414" t="s">
        <v>41</v>
      </c>
      <c r="L414" t="s">
        <v>42</v>
      </c>
      <c r="M414">
        <v>1</v>
      </c>
      <c r="N414">
        <v>2</v>
      </c>
      <c r="O414">
        <v>0</v>
      </c>
      <c r="P414" t="s">
        <v>44</v>
      </c>
      <c r="Q414" t="s">
        <v>43</v>
      </c>
      <c r="R414" t="s">
        <v>44</v>
      </c>
      <c r="S414">
        <f t="shared" si="6"/>
        <v>0</v>
      </c>
      <c r="T414" t="s">
        <v>43</v>
      </c>
      <c r="U414" t="s">
        <v>43</v>
      </c>
      <c r="V414" t="s">
        <v>43</v>
      </c>
      <c r="W414" t="s">
        <v>43</v>
      </c>
      <c r="X414" t="s">
        <v>44</v>
      </c>
      <c r="Y414">
        <v>4</v>
      </c>
      <c r="Z414">
        <v>2</v>
      </c>
      <c r="AA414">
        <v>2</v>
      </c>
      <c r="AB414">
        <v>1</v>
      </c>
      <c r="AC414">
        <v>1</v>
      </c>
      <c r="AD414">
        <v>3</v>
      </c>
      <c r="AE414">
        <v>0</v>
      </c>
      <c r="AF414">
        <v>14</v>
      </c>
      <c r="AG414">
        <v>17</v>
      </c>
      <c r="AH414">
        <v>17</v>
      </c>
    </row>
    <row r="415" spans="1:34" x14ac:dyDescent="0.2">
      <c r="A415" t="s">
        <v>34</v>
      </c>
      <c r="B415" t="s">
        <v>51</v>
      </c>
      <c r="C415">
        <v>21</v>
      </c>
      <c r="D415" t="s">
        <v>53</v>
      </c>
      <c r="E415" t="s">
        <v>48</v>
      </c>
      <c r="F415" t="s">
        <v>45</v>
      </c>
      <c r="G415">
        <v>1</v>
      </c>
      <c r="H415">
        <v>1</v>
      </c>
      <c r="I415" t="s">
        <v>39</v>
      </c>
      <c r="J415" t="s">
        <v>46</v>
      </c>
      <c r="K415" t="s">
        <v>41</v>
      </c>
      <c r="L415" t="s">
        <v>46</v>
      </c>
      <c r="M415">
        <v>2</v>
      </c>
      <c r="N415">
        <v>2</v>
      </c>
      <c r="O415">
        <v>2</v>
      </c>
      <c r="P415" t="s">
        <v>44</v>
      </c>
      <c r="Q415" t="s">
        <v>43</v>
      </c>
      <c r="R415" t="s">
        <v>44</v>
      </c>
      <c r="S415">
        <f t="shared" si="6"/>
        <v>0</v>
      </c>
      <c r="T415" t="s">
        <v>43</v>
      </c>
      <c r="U415" t="s">
        <v>43</v>
      </c>
      <c r="V415" t="s">
        <v>44</v>
      </c>
      <c r="W415" t="s">
        <v>43</v>
      </c>
      <c r="X415" t="s">
        <v>43</v>
      </c>
      <c r="Y415">
        <v>5</v>
      </c>
      <c r="Z415">
        <v>3</v>
      </c>
      <c r="AA415">
        <v>3</v>
      </c>
      <c r="AB415">
        <v>5</v>
      </c>
      <c r="AC415">
        <v>2</v>
      </c>
      <c r="AD415">
        <v>4</v>
      </c>
      <c r="AE415">
        <v>21</v>
      </c>
      <c r="AF415">
        <v>9</v>
      </c>
      <c r="AG415">
        <v>10</v>
      </c>
      <c r="AH415">
        <v>10</v>
      </c>
    </row>
    <row r="416" spans="1:34" x14ac:dyDescent="0.2">
      <c r="A416" t="s">
        <v>34</v>
      </c>
      <c r="B416" t="s">
        <v>35</v>
      </c>
      <c r="C416">
        <v>20</v>
      </c>
      <c r="D416" t="s">
        <v>53</v>
      </c>
      <c r="E416" t="s">
        <v>37</v>
      </c>
      <c r="F416" t="s">
        <v>45</v>
      </c>
      <c r="G416">
        <v>1</v>
      </c>
      <c r="H416">
        <v>1</v>
      </c>
      <c r="I416" t="s">
        <v>46</v>
      </c>
      <c r="J416" t="s">
        <v>46</v>
      </c>
      <c r="K416" t="s">
        <v>52</v>
      </c>
      <c r="L416" t="s">
        <v>46</v>
      </c>
      <c r="M416">
        <v>2</v>
      </c>
      <c r="N416">
        <v>3</v>
      </c>
      <c r="O416">
        <v>0</v>
      </c>
      <c r="P416" t="s">
        <v>44</v>
      </c>
      <c r="Q416" t="s">
        <v>44</v>
      </c>
      <c r="R416" t="s">
        <v>44</v>
      </c>
      <c r="S416">
        <f t="shared" si="6"/>
        <v>0</v>
      </c>
      <c r="T416" t="s">
        <v>44</v>
      </c>
      <c r="U416" t="s">
        <v>43</v>
      </c>
      <c r="V416" t="s">
        <v>43</v>
      </c>
      <c r="W416" t="s">
        <v>43</v>
      </c>
      <c r="X416" t="s">
        <v>43</v>
      </c>
      <c r="Y416">
        <v>3</v>
      </c>
      <c r="Z416">
        <v>2</v>
      </c>
      <c r="AA416">
        <v>2</v>
      </c>
      <c r="AB416">
        <v>1</v>
      </c>
      <c r="AC416">
        <v>3</v>
      </c>
      <c r="AD416">
        <v>3</v>
      </c>
      <c r="AE416">
        <v>8</v>
      </c>
      <c r="AF416">
        <v>11</v>
      </c>
      <c r="AG416">
        <v>15</v>
      </c>
      <c r="AH416">
        <v>15</v>
      </c>
    </row>
    <row r="417" spans="1:34" x14ac:dyDescent="0.2">
      <c r="A417" t="s">
        <v>34</v>
      </c>
      <c r="B417" t="s">
        <v>35</v>
      </c>
      <c r="C417">
        <v>19</v>
      </c>
      <c r="D417" t="s">
        <v>36</v>
      </c>
      <c r="E417" t="s">
        <v>37</v>
      </c>
      <c r="F417" t="s">
        <v>45</v>
      </c>
      <c r="G417">
        <v>4</v>
      </c>
      <c r="H417">
        <v>4</v>
      </c>
      <c r="I417" t="s">
        <v>40</v>
      </c>
      <c r="J417" t="s">
        <v>46</v>
      </c>
      <c r="K417" t="s">
        <v>50</v>
      </c>
      <c r="L417" t="s">
        <v>46</v>
      </c>
      <c r="M417">
        <v>1</v>
      </c>
      <c r="N417">
        <v>1</v>
      </c>
      <c r="O417">
        <v>1</v>
      </c>
      <c r="P417" t="s">
        <v>44</v>
      </c>
      <c r="Q417" t="s">
        <v>43</v>
      </c>
      <c r="R417" t="s">
        <v>44</v>
      </c>
      <c r="S417">
        <f t="shared" si="6"/>
        <v>0</v>
      </c>
      <c r="T417" t="s">
        <v>44</v>
      </c>
      <c r="U417" t="s">
        <v>43</v>
      </c>
      <c r="V417" t="s">
        <v>43</v>
      </c>
      <c r="W417" t="s">
        <v>43</v>
      </c>
      <c r="X417" t="s">
        <v>43</v>
      </c>
      <c r="Y417">
        <v>3</v>
      </c>
      <c r="Z417">
        <v>2</v>
      </c>
      <c r="AA417">
        <v>5</v>
      </c>
      <c r="AB417">
        <v>4</v>
      </c>
      <c r="AC417">
        <v>4</v>
      </c>
      <c r="AD417">
        <v>5</v>
      </c>
      <c r="AE417">
        <v>5</v>
      </c>
      <c r="AF417">
        <v>9</v>
      </c>
      <c r="AG417">
        <v>10</v>
      </c>
      <c r="AH417">
        <v>11</v>
      </c>
    </row>
    <row r="418" spans="1:34" x14ac:dyDescent="0.2">
      <c r="A418" t="s">
        <v>34</v>
      </c>
      <c r="B418" t="s">
        <v>51</v>
      </c>
      <c r="C418">
        <v>17</v>
      </c>
      <c r="D418" t="s">
        <v>36</v>
      </c>
      <c r="E418" t="s">
        <v>48</v>
      </c>
      <c r="F418" t="s">
        <v>38</v>
      </c>
      <c r="G418">
        <v>3</v>
      </c>
      <c r="H418">
        <v>2</v>
      </c>
      <c r="I418" t="s">
        <v>46</v>
      </c>
      <c r="J418" t="s">
        <v>46</v>
      </c>
      <c r="K418" t="s">
        <v>52</v>
      </c>
      <c r="L418" t="s">
        <v>42</v>
      </c>
      <c r="M418">
        <v>1</v>
      </c>
      <c r="N418">
        <v>2</v>
      </c>
      <c r="O418">
        <v>0</v>
      </c>
      <c r="P418" t="s">
        <v>44</v>
      </c>
      <c r="Q418" t="s">
        <v>43</v>
      </c>
      <c r="R418" t="s">
        <v>44</v>
      </c>
      <c r="S418">
        <f t="shared" si="6"/>
        <v>0</v>
      </c>
      <c r="T418" t="s">
        <v>44</v>
      </c>
      <c r="U418" t="s">
        <v>43</v>
      </c>
      <c r="V418" t="s">
        <v>43</v>
      </c>
      <c r="W418" t="s">
        <v>43</v>
      </c>
      <c r="X418" t="s">
        <v>44</v>
      </c>
      <c r="Y418">
        <v>4</v>
      </c>
      <c r="Z418">
        <v>4</v>
      </c>
      <c r="AA418">
        <v>4</v>
      </c>
      <c r="AB418">
        <v>1</v>
      </c>
      <c r="AC418">
        <v>2</v>
      </c>
      <c r="AD418">
        <v>5</v>
      </c>
      <c r="AE418">
        <v>10</v>
      </c>
      <c r="AF418">
        <v>16</v>
      </c>
      <c r="AG418">
        <v>18</v>
      </c>
      <c r="AH418">
        <v>18</v>
      </c>
    </row>
    <row r="419" spans="1:34" x14ac:dyDescent="0.2">
      <c r="A419" t="s">
        <v>34</v>
      </c>
      <c r="B419" t="s">
        <v>35</v>
      </c>
      <c r="C419">
        <v>18</v>
      </c>
      <c r="D419" t="s">
        <v>36</v>
      </c>
      <c r="E419" t="s">
        <v>37</v>
      </c>
      <c r="F419" t="s">
        <v>45</v>
      </c>
      <c r="G419">
        <v>3</v>
      </c>
      <c r="H419">
        <v>2</v>
      </c>
      <c r="I419" t="s">
        <v>39</v>
      </c>
      <c r="J419" t="s">
        <v>46</v>
      </c>
      <c r="K419" t="s">
        <v>52</v>
      </c>
      <c r="L419" t="s">
        <v>47</v>
      </c>
      <c r="M419">
        <v>1</v>
      </c>
      <c r="N419">
        <v>3</v>
      </c>
      <c r="O419">
        <v>0</v>
      </c>
      <c r="P419" t="s">
        <v>44</v>
      </c>
      <c r="Q419" t="s">
        <v>43</v>
      </c>
      <c r="R419" t="s">
        <v>44</v>
      </c>
      <c r="S419">
        <f t="shared" si="6"/>
        <v>0</v>
      </c>
      <c r="T419" t="s">
        <v>44</v>
      </c>
      <c r="U419" t="s">
        <v>43</v>
      </c>
      <c r="V419" t="s">
        <v>43</v>
      </c>
      <c r="W419" t="s">
        <v>43</v>
      </c>
      <c r="X419" t="s">
        <v>43</v>
      </c>
      <c r="Y419">
        <v>4</v>
      </c>
      <c r="Z419">
        <v>3</v>
      </c>
      <c r="AA419">
        <v>4</v>
      </c>
      <c r="AB419">
        <v>1</v>
      </c>
      <c r="AC419">
        <v>2</v>
      </c>
      <c r="AD419">
        <v>2</v>
      </c>
      <c r="AE419">
        <v>5</v>
      </c>
      <c r="AF419">
        <v>14</v>
      </c>
      <c r="AG419">
        <v>17</v>
      </c>
      <c r="AH419">
        <v>17</v>
      </c>
    </row>
    <row r="420" spans="1:34" x14ac:dyDescent="0.2">
      <c r="A420" t="s">
        <v>34</v>
      </c>
      <c r="B420" t="s">
        <v>51</v>
      </c>
      <c r="C420">
        <v>18</v>
      </c>
      <c r="D420" t="s">
        <v>53</v>
      </c>
      <c r="E420" t="s">
        <v>37</v>
      </c>
      <c r="F420" t="s">
        <v>45</v>
      </c>
      <c r="G420">
        <v>2</v>
      </c>
      <c r="H420">
        <v>3</v>
      </c>
      <c r="I420" t="s">
        <v>46</v>
      </c>
      <c r="J420" t="s">
        <v>49</v>
      </c>
      <c r="K420" t="s">
        <v>52</v>
      </c>
      <c r="L420" t="s">
        <v>47</v>
      </c>
      <c r="M420">
        <v>1</v>
      </c>
      <c r="N420">
        <v>1</v>
      </c>
      <c r="O420">
        <v>0</v>
      </c>
      <c r="P420" t="s">
        <v>44</v>
      </c>
      <c r="Q420" t="s">
        <v>44</v>
      </c>
      <c r="R420" t="s">
        <v>44</v>
      </c>
      <c r="S420">
        <f t="shared" si="6"/>
        <v>0</v>
      </c>
      <c r="T420" t="s">
        <v>44</v>
      </c>
      <c r="U420" t="s">
        <v>43</v>
      </c>
      <c r="V420" t="s">
        <v>43</v>
      </c>
      <c r="W420" t="s">
        <v>43</v>
      </c>
      <c r="X420" t="s">
        <v>44</v>
      </c>
      <c r="Y420">
        <v>3</v>
      </c>
      <c r="Z420">
        <v>1</v>
      </c>
      <c r="AA420">
        <v>3</v>
      </c>
      <c r="AB420">
        <v>4</v>
      </c>
      <c r="AC420">
        <v>5</v>
      </c>
      <c r="AD420">
        <v>4</v>
      </c>
      <c r="AE420">
        <v>13</v>
      </c>
      <c r="AF420">
        <v>13</v>
      </c>
      <c r="AG420">
        <v>14</v>
      </c>
      <c r="AH420">
        <v>14</v>
      </c>
    </row>
    <row r="421" spans="1:34" x14ac:dyDescent="0.2">
      <c r="A421" t="s">
        <v>34</v>
      </c>
      <c r="B421" t="s">
        <v>51</v>
      </c>
      <c r="C421">
        <v>19</v>
      </c>
      <c r="D421" t="s">
        <v>36</v>
      </c>
      <c r="E421" t="s">
        <v>37</v>
      </c>
      <c r="F421" t="s">
        <v>45</v>
      </c>
      <c r="G421">
        <v>2</v>
      </c>
      <c r="H421">
        <v>1</v>
      </c>
      <c r="I421" t="s">
        <v>46</v>
      </c>
      <c r="J421" t="s">
        <v>46</v>
      </c>
      <c r="K421" t="s">
        <v>52</v>
      </c>
      <c r="L421" t="s">
        <v>42</v>
      </c>
      <c r="M421">
        <v>1</v>
      </c>
      <c r="N421">
        <v>1</v>
      </c>
      <c r="O421">
        <v>0</v>
      </c>
      <c r="P421" t="s">
        <v>44</v>
      </c>
      <c r="Q421" t="s">
        <v>44</v>
      </c>
      <c r="R421" t="s">
        <v>44</v>
      </c>
      <c r="S421">
        <f t="shared" si="6"/>
        <v>0</v>
      </c>
      <c r="T421" t="s">
        <v>44</v>
      </c>
      <c r="U421" t="s">
        <v>43</v>
      </c>
      <c r="V421" t="s">
        <v>43</v>
      </c>
      <c r="W421" t="s">
        <v>43</v>
      </c>
      <c r="X421" t="s">
        <v>44</v>
      </c>
      <c r="Y421">
        <v>5</v>
      </c>
      <c r="Z421">
        <v>3</v>
      </c>
      <c r="AA421">
        <v>4</v>
      </c>
      <c r="AB421">
        <v>1</v>
      </c>
      <c r="AC421">
        <v>4</v>
      </c>
      <c r="AD421">
        <v>4</v>
      </c>
      <c r="AE421">
        <v>10</v>
      </c>
      <c r="AF421">
        <v>7</v>
      </c>
      <c r="AG421">
        <v>11</v>
      </c>
      <c r="AH421">
        <v>11</v>
      </c>
    </row>
    <row r="422" spans="1:34" x14ac:dyDescent="0.2">
      <c r="A422" t="s">
        <v>34</v>
      </c>
      <c r="B422" t="s">
        <v>35</v>
      </c>
      <c r="C422">
        <v>18</v>
      </c>
      <c r="D422" t="s">
        <v>36</v>
      </c>
      <c r="E422" t="s">
        <v>48</v>
      </c>
      <c r="F422" t="s">
        <v>38</v>
      </c>
      <c r="G422">
        <v>2</v>
      </c>
      <c r="H422">
        <v>2</v>
      </c>
      <c r="I422" t="s">
        <v>49</v>
      </c>
      <c r="J422" t="s">
        <v>46</v>
      </c>
      <c r="K422" t="s">
        <v>52</v>
      </c>
      <c r="L422" t="s">
        <v>42</v>
      </c>
      <c r="M422">
        <v>2</v>
      </c>
      <c r="N422">
        <v>2</v>
      </c>
      <c r="O422">
        <v>0</v>
      </c>
      <c r="P422" t="s">
        <v>44</v>
      </c>
      <c r="Q422" t="s">
        <v>43</v>
      </c>
      <c r="R422" t="s">
        <v>44</v>
      </c>
      <c r="S422">
        <f t="shared" si="6"/>
        <v>0</v>
      </c>
      <c r="T422" t="s">
        <v>44</v>
      </c>
      <c r="U422" t="s">
        <v>43</v>
      </c>
      <c r="V422" t="s">
        <v>43</v>
      </c>
      <c r="W422" t="s">
        <v>43</v>
      </c>
      <c r="X422" t="s">
        <v>44</v>
      </c>
      <c r="Y422">
        <v>4</v>
      </c>
      <c r="Z422">
        <v>1</v>
      </c>
      <c r="AA422">
        <v>4</v>
      </c>
      <c r="AB422">
        <v>1</v>
      </c>
      <c r="AC422">
        <v>3</v>
      </c>
      <c r="AD422">
        <v>4</v>
      </c>
      <c r="AE422">
        <v>10</v>
      </c>
      <c r="AF422">
        <v>14</v>
      </c>
      <c r="AG422">
        <v>17</v>
      </c>
      <c r="AH422">
        <v>17</v>
      </c>
    </row>
    <row r="423" spans="1:34" x14ac:dyDescent="0.2">
      <c r="A423" t="s">
        <v>34</v>
      </c>
      <c r="B423" t="s">
        <v>35</v>
      </c>
      <c r="C423">
        <v>20</v>
      </c>
      <c r="D423" t="s">
        <v>36</v>
      </c>
      <c r="E423" t="s">
        <v>37</v>
      </c>
      <c r="F423" t="s">
        <v>45</v>
      </c>
      <c r="G423">
        <v>1</v>
      </c>
      <c r="H423">
        <v>0</v>
      </c>
      <c r="I423" t="s">
        <v>46</v>
      </c>
      <c r="J423" t="s">
        <v>46</v>
      </c>
      <c r="K423" t="s">
        <v>52</v>
      </c>
      <c r="L423" t="s">
        <v>42</v>
      </c>
      <c r="M423">
        <v>2</v>
      </c>
      <c r="N423">
        <v>1</v>
      </c>
      <c r="O423">
        <v>1</v>
      </c>
      <c r="P423" t="s">
        <v>43</v>
      </c>
      <c r="Q423" t="s">
        <v>44</v>
      </c>
      <c r="R423" t="s">
        <v>44</v>
      </c>
      <c r="S423">
        <f t="shared" si="6"/>
        <v>0</v>
      </c>
      <c r="T423" t="s">
        <v>44</v>
      </c>
      <c r="U423" t="s">
        <v>43</v>
      </c>
      <c r="V423" t="s">
        <v>43</v>
      </c>
      <c r="W423" t="s">
        <v>43</v>
      </c>
      <c r="X423" t="s">
        <v>43</v>
      </c>
      <c r="Y423">
        <v>5</v>
      </c>
      <c r="Z423">
        <v>3</v>
      </c>
      <c r="AA423">
        <v>1</v>
      </c>
      <c r="AB423">
        <v>1</v>
      </c>
      <c r="AC423">
        <v>1</v>
      </c>
      <c r="AD423">
        <v>5</v>
      </c>
      <c r="AE423">
        <v>5</v>
      </c>
      <c r="AF423">
        <v>8</v>
      </c>
      <c r="AG423">
        <v>10</v>
      </c>
      <c r="AH423">
        <v>10</v>
      </c>
    </row>
    <row r="424" spans="1:34" x14ac:dyDescent="0.2">
      <c r="A424" t="s">
        <v>34</v>
      </c>
      <c r="B424" t="s">
        <v>35</v>
      </c>
      <c r="C424">
        <v>18</v>
      </c>
      <c r="D424" t="s">
        <v>36</v>
      </c>
      <c r="E424" t="s">
        <v>37</v>
      </c>
      <c r="F424" t="s">
        <v>45</v>
      </c>
      <c r="G424">
        <v>3</v>
      </c>
      <c r="H424">
        <v>2</v>
      </c>
      <c r="I424" t="s">
        <v>49</v>
      </c>
      <c r="J424" t="s">
        <v>46</v>
      </c>
      <c r="K424" t="s">
        <v>50</v>
      </c>
      <c r="L424" t="s">
        <v>42</v>
      </c>
      <c r="M424">
        <v>1</v>
      </c>
      <c r="N424">
        <v>2</v>
      </c>
      <c r="O424">
        <v>0</v>
      </c>
      <c r="P424" t="s">
        <v>44</v>
      </c>
      <c r="Q424" t="s">
        <v>43</v>
      </c>
      <c r="R424" t="s">
        <v>44</v>
      </c>
      <c r="S424">
        <f t="shared" si="6"/>
        <v>0</v>
      </c>
      <c r="T424" t="s">
        <v>43</v>
      </c>
      <c r="U424" t="s">
        <v>44</v>
      </c>
      <c r="V424" t="s">
        <v>43</v>
      </c>
      <c r="W424" t="s">
        <v>43</v>
      </c>
      <c r="X424" t="s">
        <v>43</v>
      </c>
      <c r="Y424">
        <v>3</v>
      </c>
      <c r="Z424">
        <v>1</v>
      </c>
      <c r="AA424">
        <v>2</v>
      </c>
      <c r="AB424">
        <v>1</v>
      </c>
      <c r="AC424">
        <v>2</v>
      </c>
      <c r="AD424">
        <v>1</v>
      </c>
      <c r="AE424">
        <v>4</v>
      </c>
      <c r="AF424">
        <v>10</v>
      </c>
      <c r="AG424">
        <v>13</v>
      </c>
      <c r="AH424">
        <v>13</v>
      </c>
    </row>
    <row r="425" spans="1:34" x14ac:dyDescent="0.2">
      <c r="A425" t="s">
        <v>54</v>
      </c>
      <c r="B425" t="s">
        <v>35</v>
      </c>
      <c r="C425">
        <v>16</v>
      </c>
      <c r="D425" t="s">
        <v>36</v>
      </c>
      <c r="E425" t="s">
        <v>37</v>
      </c>
      <c r="F425" t="s">
        <v>45</v>
      </c>
      <c r="G425">
        <v>1</v>
      </c>
      <c r="H425">
        <v>3</v>
      </c>
      <c r="I425" t="s">
        <v>39</v>
      </c>
      <c r="J425" t="s">
        <v>46</v>
      </c>
      <c r="K425" t="s">
        <v>46</v>
      </c>
      <c r="L425" t="s">
        <v>47</v>
      </c>
      <c r="M425">
        <v>2</v>
      </c>
      <c r="N425">
        <v>1</v>
      </c>
      <c r="O425">
        <v>0</v>
      </c>
      <c r="P425" t="s">
        <v>44</v>
      </c>
      <c r="Q425" t="s">
        <v>43</v>
      </c>
      <c r="R425" t="s">
        <v>44</v>
      </c>
      <c r="S425">
        <f t="shared" si="6"/>
        <v>0</v>
      </c>
      <c r="T425" t="s">
        <v>44</v>
      </c>
      <c r="U425" t="s">
        <v>43</v>
      </c>
      <c r="V425" t="s">
        <v>44</v>
      </c>
      <c r="W425" t="s">
        <v>43</v>
      </c>
      <c r="X425" t="s">
        <v>43</v>
      </c>
      <c r="Y425">
        <v>4</v>
      </c>
      <c r="Z425">
        <v>3</v>
      </c>
      <c r="AA425">
        <v>3</v>
      </c>
      <c r="AB425">
        <v>1</v>
      </c>
      <c r="AC425">
        <v>3</v>
      </c>
      <c r="AD425">
        <v>5</v>
      </c>
      <c r="AE425">
        <v>11</v>
      </c>
      <c r="AF425">
        <v>10</v>
      </c>
      <c r="AG425">
        <v>11</v>
      </c>
      <c r="AH425">
        <v>11</v>
      </c>
    </row>
    <row r="426" spans="1:34" x14ac:dyDescent="0.2">
      <c r="A426" t="s">
        <v>54</v>
      </c>
      <c r="B426" t="s">
        <v>35</v>
      </c>
      <c r="C426">
        <v>16</v>
      </c>
      <c r="D426" t="s">
        <v>53</v>
      </c>
      <c r="E426" t="s">
        <v>37</v>
      </c>
      <c r="F426" t="s">
        <v>45</v>
      </c>
      <c r="G426">
        <v>2</v>
      </c>
      <c r="H426">
        <v>2</v>
      </c>
      <c r="I426" t="s">
        <v>46</v>
      </c>
      <c r="J426" t="s">
        <v>46</v>
      </c>
      <c r="K426" t="s">
        <v>41</v>
      </c>
      <c r="L426" t="s">
        <v>42</v>
      </c>
      <c r="M426">
        <v>2</v>
      </c>
      <c r="N426">
        <v>2</v>
      </c>
      <c r="O426">
        <v>0</v>
      </c>
      <c r="P426" t="s">
        <v>44</v>
      </c>
      <c r="Q426" t="s">
        <v>43</v>
      </c>
      <c r="R426" t="s">
        <v>44</v>
      </c>
      <c r="S426">
        <f t="shared" si="6"/>
        <v>0</v>
      </c>
      <c r="T426" t="s">
        <v>43</v>
      </c>
      <c r="U426" t="s">
        <v>43</v>
      </c>
      <c r="V426" t="s">
        <v>43</v>
      </c>
      <c r="W426" t="s">
        <v>43</v>
      </c>
      <c r="X426" t="s">
        <v>44</v>
      </c>
      <c r="Y426">
        <v>4</v>
      </c>
      <c r="Z426">
        <v>4</v>
      </c>
      <c r="AA426">
        <v>4</v>
      </c>
      <c r="AB426">
        <v>1</v>
      </c>
      <c r="AC426">
        <v>1</v>
      </c>
      <c r="AD426">
        <v>5</v>
      </c>
      <c r="AE426">
        <v>0</v>
      </c>
      <c r="AF426">
        <v>12</v>
      </c>
      <c r="AG426">
        <v>12</v>
      </c>
      <c r="AH426">
        <v>12</v>
      </c>
    </row>
    <row r="427" spans="1:34" x14ac:dyDescent="0.2">
      <c r="A427" t="s">
        <v>54</v>
      </c>
      <c r="B427" t="s">
        <v>35</v>
      </c>
      <c r="C427">
        <v>15</v>
      </c>
      <c r="D427" t="s">
        <v>53</v>
      </c>
      <c r="E427" t="s">
        <v>37</v>
      </c>
      <c r="F427" t="s">
        <v>45</v>
      </c>
      <c r="G427">
        <v>1</v>
      </c>
      <c r="H427">
        <v>1</v>
      </c>
      <c r="I427" t="s">
        <v>39</v>
      </c>
      <c r="J427" t="s">
        <v>49</v>
      </c>
      <c r="K427" t="s">
        <v>46</v>
      </c>
      <c r="L427" t="s">
        <v>42</v>
      </c>
      <c r="M427">
        <v>1</v>
      </c>
      <c r="N427">
        <v>1</v>
      </c>
      <c r="O427">
        <v>1</v>
      </c>
      <c r="P427" t="s">
        <v>44</v>
      </c>
      <c r="Q427" t="s">
        <v>43</v>
      </c>
      <c r="R427" t="s">
        <v>44</v>
      </c>
      <c r="S427">
        <f t="shared" si="6"/>
        <v>0</v>
      </c>
      <c r="T427" t="s">
        <v>44</v>
      </c>
      <c r="U427" t="s">
        <v>43</v>
      </c>
      <c r="V427" t="s">
        <v>43</v>
      </c>
      <c r="W427" t="s">
        <v>44</v>
      </c>
      <c r="X427" t="s">
        <v>43</v>
      </c>
      <c r="Y427">
        <v>4</v>
      </c>
      <c r="Z427">
        <v>1</v>
      </c>
      <c r="AA427">
        <v>3</v>
      </c>
      <c r="AB427">
        <v>1</v>
      </c>
      <c r="AC427">
        <v>1</v>
      </c>
      <c r="AD427">
        <v>2</v>
      </c>
      <c r="AE427">
        <v>6</v>
      </c>
      <c r="AF427">
        <v>10</v>
      </c>
      <c r="AG427">
        <v>10</v>
      </c>
      <c r="AH427">
        <v>10</v>
      </c>
    </row>
    <row r="428" spans="1:34" x14ac:dyDescent="0.2">
      <c r="A428" t="s">
        <v>54</v>
      </c>
      <c r="B428" t="s">
        <v>35</v>
      </c>
      <c r="C428">
        <v>15</v>
      </c>
      <c r="D428" t="s">
        <v>53</v>
      </c>
      <c r="E428" t="s">
        <v>37</v>
      </c>
      <c r="F428" t="s">
        <v>45</v>
      </c>
      <c r="G428">
        <v>3</v>
      </c>
      <c r="H428">
        <v>3</v>
      </c>
      <c r="I428" t="s">
        <v>39</v>
      </c>
      <c r="J428" t="s">
        <v>46</v>
      </c>
      <c r="K428" t="s">
        <v>41</v>
      </c>
      <c r="L428" t="s">
        <v>42</v>
      </c>
      <c r="M428">
        <v>2</v>
      </c>
      <c r="N428">
        <v>1</v>
      </c>
      <c r="O428">
        <v>0</v>
      </c>
      <c r="P428" t="s">
        <v>44</v>
      </c>
      <c r="Q428" t="s">
        <v>43</v>
      </c>
      <c r="R428" t="s">
        <v>44</v>
      </c>
      <c r="S428">
        <f t="shared" si="6"/>
        <v>0</v>
      </c>
      <c r="T428" t="s">
        <v>44</v>
      </c>
      <c r="U428" t="s">
        <v>43</v>
      </c>
      <c r="V428" t="s">
        <v>43</v>
      </c>
      <c r="W428" t="s">
        <v>43</v>
      </c>
      <c r="X428" t="s">
        <v>44</v>
      </c>
      <c r="Y428">
        <v>5</v>
      </c>
      <c r="Z428">
        <v>4</v>
      </c>
      <c r="AA428">
        <v>4</v>
      </c>
      <c r="AB428">
        <v>2</v>
      </c>
      <c r="AC428">
        <v>3</v>
      </c>
      <c r="AD428">
        <v>5</v>
      </c>
      <c r="AE428">
        <v>4</v>
      </c>
      <c r="AF428">
        <v>10</v>
      </c>
      <c r="AG428">
        <v>10</v>
      </c>
      <c r="AH428">
        <v>11</v>
      </c>
    </row>
    <row r="429" spans="1:34" x14ac:dyDescent="0.2">
      <c r="A429" t="s">
        <v>54</v>
      </c>
      <c r="B429" t="s">
        <v>35</v>
      </c>
      <c r="C429">
        <v>16</v>
      </c>
      <c r="D429" t="s">
        <v>53</v>
      </c>
      <c r="E429" t="s">
        <v>37</v>
      </c>
      <c r="F429" t="s">
        <v>45</v>
      </c>
      <c r="G429">
        <v>2</v>
      </c>
      <c r="H429">
        <v>3</v>
      </c>
      <c r="I429" t="s">
        <v>39</v>
      </c>
      <c r="J429" t="s">
        <v>49</v>
      </c>
      <c r="K429" t="s">
        <v>41</v>
      </c>
      <c r="L429" t="s">
        <v>42</v>
      </c>
      <c r="M429">
        <v>2</v>
      </c>
      <c r="N429">
        <v>2</v>
      </c>
      <c r="O429">
        <v>0</v>
      </c>
      <c r="P429" t="s">
        <v>44</v>
      </c>
      <c r="Q429" t="s">
        <v>44</v>
      </c>
      <c r="R429" t="s">
        <v>44</v>
      </c>
      <c r="S429">
        <f t="shared" si="6"/>
        <v>0</v>
      </c>
      <c r="T429" t="s">
        <v>44</v>
      </c>
      <c r="U429" t="s">
        <v>43</v>
      </c>
      <c r="V429" t="s">
        <v>43</v>
      </c>
      <c r="W429" t="s">
        <v>44</v>
      </c>
      <c r="X429" t="s">
        <v>44</v>
      </c>
      <c r="Y429">
        <v>4</v>
      </c>
      <c r="Z429">
        <v>5</v>
      </c>
      <c r="AA429">
        <v>2</v>
      </c>
      <c r="AB429">
        <v>1</v>
      </c>
      <c r="AC429">
        <v>2</v>
      </c>
      <c r="AD429">
        <v>5</v>
      </c>
      <c r="AE429">
        <v>0</v>
      </c>
      <c r="AF429">
        <v>16</v>
      </c>
      <c r="AG429">
        <v>17</v>
      </c>
      <c r="AH429">
        <v>17</v>
      </c>
    </row>
    <row r="430" spans="1:34" x14ac:dyDescent="0.2">
      <c r="A430" t="s">
        <v>54</v>
      </c>
      <c r="B430" t="s">
        <v>35</v>
      </c>
      <c r="C430">
        <v>15</v>
      </c>
      <c r="D430" t="s">
        <v>53</v>
      </c>
      <c r="E430" t="s">
        <v>48</v>
      </c>
      <c r="F430" t="s">
        <v>45</v>
      </c>
      <c r="G430">
        <v>2</v>
      </c>
      <c r="H430">
        <v>1</v>
      </c>
      <c r="I430" t="s">
        <v>39</v>
      </c>
      <c r="J430" t="s">
        <v>46</v>
      </c>
      <c r="K430" t="s">
        <v>50</v>
      </c>
      <c r="L430" t="s">
        <v>42</v>
      </c>
      <c r="M430">
        <v>2</v>
      </c>
      <c r="N430">
        <v>1</v>
      </c>
      <c r="O430">
        <v>0</v>
      </c>
      <c r="P430" t="s">
        <v>44</v>
      </c>
      <c r="Q430" t="s">
        <v>44</v>
      </c>
      <c r="R430" t="s">
        <v>44</v>
      </c>
      <c r="S430">
        <f t="shared" si="6"/>
        <v>0</v>
      </c>
      <c r="T430" t="s">
        <v>44</v>
      </c>
      <c r="U430" t="s">
        <v>43</v>
      </c>
      <c r="V430" t="s">
        <v>44</v>
      </c>
      <c r="W430" t="s">
        <v>44</v>
      </c>
      <c r="X430" t="s">
        <v>44</v>
      </c>
      <c r="Y430">
        <v>1</v>
      </c>
      <c r="Z430">
        <v>3</v>
      </c>
      <c r="AA430">
        <v>4</v>
      </c>
      <c r="AB430">
        <v>1</v>
      </c>
      <c r="AC430">
        <v>1</v>
      </c>
      <c r="AD430">
        <v>1</v>
      </c>
      <c r="AE430">
        <v>0</v>
      </c>
      <c r="AF430">
        <v>6</v>
      </c>
      <c r="AG430">
        <v>8</v>
      </c>
      <c r="AH430">
        <v>9</v>
      </c>
    </row>
    <row r="431" spans="1:34" x14ac:dyDescent="0.2">
      <c r="A431" t="s">
        <v>54</v>
      </c>
      <c r="B431" t="s">
        <v>51</v>
      </c>
      <c r="C431">
        <v>16</v>
      </c>
      <c r="D431" t="s">
        <v>53</v>
      </c>
      <c r="E431" t="s">
        <v>48</v>
      </c>
      <c r="F431" t="s">
        <v>38</v>
      </c>
      <c r="G431">
        <v>4</v>
      </c>
      <c r="H431">
        <v>4</v>
      </c>
      <c r="I431" t="s">
        <v>39</v>
      </c>
      <c r="J431" t="s">
        <v>46</v>
      </c>
      <c r="K431" t="s">
        <v>50</v>
      </c>
      <c r="L431" t="s">
        <v>42</v>
      </c>
      <c r="M431">
        <v>1</v>
      </c>
      <c r="N431">
        <v>2</v>
      </c>
      <c r="O431">
        <v>0</v>
      </c>
      <c r="P431" t="s">
        <v>44</v>
      </c>
      <c r="Q431" t="s">
        <v>43</v>
      </c>
      <c r="R431" t="s">
        <v>44</v>
      </c>
      <c r="S431">
        <f t="shared" si="6"/>
        <v>0</v>
      </c>
      <c r="T431" t="s">
        <v>44</v>
      </c>
      <c r="U431" t="s">
        <v>43</v>
      </c>
      <c r="V431" t="s">
        <v>43</v>
      </c>
      <c r="W431" t="s">
        <v>44</v>
      </c>
      <c r="X431" t="s">
        <v>44</v>
      </c>
      <c r="Y431">
        <v>5</v>
      </c>
      <c r="Z431">
        <v>3</v>
      </c>
      <c r="AA431">
        <v>2</v>
      </c>
      <c r="AB431">
        <v>1</v>
      </c>
      <c r="AC431">
        <v>3</v>
      </c>
      <c r="AD431">
        <v>2</v>
      </c>
      <c r="AE431">
        <v>5</v>
      </c>
      <c r="AF431">
        <v>10</v>
      </c>
      <c r="AG431">
        <v>11</v>
      </c>
      <c r="AH431">
        <v>11</v>
      </c>
    </row>
    <row r="432" spans="1:34" x14ac:dyDescent="0.2">
      <c r="A432" t="s">
        <v>54</v>
      </c>
      <c r="B432" t="s">
        <v>51</v>
      </c>
      <c r="C432">
        <v>16</v>
      </c>
      <c r="D432" t="s">
        <v>36</v>
      </c>
      <c r="E432" t="s">
        <v>37</v>
      </c>
      <c r="F432" t="s">
        <v>38</v>
      </c>
      <c r="G432">
        <v>1</v>
      </c>
      <c r="H432">
        <v>2</v>
      </c>
      <c r="I432" t="s">
        <v>46</v>
      </c>
      <c r="J432" t="s">
        <v>46</v>
      </c>
      <c r="K432" t="s">
        <v>46</v>
      </c>
      <c r="L432" t="s">
        <v>42</v>
      </c>
      <c r="M432">
        <v>1</v>
      </c>
      <c r="N432">
        <v>3</v>
      </c>
      <c r="O432">
        <v>0</v>
      </c>
      <c r="P432" t="s">
        <v>43</v>
      </c>
      <c r="Q432" t="s">
        <v>44</v>
      </c>
      <c r="R432" t="s">
        <v>44</v>
      </c>
      <c r="S432">
        <f t="shared" si="6"/>
        <v>0</v>
      </c>
      <c r="T432" t="s">
        <v>44</v>
      </c>
      <c r="U432" t="s">
        <v>43</v>
      </c>
      <c r="V432" t="s">
        <v>43</v>
      </c>
      <c r="W432" t="s">
        <v>43</v>
      </c>
      <c r="X432" t="s">
        <v>44</v>
      </c>
      <c r="Y432">
        <v>4</v>
      </c>
      <c r="Z432">
        <v>4</v>
      </c>
      <c r="AA432">
        <v>3</v>
      </c>
      <c r="AB432">
        <v>1</v>
      </c>
      <c r="AC432">
        <v>1</v>
      </c>
      <c r="AD432">
        <v>5</v>
      </c>
      <c r="AE432">
        <v>0</v>
      </c>
      <c r="AF432">
        <v>10</v>
      </c>
      <c r="AG432">
        <v>11</v>
      </c>
      <c r="AH432">
        <v>11</v>
      </c>
    </row>
    <row r="433" spans="1:34" x14ac:dyDescent="0.2">
      <c r="A433" t="s">
        <v>54</v>
      </c>
      <c r="B433" t="s">
        <v>35</v>
      </c>
      <c r="C433">
        <v>17</v>
      </c>
      <c r="D433" t="s">
        <v>53</v>
      </c>
      <c r="E433" t="s">
        <v>37</v>
      </c>
      <c r="F433" t="s">
        <v>45</v>
      </c>
      <c r="G433">
        <v>3</v>
      </c>
      <c r="H433">
        <v>2</v>
      </c>
      <c r="I433" t="s">
        <v>39</v>
      </c>
      <c r="J433" t="s">
        <v>46</v>
      </c>
      <c r="K433" t="s">
        <v>41</v>
      </c>
      <c r="L433" t="s">
        <v>47</v>
      </c>
      <c r="M433">
        <v>1</v>
      </c>
      <c r="N433">
        <v>2</v>
      </c>
      <c r="O433">
        <v>1</v>
      </c>
      <c r="P433" t="s">
        <v>44</v>
      </c>
      <c r="Q433" t="s">
        <v>44</v>
      </c>
      <c r="R433" t="s">
        <v>44</v>
      </c>
      <c r="S433">
        <f t="shared" si="6"/>
        <v>0</v>
      </c>
      <c r="T433" t="s">
        <v>44</v>
      </c>
      <c r="U433" t="s">
        <v>43</v>
      </c>
      <c r="V433" t="s">
        <v>43</v>
      </c>
      <c r="W433" t="s">
        <v>44</v>
      </c>
      <c r="X433" t="s">
        <v>43</v>
      </c>
      <c r="Y433">
        <v>4</v>
      </c>
      <c r="Z433">
        <v>5</v>
      </c>
      <c r="AA433">
        <v>4</v>
      </c>
      <c r="AB433">
        <v>1</v>
      </c>
      <c r="AC433">
        <v>2</v>
      </c>
      <c r="AD433">
        <v>5</v>
      </c>
      <c r="AE433">
        <v>0</v>
      </c>
      <c r="AF433">
        <v>10</v>
      </c>
      <c r="AG433">
        <v>10</v>
      </c>
      <c r="AH433">
        <v>10</v>
      </c>
    </row>
    <row r="434" spans="1:34" x14ac:dyDescent="0.2">
      <c r="A434" t="s">
        <v>54</v>
      </c>
      <c r="B434" t="s">
        <v>35</v>
      </c>
      <c r="C434">
        <v>17</v>
      </c>
      <c r="D434" t="s">
        <v>53</v>
      </c>
      <c r="E434" t="s">
        <v>37</v>
      </c>
      <c r="F434" t="s">
        <v>45</v>
      </c>
      <c r="G434">
        <v>1</v>
      </c>
      <c r="H434">
        <v>1</v>
      </c>
      <c r="I434" t="s">
        <v>46</v>
      </c>
      <c r="J434" t="s">
        <v>46</v>
      </c>
      <c r="K434" t="s">
        <v>46</v>
      </c>
      <c r="L434" t="s">
        <v>47</v>
      </c>
      <c r="M434">
        <v>1</v>
      </c>
      <c r="N434">
        <v>1</v>
      </c>
      <c r="O434">
        <v>1</v>
      </c>
      <c r="P434" t="s">
        <v>44</v>
      </c>
      <c r="Q434" t="s">
        <v>43</v>
      </c>
      <c r="R434" t="s">
        <v>44</v>
      </c>
      <c r="S434">
        <f t="shared" si="6"/>
        <v>0</v>
      </c>
      <c r="T434" t="s">
        <v>44</v>
      </c>
      <c r="U434" t="s">
        <v>44</v>
      </c>
      <c r="V434" t="s">
        <v>44</v>
      </c>
      <c r="W434" t="s">
        <v>43</v>
      </c>
      <c r="X434" t="s">
        <v>44</v>
      </c>
      <c r="Y434">
        <v>5</v>
      </c>
      <c r="Z434">
        <v>4</v>
      </c>
      <c r="AA434">
        <v>4</v>
      </c>
      <c r="AB434">
        <v>2</v>
      </c>
      <c r="AC434">
        <v>2</v>
      </c>
      <c r="AD434">
        <v>5</v>
      </c>
      <c r="AE434">
        <v>0</v>
      </c>
      <c r="AF434">
        <v>6</v>
      </c>
      <c r="AG434">
        <v>6</v>
      </c>
      <c r="AH434">
        <v>7</v>
      </c>
    </row>
    <row r="435" spans="1:34" x14ac:dyDescent="0.2">
      <c r="A435" t="s">
        <v>54</v>
      </c>
      <c r="B435" t="s">
        <v>35</v>
      </c>
      <c r="C435">
        <v>15</v>
      </c>
      <c r="D435" t="s">
        <v>53</v>
      </c>
      <c r="E435" t="s">
        <v>37</v>
      </c>
      <c r="F435" t="s">
        <v>45</v>
      </c>
      <c r="G435">
        <v>4</v>
      </c>
      <c r="H435">
        <v>4</v>
      </c>
      <c r="I435" t="s">
        <v>40</v>
      </c>
      <c r="J435" t="s">
        <v>46</v>
      </c>
      <c r="K435" t="s">
        <v>41</v>
      </c>
      <c r="L435" t="s">
        <v>42</v>
      </c>
      <c r="M435">
        <v>2</v>
      </c>
      <c r="N435">
        <v>1</v>
      </c>
      <c r="O435">
        <v>0</v>
      </c>
      <c r="P435" t="s">
        <v>44</v>
      </c>
      <c r="Q435" t="s">
        <v>44</v>
      </c>
      <c r="R435" t="s">
        <v>44</v>
      </c>
      <c r="S435">
        <f t="shared" si="6"/>
        <v>0</v>
      </c>
      <c r="T435" t="s">
        <v>44</v>
      </c>
      <c r="U435" t="s">
        <v>43</v>
      </c>
      <c r="V435" t="s">
        <v>43</v>
      </c>
      <c r="W435" t="s">
        <v>43</v>
      </c>
      <c r="X435" t="s">
        <v>43</v>
      </c>
      <c r="Y435">
        <v>1</v>
      </c>
      <c r="Z435">
        <v>5</v>
      </c>
      <c r="AA435">
        <v>1</v>
      </c>
      <c r="AB435">
        <v>3</v>
      </c>
      <c r="AC435">
        <v>5</v>
      </c>
      <c r="AD435">
        <v>5</v>
      </c>
      <c r="AE435">
        <v>0</v>
      </c>
      <c r="AF435">
        <v>13</v>
      </c>
      <c r="AG435">
        <v>14</v>
      </c>
      <c r="AH435">
        <v>14</v>
      </c>
    </row>
    <row r="436" spans="1:34" x14ac:dyDescent="0.2">
      <c r="A436" t="s">
        <v>54</v>
      </c>
      <c r="B436" t="s">
        <v>35</v>
      </c>
      <c r="C436">
        <v>16</v>
      </c>
      <c r="D436" t="s">
        <v>36</v>
      </c>
      <c r="E436" t="s">
        <v>48</v>
      </c>
      <c r="F436" t="s">
        <v>38</v>
      </c>
      <c r="G436">
        <v>2</v>
      </c>
      <c r="H436">
        <v>2</v>
      </c>
      <c r="I436" t="s">
        <v>39</v>
      </c>
      <c r="J436" t="s">
        <v>46</v>
      </c>
      <c r="K436" t="s">
        <v>52</v>
      </c>
      <c r="L436" t="s">
        <v>42</v>
      </c>
      <c r="M436">
        <v>2</v>
      </c>
      <c r="N436">
        <v>4</v>
      </c>
      <c r="O436">
        <v>0</v>
      </c>
      <c r="P436" t="s">
        <v>44</v>
      </c>
      <c r="Q436" t="s">
        <v>44</v>
      </c>
      <c r="R436" t="s">
        <v>44</v>
      </c>
      <c r="S436">
        <f t="shared" si="6"/>
        <v>0</v>
      </c>
      <c r="T436" t="s">
        <v>43</v>
      </c>
      <c r="U436" t="s">
        <v>44</v>
      </c>
      <c r="V436" t="s">
        <v>44</v>
      </c>
      <c r="W436" t="s">
        <v>44</v>
      </c>
      <c r="X436" t="s">
        <v>43</v>
      </c>
      <c r="Y436">
        <v>1</v>
      </c>
      <c r="Z436">
        <v>2</v>
      </c>
      <c r="AA436">
        <v>1</v>
      </c>
      <c r="AB436">
        <v>1</v>
      </c>
      <c r="AC436">
        <v>1</v>
      </c>
      <c r="AD436">
        <v>1</v>
      </c>
      <c r="AE436">
        <v>4</v>
      </c>
      <c r="AF436">
        <v>10</v>
      </c>
      <c r="AG436">
        <v>9</v>
      </c>
      <c r="AH436">
        <v>11</v>
      </c>
    </row>
    <row r="437" spans="1:34" x14ac:dyDescent="0.2">
      <c r="A437" t="s">
        <v>54</v>
      </c>
      <c r="B437" t="s">
        <v>35</v>
      </c>
      <c r="C437">
        <v>15</v>
      </c>
      <c r="D437" t="s">
        <v>53</v>
      </c>
      <c r="E437" t="s">
        <v>48</v>
      </c>
      <c r="F437" t="s">
        <v>45</v>
      </c>
      <c r="G437">
        <v>1</v>
      </c>
      <c r="H437">
        <v>1</v>
      </c>
      <c r="I437" t="s">
        <v>39</v>
      </c>
      <c r="J437" t="s">
        <v>49</v>
      </c>
      <c r="K437" t="s">
        <v>52</v>
      </c>
      <c r="L437" t="s">
        <v>47</v>
      </c>
      <c r="M437">
        <v>2</v>
      </c>
      <c r="N437">
        <v>2</v>
      </c>
      <c r="O437">
        <v>0</v>
      </c>
      <c r="P437" t="s">
        <v>44</v>
      </c>
      <c r="Q437" t="s">
        <v>43</v>
      </c>
      <c r="R437" t="s">
        <v>44</v>
      </c>
      <c r="S437">
        <f t="shared" si="6"/>
        <v>0</v>
      </c>
      <c r="T437" t="s">
        <v>44</v>
      </c>
      <c r="U437" t="s">
        <v>43</v>
      </c>
      <c r="V437" t="s">
        <v>43</v>
      </c>
      <c r="W437" t="s">
        <v>43</v>
      </c>
      <c r="X437" t="s">
        <v>44</v>
      </c>
      <c r="Y437">
        <v>5</v>
      </c>
      <c r="Z437">
        <v>4</v>
      </c>
      <c r="AA437">
        <v>3</v>
      </c>
      <c r="AB437">
        <v>1</v>
      </c>
      <c r="AC437">
        <v>2</v>
      </c>
      <c r="AD437">
        <v>4</v>
      </c>
      <c r="AE437">
        <v>0</v>
      </c>
      <c r="AF437">
        <v>10</v>
      </c>
      <c r="AG437">
        <v>10</v>
      </c>
      <c r="AH437">
        <v>10</v>
      </c>
    </row>
    <row r="438" spans="1:34" x14ac:dyDescent="0.2">
      <c r="A438" t="s">
        <v>54</v>
      </c>
      <c r="B438" t="s">
        <v>35</v>
      </c>
      <c r="C438">
        <v>15</v>
      </c>
      <c r="D438" t="s">
        <v>53</v>
      </c>
      <c r="E438" t="s">
        <v>48</v>
      </c>
      <c r="F438" t="s">
        <v>45</v>
      </c>
      <c r="G438">
        <v>1</v>
      </c>
      <c r="H438">
        <v>1</v>
      </c>
      <c r="I438" t="s">
        <v>46</v>
      </c>
      <c r="J438" t="s">
        <v>49</v>
      </c>
      <c r="K438" t="s">
        <v>41</v>
      </c>
      <c r="L438" t="s">
        <v>42</v>
      </c>
      <c r="M438">
        <v>2</v>
      </c>
      <c r="N438">
        <v>1</v>
      </c>
      <c r="O438">
        <v>1</v>
      </c>
      <c r="P438" t="s">
        <v>44</v>
      </c>
      <c r="Q438" t="s">
        <v>43</v>
      </c>
      <c r="R438" t="s">
        <v>44</v>
      </c>
      <c r="S438">
        <f t="shared" si="6"/>
        <v>0</v>
      </c>
      <c r="T438" t="s">
        <v>44</v>
      </c>
      <c r="U438" t="s">
        <v>43</v>
      </c>
      <c r="V438" t="s">
        <v>43</v>
      </c>
      <c r="W438" t="s">
        <v>43</v>
      </c>
      <c r="X438" t="s">
        <v>43</v>
      </c>
      <c r="Y438">
        <v>4</v>
      </c>
      <c r="Z438">
        <v>4</v>
      </c>
      <c r="AA438">
        <v>3</v>
      </c>
      <c r="AB438">
        <v>1</v>
      </c>
      <c r="AC438">
        <v>2</v>
      </c>
      <c r="AD438">
        <v>2</v>
      </c>
      <c r="AE438">
        <v>4</v>
      </c>
      <c r="AF438">
        <v>6</v>
      </c>
      <c r="AG438">
        <v>7</v>
      </c>
      <c r="AH438">
        <v>8</v>
      </c>
    </row>
    <row r="439" spans="1:34" x14ac:dyDescent="0.2">
      <c r="A439" t="s">
        <v>54</v>
      </c>
      <c r="B439" t="s">
        <v>35</v>
      </c>
      <c r="C439">
        <v>16</v>
      </c>
      <c r="D439" t="s">
        <v>53</v>
      </c>
      <c r="E439" t="s">
        <v>37</v>
      </c>
      <c r="F439" t="s">
        <v>45</v>
      </c>
      <c r="G439">
        <v>0</v>
      </c>
      <c r="H439">
        <v>2</v>
      </c>
      <c r="I439" t="s">
        <v>46</v>
      </c>
      <c r="J439" t="s">
        <v>46</v>
      </c>
      <c r="K439" t="s">
        <v>46</v>
      </c>
      <c r="L439" t="s">
        <v>42</v>
      </c>
      <c r="M439">
        <v>2</v>
      </c>
      <c r="N439">
        <v>1</v>
      </c>
      <c r="O439">
        <v>0</v>
      </c>
      <c r="P439" t="s">
        <v>44</v>
      </c>
      <c r="Q439" t="s">
        <v>43</v>
      </c>
      <c r="R439" t="s">
        <v>44</v>
      </c>
      <c r="S439">
        <f t="shared" si="6"/>
        <v>0</v>
      </c>
      <c r="T439" t="s">
        <v>43</v>
      </c>
      <c r="U439" t="s">
        <v>43</v>
      </c>
      <c r="V439" t="s">
        <v>43</v>
      </c>
      <c r="W439" t="s">
        <v>44</v>
      </c>
      <c r="X439" t="s">
        <v>44</v>
      </c>
      <c r="Y439">
        <v>3</v>
      </c>
      <c r="Z439">
        <v>2</v>
      </c>
      <c r="AA439">
        <v>3</v>
      </c>
      <c r="AB439">
        <v>1</v>
      </c>
      <c r="AC439">
        <v>2</v>
      </c>
      <c r="AD439">
        <v>2</v>
      </c>
      <c r="AE439">
        <v>0</v>
      </c>
      <c r="AF439">
        <v>12</v>
      </c>
      <c r="AG439">
        <v>11</v>
      </c>
      <c r="AH439">
        <v>12</v>
      </c>
    </row>
    <row r="440" spans="1:34" x14ac:dyDescent="0.2">
      <c r="A440" t="s">
        <v>54</v>
      </c>
      <c r="B440" t="s">
        <v>35</v>
      </c>
      <c r="C440">
        <v>17</v>
      </c>
      <c r="D440" t="s">
        <v>53</v>
      </c>
      <c r="E440" t="s">
        <v>37</v>
      </c>
      <c r="F440" t="s">
        <v>45</v>
      </c>
      <c r="G440">
        <v>2</v>
      </c>
      <c r="H440">
        <v>3</v>
      </c>
      <c r="I440" t="s">
        <v>46</v>
      </c>
      <c r="J440" t="s">
        <v>46</v>
      </c>
      <c r="K440" t="s">
        <v>41</v>
      </c>
      <c r="L440" t="s">
        <v>42</v>
      </c>
      <c r="M440">
        <v>2</v>
      </c>
      <c r="N440">
        <v>1</v>
      </c>
      <c r="O440">
        <v>0</v>
      </c>
      <c r="P440" t="s">
        <v>44</v>
      </c>
      <c r="Q440" t="s">
        <v>43</v>
      </c>
      <c r="R440" t="s">
        <v>44</v>
      </c>
      <c r="S440">
        <f t="shared" si="6"/>
        <v>0</v>
      </c>
      <c r="T440" t="s">
        <v>44</v>
      </c>
      <c r="U440" t="s">
        <v>43</v>
      </c>
      <c r="V440" t="s">
        <v>43</v>
      </c>
      <c r="W440" t="s">
        <v>43</v>
      </c>
      <c r="X440" t="s">
        <v>44</v>
      </c>
      <c r="Y440">
        <v>5</v>
      </c>
      <c r="Z440">
        <v>5</v>
      </c>
      <c r="AA440">
        <v>5</v>
      </c>
      <c r="AB440">
        <v>1</v>
      </c>
      <c r="AC440">
        <v>3</v>
      </c>
      <c r="AD440">
        <v>3</v>
      </c>
      <c r="AE440">
        <v>2</v>
      </c>
      <c r="AF440">
        <v>10</v>
      </c>
      <c r="AG440">
        <v>11</v>
      </c>
      <c r="AH440">
        <v>12</v>
      </c>
    </row>
    <row r="441" spans="1:34" x14ac:dyDescent="0.2">
      <c r="A441" t="s">
        <v>54</v>
      </c>
      <c r="B441" t="s">
        <v>35</v>
      </c>
      <c r="C441">
        <v>15</v>
      </c>
      <c r="D441" t="s">
        <v>53</v>
      </c>
      <c r="E441" t="s">
        <v>37</v>
      </c>
      <c r="F441" t="s">
        <v>45</v>
      </c>
      <c r="G441">
        <v>3</v>
      </c>
      <c r="H441">
        <v>3</v>
      </c>
      <c r="I441" t="s">
        <v>46</v>
      </c>
      <c r="J441" t="s">
        <v>49</v>
      </c>
      <c r="K441" t="s">
        <v>41</v>
      </c>
      <c r="L441" t="s">
        <v>47</v>
      </c>
      <c r="M441">
        <v>2</v>
      </c>
      <c r="N441">
        <v>1</v>
      </c>
      <c r="O441">
        <v>0</v>
      </c>
      <c r="P441" t="s">
        <v>44</v>
      </c>
      <c r="Q441" t="s">
        <v>44</v>
      </c>
      <c r="R441" t="s">
        <v>44</v>
      </c>
      <c r="S441">
        <f t="shared" si="6"/>
        <v>0</v>
      </c>
      <c r="T441" t="s">
        <v>44</v>
      </c>
      <c r="U441" t="s">
        <v>44</v>
      </c>
      <c r="V441" t="s">
        <v>43</v>
      </c>
      <c r="W441" t="s">
        <v>43</v>
      </c>
      <c r="X441" t="s">
        <v>44</v>
      </c>
      <c r="Y441">
        <v>4</v>
      </c>
      <c r="Z441">
        <v>1</v>
      </c>
      <c r="AA441">
        <v>3</v>
      </c>
      <c r="AB441">
        <v>1</v>
      </c>
      <c r="AC441">
        <v>1</v>
      </c>
      <c r="AD441">
        <v>4</v>
      </c>
      <c r="AE441">
        <v>0</v>
      </c>
      <c r="AF441">
        <v>14</v>
      </c>
      <c r="AG441">
        <v>16</v>
      </c>
      <c r="AH441">
        <v>16</v>
      </c>
    </row>
    <row r="442" spans="1:34" x14ac:dyDescent="0.2">
      <c r="A442" t="s">
        <v>54</v>
      </c>
      <c r="B442" t="s">
        <v>51</v>
      </c>
      <c r="C442">
        <v>16</v>
      </c>
      <c r="D442" t="s">
        <v>36</v>
      </c>
      <c r="E442" t="s">
        <v>37</v>
      </c>
      <c r="F442" t="s">
        <v>45</v>
      </c>
      <c r="G442">
        <v>1</v>
      </c>
      <c r="H442">
        <v>1</v>
      </c>
      <c r="I442" t="s">
        <v>39</v>
      </c>
      <c r="J442" t="s">
        <v>49</v>
      </c>
      <c r="K442" t="s">
        <v>50</v>
      </c>
      <c r="L442" t="s">
        <v>42</v>
      </c>
      <c r="M442">
        <v>2</v>
      </c>
      <c r="N442">
        <v>2</v>
      </c>
      <c r="O442">
        <v>0</v>
      </c>
      <c r="P442" t="s">
        <v>44</v>
      </c>
      <c r="Q442" t="s">
        <v>43</v>
      </c>
      <c r="R442" t="s">
        <v>44</v>
      </c>
      <c r="S442">
        <f t="shared" si="6"/>
        <v>0</v>
      </c>
      <c r="T442" t="s">
        <v>43</v>
      </c>
      <c r="U442" t="s">
        <v>43</v>
      </c>
      <c r="V442" t="s">
        <v>43</v>
      </c>
      <c r="W442" t="s">
        <v>44</v>
      </c>
      <c r="X442" t="s">
        <v>43</v>
      </c>
      <c r="Y442">
        <v>5</v>
      </c>
      <c r="Z442">
        <v>4</v>
      </c>
      <c r="AA442">
        <v>5</v>
      </c>
      <c r="AB442">
        <v>4</v>
      </c>
      <c r="AC442">
        <v>5</v>
      </c>
      <c r="AD442">
        <v>3</v>
      </c>
      <c r="AE442">
        <v>0</v>
      </c>
      <c r="AF442">
        <v>7</v>
      </c>
      <c r="AG442">
        <v>0</v>
      </c>
      <c r="AH442">
        <v>0</v>
      </c>
    </row>
    <row r="443" spans="1:34" x14ac:dyDescent="0.2">
      <c r="A443" t="s">
        <v>54</v>
      </c>
      <c r="B443" t="s">
        <v>51</v>
      </c>
      <c r="C443">
        <v>17</v>
      </c>
      <c r="D443" t="s">
        <v>36</v>
      </c>
      <c r="E443" t="s">
        <v>37</v>
      </c>
      <c r="F443" t="s">
        <v>45</v>
      </c>
      <c r="G443">
        <v>1</v>
      </c>
      <c r="H443">
        <v>1</v>
      </c>
      <c r="I443" t="s">
        <v>46</v>
      </c>
      <c r="J443" t="s">
        <v>46</v>
      </c>
      <c r="K443" t="s">
        <v>50</v>
      </c>
      <c r="L443" t="s">
        <v>42</v>
      </c>
      <c r="M443">
        <v>1</v>
      </c>
      <c r="N443">
        <v>2</v>
      </c>
      <c r="O443">
        <v>0</v>
      </c>
      <c r="P443" t="s">
        <v>44</v>
      </c>
      <c r="Q443" t="s">
        <v>44</v>
      </c>
      <c r="R443" t="s">
        <v>43</v>
      </c>
      <c r="S443">
        <f t="shared" si="6"/>
        <v>1</v>
      </c>
      <c r="T443" t="s">
        <v>44</v>
      </c>
      <c r="U443" t="s">
        <v>44</v>
      </c>
      <c r="V443" t="s">
        <v>43</v>
      </c>
      <c r="W443" t="s">
        <v>43</v>
      </c>
      <c r="X443" t="s">
        <v>44</v>
      </c>
      <c r="Y443">
        <v>4</v>
      </c>
      <c r="Z443">
        <v>4</v>
      </c>
      <c r="AA443">
        <v>3</v>
      </c>
      <c r="AB443">
        <v>2</v>
      </c>
      <c r="AC443">
        <v>4</v>
      </c>
      <c r="AD443">
        <v>5</v>
      </c>
      <c r="AE443">
        <v>4</v>
      </c>
      <c r="AF443">
        <v>8</v>
      </c>
      <c r="AG443">
        <v>9</v>
      </c>
      <c r="AH443">
        <v>9</v>
      </c>
    </row>
    <row r="444" spans="1:34" x14ac:dyDescent="0.2">
      <c r="A444" t="s">
        <v>54</v>
      </c>
      <c r="B444" t="s">
        <v>51</v>
      </c>
      <c r="C444">
        <v>15</v>
      </c>
      <c r="D444" t="s">
        <v>53</v>
      </c>
      <c r="E444" t="s">
        <v>48</v>
      </c>
      <c r="F444" t="s">
        <v>45</v>
      </c>
      <c r="G444">
        <v>4</v>
      </c>
      <c r="H444">
        <v>1</v>
      </c>
      <c r="I444" t="s">
        <v>29</v>
      </c>
      <c r="J444" t="s">
        <v>49</v>
      </c>
      <c r="K444" t="s">
        <v>52</v>
      </c>
      <c r="L444" t="s">
        <v>47</v>
      </c>
      <c r="M444">
        <v>1</v>
      </c>
      <c r="N444">
        <v>2</v>
      </c>
      <c r="O444">
        <v>0</v>
      </c>
      <c r="P444" t="s">
        <v>44</v>
      </c>
      <c r="Q444" t="s">
        <v>43</v>
      </c>
      <c r="R444" t="s">
        <v>44</v>
      </c>
      <c r="S444">
        <f t="shared" si="6"/>
        <v>0</v>
      </c>
      <c r="T444" t="s">
        <v>43</v>
      </c>
      <c r="U444" t="s">
        <v>43</v>
      </c>
      <c r="V444" t="s">
        <v>43</v>
      </c>
      <c r="W444" t="s">
        <v>43</v>
      </c>
      <c r="X444" t="s">
        <v>44</v>
      </c>
      <c r="Y444">
        <v>5</v>
      </c>
      <c r="Z444">
        <v>3</v>
      </c>
      <c r="AA444">
        <v>4</v>
      </c>
      <c r="AB444">
        <v>1</v>
      </c>
      <c r="AC444">
        <v>2</v>
      </c>
      <c r="AD444">
        <v>2</v>
      </c>
      <c r="AE444">
        <v>0</v>
      </c>
      <c r="AF444">
        <v>12</v>
      </c>
      <c r="AG444">
        <v>13</v>
      </c>
      <c r="AH444">
        <v>14</v>
      </c>
    </row>
    <row r="445" spans="1:34" x14ac:dyDescent="0.2">
      <c r="A445" t="s">
        <v>54</v>
      </c>
      <c r="B445" t="s">
        <v>51</v>
      </c>
      <c r="C445">
        <v>15</v>
      </c>
      <c r="D445" t="s">
        <v>53</v>
      </c>
      <c r="E445" t="s">
        <v>48</v>
      </c>
      <c r="F445" t="s">
        <v>45</v>
      </c>
      <c r="G445">
        <v>4</v>
      </c>
      <c r="H445">
        <v>1</v>
      </c>
      <c r="I445" t="s">
        <v>29</v>
      </c>
      <c r="J445" t="s">
        <v>49</v>
      </c>
      <c r="K445" t="s">
        <v>52</v>
      </c>
      <c r="L445" t="s">
        <v>47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>
        <f t="shared" si="6"/>
        <v>0</v>
      </c>
      <c r="T445" t="s">
        <v>43</v>
      </c>
      <c r="U445" t="s">
        <v>43</v>
      </c>
      <c r="V445" t="s">
        <v>43</v>
      </c>
      <c r="W445" t="s">
        <v>43</v>
      </c>
      <c r="X445" t="s">
        <v>44</v>
      </c>
      <c r="Y445">
        <v>5</v>
      </c>
      <c r="Z445">
        <v>3</v>
      </c>
      <c r="AA445">
        <v>4</v>
      </c>
      <c r="AB445">
        <v>1</v>
      </c>
      <c r="AC445">
        <v>2</v>
      </c>
      <c r="AD445">
        <v>2</v>
      </c>
      <c r="AE445">
        <v>7</v>
      </c>
      <c r="AF445">
        <v>7</v>
      </c>
      <c r="AG445">
        <v>9</v>
      </c>
      <c r="AH445">
        <v>8</v>
      </c>
    </row>
    <row r="446" spans="1:34" x14ac:dyDescent="0.2">
      <c r="A446" t="s">
        <v>54</v>
      </c>
      <c r="B446" t="s">
        <v>51</v>
      </c>
      <c r="C446">
        <v>16</v>
      </c>
      <c r="D446" t="s">
        <v>53</v>
      </c>
      <c r="E446" t="s">
        <v>37</v>
      </c>
      <c r="F446" t="s">
        <v>45</v>
      </c>
      <c r="G446">
        <v>3</v>
      </c>
      <c r="H446">
        <v>4</v>
      </c>
      <c r="I446" t="s">
        <v>46</v>
      </c>
      <c r="J446" t="s">
        <v>29</v>
      </c>
      <c r="K446" t="s">
        <v>46</v>
      </c>
      <c r="L446" t="s">
        <v>42</v>
      </c>
      <c r="M446">
        <v>3</v>
      </c>
      <c r="N446">
        <v>2</v>
      </c>
      <c r="O446">
        <v>0</v>
      </c>
      <c r="P446" t="s">
        <v>44</v>
      </c>
      <c r="Q446" t="s">
        <v>44</v>
      </c>
      <c r="R446" t="s">
        <v>44</v>
      </c>
      <c r="S446">
        <f t="shared" si="6"/>
        <v>0</v>
      </c>
      <c r="T446" t="s">
        <v>44</v>
      </c>
      <c r="U446" t="s">
        <v>44</v>
      </c>
      <c r="V446" t="s">
        <v>43</v>
      </c>
      <c r="W446" t="s">
        <v>44</v>
      </c>
      <c r="X446" t="s">
        <v>44</v>
      </c>
      <c r="Y446">
        <v>3</v>
      </c>
      <c r="Z446">
        <v>4</v>
      </c>
      <c r="AA446">
        <v>5</v>
      </c>
      <c r="AB446">
        <v>1</v>
      </c>
      <c r="AC446">
        <v>2</v>
      </c>
      <c r="AD446">
        <v>5</v>
      </c>
      <c r="AE446">
        <v>4</v>
      </c>
      <c r="AF446">
        <v>9</v>
      </c>
      <c r="AG446">
        <v>10</v>
      </c>
      <c r="AH446">
        <v>11</v>
      </c>
    </row>
    <row r="447" spans="1:34" x14ac:dyDescent="0.2">
      <c r="A447" t="s">
        <v>54</v>
      </c>
      <c r="B447" t="s">
        <v>51</v>
      </c>
      <c r="C447">
        <v>15</v>
      </c>
      <c r="D447" t="s">
        <v>53</v>
      </c>
      <c r="E447" t="s">
        <v>37</v>
      </c>
      <c r="F447" t="s">
        <v>45</v>
      </c>
      <c r="G447">
        <v>1</v>
      </c>
      <c r="H447">
        <v>1</v>
      </c>
      <c r="I447" t="s">
        <v>46</v>
      </c>
      <c r="J447" t="s">
        <v>46</v>
      </c>
      <c r="K447" t="s">
        <v>41</v>
      </c>
      <c r="L447" t="s">
        <v>42</v>
      </c>
      <c r="M447">
        <v>4</v>
      </c>
      <c r="N447">
        <v>2</v>
      </c>
      <c r="O447">
        <v>0</v>
      </c>
      <c r="P447" t="s">
        <v>44</v>
      </c>
      <c r="Q447" t="s">
        <v>43</v>
      </c>
      <c r="R447" t="s">
        <v>44</v>
      </c>
      <c r="S447">
        <f t="shared" si="6"/>
        <v>0</v>
      </c>
      <c r="T447" t="s">
        <v>43</v>
      </c>
      <c r="U447" t="s">
        <v>43</v>
      </c>
      <c r="V447" t="s">
        <v>43</v>
      </c>
      <c r="W447" t="s">
        <v>44</v>
      </c>
      <c r="X447" t="s">
        <v>43</v>
      </c>
      <c r="Y447">
        <v>5</v>
      </c>
      <c r="Z447">
        <v>4</v>
      </c>
      <c r="AA447">
        <v>5</v>
      </c>
      <c r="AB447">
        <v>2</v>
      </c>
      <c r="AC447">
        <v>4</v>
      </c>
      <c r="AD447">
        <v>4</v>
      </c>
      <c r="AE447">
        <v>8</v>
      </c>
      <c r="AF447">
        <v>7</v>
      </c>
      <c r="AG447">
        <v>9</v>
      </c>
      <c r="AH447">
        <v>9</v>
      </c>
    </row>
    <row r="448" spans="1:34" x14ac:dyDescent="0.2">
      <c r="A448" t="s">
        <v>54</v>
      </c>
      <c r="B448" t="s">
        <v>51</v>
      </c>
      <c r="C448">
        <v>15</v>
      </c>
      <c r="D448" t="s">
        <v>36</v>
      </c>
      <c r="E448" t="s">
        <v>48</v>
      </c>
      <c r="F448" t="s">
        <v>45</v>
      </c>
      <c r="G448">
        <v>3</v>
      </c>
      <c r="H448">
        <v>3</v>
      </c>
      <c r="I448" t="s">
        <v>39</v>
      </c>
      <c r="J448" t="s">
        <v>39</v>
      </c>
      <c r="K448" t="s">
        <v>52</v>
      </c>
      <c r="L448" t="s">
        <v>47</v>
      </c>
      <c r="M448">
        <v>1</v>
      </c>
      <c r="N448">
        <v>2</v>
      </c>
      <c r="O448">
        <v>0</v>
      </c>
      <c r="P448" t="s">
        <v>44</v>
      </c>
      <c r="Q448" t="s">
        <v>43</v>
      </c>
      <c r="R448" t="s">
        <v>44</v>
      </c>
      <c r="S448">
        <f t="shared" si="6"/>
        <v>0</v>
      </c>
      <c r="T448" t="s">
        <v>43</v>
      </c>
      <c r="U448" t="s">
        <v>43</v>
      </c>
      <c r="V448" t="s">
        <v>43</v>
      </c>
      <c r="W448" t="s">
        <v>43</v>
      </c>
      <c r="X448" t="s">
        <v>44</v>
      </c>
      <c r="Y448">
        <v>5</v>
      </c>
      <c r="Z448">
        <v>3</v>
      </c>
      <c r="AA448">
        <v>3</v>
      </c>
      <c r="AB448">
        <v>1</v>
      </c>
      <c r="AC448">
        <v>1</v>
      </c>
      <c r="AD448">
        <v>5</v>
      </c>
      <c r="AE448">
        <v>0</v>
      </c>
      <c r="AF448">
        <v>11</v>
      </c>
      <c r="AG448">
        <v>11</v>
      </c>
      <c r="AH448">
        <v>11</v>
      </c>
    </row>
    <row r="449" spans="1:34" x14ac:dyDescent="0.2">
      <c r="A449" t="s">
        <v>54</v>
      </c>
      <c r="B449" t="s">
        <v>51</v>
      </c>
      <c r="C449">
        <v>17</v>
      </c>
      <c r="D449" t="s">
        <v>53</v>
      </c>
      <c r="E449" t="s">
        <v>37</v>
      </c>
      <c r="F449" t="s">
        <v>45</v>
      </c>
      <c r="G449">
        <v>2</v>
      </c>
      <c r="H449">
        <v>1</v>
      </c>
      <c r="I449" t="s">
        <v>46</v>
      </c>
      <c r="J449" t="s">
        <v>46</v>
      </c>
      <c r="K449" t="s">
        <v>46</v>
      </c>
      <c r="L449" t="s">
        <v>42</v>
      </c>
      <c r="M449">
        <v>3</v>
      </c>
      <c r="N449">
        <v>1</v>
      </c>
      <c r="O449">
        <v>0</v>
      </c>
      <c r="P449" t="s">
        <v>44</v>
      </c>
      <c r="Q449" t="s">
        <v>44</v>
      </c>
      <c r="R449" t="s">
        <v>44</v>
      </c>
      <c r="S449">
        <f t="shared" si="6"/>
        <v>0</v>
      </c>
      <c r="T449" t="s">
        <v>43</v>
      </c>
      <c r="U449" t="s">
        <v>43</v>
      </c>
      <c r="V449" t="s">
        <v>44</v>
      </c>
      <c r="W449" t="s">
        <v>44</v>
      </c>
      <c r="X449" t="s">
        <v>43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3</v>
      </c>
      <c r="AE449">
        <v>8</v>
      </c>
      <c r="AF449">
        <v>8</v>
      </c>
      <c r="AG449">
        <v>10</v>
      </c>
      <c r="AH449">
        <v>9</v>
      </c>
    </row>
    <row r="450" spans="1:34" x14ac:dyDescent="0.2">
      <c r="A450" t="s">
        <v>54</v>
      </c>
      <c r="B450" t="s">
        <v>35</v>
      </c>
      <c r="C450">
        <v>16</v>
      </c>
      <c r="D450" t="s">
        <v>53</v>
      </c>
      <c r="E450" t="s">
        <v>37</v>
      </c>
      <c r="F450" t="s">
        <v>45</v>
      </c>
      <c r="G450">
        <v>4</v>
      </c>
      <c r="H450">
        <v>4</v>
      </c>
      <c r="I450" t="s">
        <v>40</v>
      </c>
      <c r="J450" t="s">
        <v>40</v>
      </c>
      <c r="K450" t="s">
        <v>41</v>
      </c>
      <c r="L450" t="s">
        <v>42</v>
      </c>
      <c r="M450">
        <v>2</v>
      </c>
      <c r="N450">
        <v>3</v>
      </c>
      <c r="O450">
        <v>0</v>
      </c>
      <c r="P450" t="s">
        <v>44</v>
      </c>
      <c r="Q450" t="s">
        <v>44</v>
      </c>
      <c r="R450" t="s">
        <v>44</v>
      </c>
      <c r="S450">
        <f t="shared" si="6"/>
        <v>0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>
        <v>4</v>
      </c>
      <c r="Z450">
        <v>2</v>
      </c>
      <c r="AA450">
        <v>2</v>
      </c>
      <c r="AB450">
        <v>1</v>
      </c>
      <c r="AC450">
        <v>1</v>
      </c>
      <c r="AD450">
        <v>4</v>
      </c>
      <c r="AE450">
        <v>6</v>
      </c>
      <c r="AF450">
        <v>16</v>
      </c>
      <c r="AG450">
        <v>16</v>
      </c>
      <c r="AH450">
        <v>17</v>
      </c>
    </row>
    <row r="451" spans="1:34" x14ac:dyDescent="0.2">
      <c r="A451" t="s">
        <v>54</v>
      </c>
      <c r="B451" t="s">
        <v>35</v>
      </c>
      <c r="C451">
        <v>15</v>
      </c>
      <c r="D451" t="s">
        <v>53</v>
      </c>
      <c r="E451" t="s">
        <v>37</v>
      </c>
      <c r="F451" t="s">
        <v>45</v>
      </c>
      <c r="G451">
        <v>1</v>
      </c>
      <c r="H451">
        <v>2</v>
      </c>
      <c r="I451" t="s">
        <v>46</v>
      </c>
      <c r="J451" t="s">
        <v>49</v>
      </c>
      <c r="K451" t="s">
        <v>41</v>
      </c>
      <c r="L451" t="s">
        <v>42</v>
      </c>
      <c r="M451">
        <v>2</v>
      </c>
      <c r="N451">
        <v>1</v>
      </c>
      <c r="O451">
        <v>0</v>
      </c>
      <c r="P451" t="s">
        <v>44</v>
      </c>
      <c r="Q451" t="s">
        <v>44</v>
      </c>
      <c r="R451" t="s">
        <v>44</v>
      </c>
      <c r="S451">
        <f t="shared" ref="S451:S514" si="7">IF(R451="yes",1,0)</f>
        <v>0</v>
      </c>
      <c r="T451" t="s">
        <v>44</v>
      </c>
      <c r="U451" t="s">
        <v>43</v>
      </c>
      <c r="V451" t="s">
        <v>43</v>
      </c>
      <c r="W451" t="s">
        <v>44</v>
      </c>
      <c r="X451" t="s">
        <v>44</v>
      </c>
      <c r="Y451">
        <v>5</v>
      </c>
      <c r="Z451">
        <v>1</v>
      </c>
      <c r="AA451">
        <v>2</v>
      </c>
      <c r="AB451">
        <v>1</v>
      </c>
      <c r="AC451">
        <v>1</v>
      </c>
      <c r="AD451">
        <v>1</v>
      </c>
      <c r="AE451">
        <v>3</v>
      </c>
      <c r="AF451">
        <v>11</v>
      </c>
      <c r="AG451">
        <v>13</v>
      </c>
      <c r="AH451">
        <v>13</v>
      </c>
    </row>
    <row r="452" spans="1:34" x14ac:dyDescent="0.2">
      <c r="A452" t="s">
        <v>54</v>
      </c>
      <c r="B452" t="s">
        <v>35</v>
      </c>
      <c r="C452">
        <v>16</v>
      </c>
      <c r="D452" t="s">
        <v>53</v>
      </c>
      <c r="E452" t="s">
        <v>37</v>
      </c>
      <c r="F452" t="s">
        <v>45</v>
      </c>
      <c r="G452">
        <v>2</v>
      </c>
      <c r="H452">
        <v>3</v>
      </c>
      <c r="I452" t="s">
        <v>46</v>
      </c>
      <c r="J452" t="s">
        <v>49</v>
      </c>
      <c r="K452" t="s">
        <v>41</v>
      </c>
      <c r="L452" t="s">
        <v>42</v>
      </c>
      <c r="M452">
        <v>3</v>
      </c>
      <c r="N452">
        <v>2</v>
      </c>
      <c r="O452">
        <v>0</v>
      </c>
      <c r="P452" t="s">
        <v>44</v>
      </c>
      <c r="Q452" t="s">
        <v>43</v>
      </c>
      <c r="R452" t="s">
        <v>44</v>
      </c>
      <c r="S452">
        <f t="shared" si="7"/>
        <v>0</v>
      </c>
      <c r="T452" t="s">
        <v>44</v>
      </c>
      <c r="U452" t="s">
        <v>43</v>
      </c>
      <c r="V452" t="s">
        <v>43</v>
      </c>
      <c r="W452" t="s">
        <v>43</v>
      </c>
      <c r="X452" t="s">
        <v>44</v>
      </c>
      <c r="Y452">
        <v>4</v>
      </c>
      <c r="Z452">
        <v>5</v>
      </c>
      <c r="AA452">
        <v>4</v>
      </c>
      <c r="AB452">
        <v>1</v>
      </c>
      <c r="AC452">
        <v>2</v>
      </c>
      <c r="AD452">
        <v>1</v>
      </c>
      <c r="AE452">
        <v>2</v>
      </c>
      <c r="AF452">
        <v>15</v>
      </c>
      <c r="AG452">
        <v>15</v>
      </c>
      <c r="AH452">
        <v>15</v>
      </c>
    </row>
    <row r="453" spans="1:34" x14ac:dyDescent="0.2">
      <c r="A453" t="s">
        <v>54</v>
      </c>
      <c r="B453" t="s">
        <v>51</v>
      </c>
      <c r="C453">
        <v>16</v>
      </c>
      <c r="D453" t="s">
        <v>53</v>
      </c>
      <c r="E453" t="s">
        <v>37</v>
      </c>
      <c r="F453" t="s">
        <v>45</v>
      </c>
      <c r="G453">
        <v>1</v>
      </c>
      <c r="H453">
        <v>2</v>
      </c>
      <c r="I453" t="s">
        <v>46</v>
      </c>
      <c r="J453" t="s">
        <v>46</v>
      </c>
      <c r="K453" t="s">
        <v>41</v>
      </c>
      <c r="L453" t="s">
        <v>47</v>
      </c>
      <c r="M453">
        <v>2</v>
      </c>
      <c r="N453">
        <v>2</v>
      </c>
      <c r="O453">
        <v>0</v>
      </c>
      <c r="P453" t="s">
        <v>44</v>
      </c>
      <c r="Q453" t="s">
        <v>44</v>
      </c>
      <c r="R453" t="s">
        <v>44</v>
      </c>
      <c r="S453">
        <f t="shared" si="7"/>
        <v>0</v>
      </c>
      <c r="T453" t="s">
        <v>44</v>
      </c>
      <c r="U453" t="s">
        <v>43</v>
      </c>
      <c r="V453" t="s">
        <v>43</v>
      </c>
      <c r="W453" t="s">
        <v>44</v>
      </c>
      <c r="X453" t="s">
        <v>44</v>
      </c>
      <c r="Y453">
        <v>4</v>
      </c>
      <c r="Z453">
        <v>3</v>
      </c>
      <c r="AA453">
        <v>3</v>
      </c>
      <c r="AB453">
        <v>1</v>
      </c>
      <c r="AC453">
        <v>1</v>
      </c>
      <c r="AD453">
        <v>5</v>
      </c>
      <c r="AE453">
        <v>0</v>
      </c>
      <c r="AF453">
        <v>10</v>
      </c>
      <c r="AG453">
        <v>11</v>
      </c>
      <c r="AH453">
        <v>11</v>
      </c>
    </row>
    <row r="454" spans="1:34" x14ac:dyDescent="0.2">
      <c r="A454" t="s">
        <v>54</v>
      </c>
      <c r="B454" t="s">
        <v>35</v>
      </c>
      <c r="C454">
        <v>16</v>
      </c>
      <c r="D454" t="s">
        <v>53</v>
      </c>
      <c r="E454" t="s">
        <v>37</v>
      </c>
      <c r="F454" t="s">
        <v>45</v>
      </c>
      <c r="G454">
        <v>2</v>
      </c>
      <c r="H454">
        <v>2</v>
      </c>
      <c r="I454" t="s">
        <v>46</v>
      </c>
      <c r="J454" t="s">
        <v>46</v>
      </c>
      <c r="K454" t="s">
        <v>41</v>
      </c>
      <c r="L454" t="s">
        <v>42</v>
      </c>
      <c r="M454">
        <v>3</v>
      </c>
      <c r="N454">
        <v>2</v>
      </c>
      <c r="O454">
        <v>0</v>
      </c>
      <c r="P454" t="s">
        <v>44</v>
      </c>
      <c r="Q454" t="s">
        <v>43</v>
      </c>
      <c r="R454" t="s">
        <v>44</v>
      </c>
      <c r="S454">
        <f t="shared" si="7"/>
        <v>0</v>
      </c>
      <c r="T454" t="s">
        <v>44</v>
      </c>
      <c r="U454" t="s">
        <v>43</v>
      </c>
      <c r="V454" t="s">
        <v>43</v>
      </c>
      <c r="W454" t="s">
        <v>43</v>
      </c>
      <c r="X454" t="s">
        <v>44</v>
      </c>
      <c r="Y454">
        <v>4</v>
      </c>
      <c r="Z454">
        <v>4</v>
      </c>
      <c r="AA454">
        <v>5</v>
      </c>
      <c r="AB454">
        <v>1</v>
      </c>
      <c r="AC454">
        <v>1</v>
      </c>
      <c r="AD454">
        <v>4</v>
      </c>
      <c r="AE454">
        <v>4</v>
      </c>
      <c r="AF454">
        <v>9</v>
      </c>
      <c r="AG454">
        <v>10</v>
      </c>
      <c r="AH454">
        <v>11</v>
      </c>
    </row>
    <row r="455" spans="1:34" x14ac:dyDescent="0.2">
      <c r="A455" t="s">
        <v>54</v>
      </c>
      <c r="B455" t="s">
        <v>35</v>
      </c>
      <c r="C455">
        <v>16</v>
      </c>
      <c r="D455" t="s">
        <v>36</v>
      </c>
      <c r="E455" t="s">
        <v>37</v>
      </c>
      <c r="F455" t="s">
        <v>45</v>
      </c>
      <c r="G455">
        <v>1</v>
      </c>
      <c r="H455">
        <v>2</v>
      </c>
      <c r="I455" t="s">
        <v>46</v>
      </c>
      <c r="J455" t="s">
        <v>49</v>
      </c>
      <c r="K455" t="s">
        <v>41</v>
      </c>
      <c r="L455" t="s">
        <v>42</v>
      </c>
      <c r="M455">
        <v>1</v>
      </c>
      <c r="N455">
        <v>3</v>
      </c>
      <c r="O455">
        <v>1</v>
      </c>
      <c r="P455" t="s">
        <v>44</v>
      </c>
      <c r="Q455" t="s">
        <v>43</v>
      </c>
      <c r="R455" t="s">
        <v>44</v>
      </c>
      <c r="S455">
        <f t="shared" si="7"/>
        <v>0</v>
      </c>
      <c r="T455" t="s">
        <v>44</v>
      </c>
      <c r="U455" t="s">
        <v>43</v>
      </c>
      <c r="V455" t="s">
        <v>43</v>
      </c>
      <c r="W455" t="s">
        <v>44</v>
      </c>
      <c r="X455" t="s">
        <v>44</v>
      </c>
      <c r="Y455">
        <v>1</v>
      </c>
      <c r="Z455">
        <v>3</v>
      </c>
      <c r="AA455">
        <v>2</v>
      </c>
      <c r="AB455">
        <v>1</v>
      </c>
      <c r="AC455">
        <v>2</v>
      </c>
      <c r="AD455">
        <v>4</v>
      </c>
      <c r="AE455">
        <v>0</v>
      </c>
      <c r="AF455">
        <v>10</v>
      </c>
      <c r="AG455">
        <v>8</v>
      </c>
      <c r="AH455">
        <v>8</v>
      </c>
    </row>
    <row r="456" spans="1:34" x14ac:dyDescent="0.2">
      <c r="A456" t="s">
        <v>54</v>
      </c>
      <c r="B456" t="s">
        <v>35</v>
      </c>
      <c r="C456">
        <v>16</v>
      </c>
      <c r="D456" t="s">
        <v>36</v>
      </c>
      <c r="E456" t="s">
        <v>37</v>
      </c>
      <c r="F456" t="s">
        <v>45</v>
      </c>
      <c r="G456">
        <v>1</v>
      </c>
      <c r="H456">
        <v>2</v>
      </c>
      <c r="I456" t="s">
        <v>46</v>
      </c>
      <c r="J456" t="s">
        <v>49</v>
      </c>
      <c r="K456" t="s">
        <v>41</v>
      </c>
      <c r="L456" t="s">
        <v>42</v>
      </c>
      <c r="M456">
        <v>1</v>
      </c>
      <c r="N456">
        <v>3</v>
      </c>
      <c r="O456">
        <v>1</v>
      </c>
      <c r="P456" t="s">
        <v>44</v>
      </c>
      <c r="Q456" t="s">
        <v>43</v>
      </c>
      <c r="R456" t="s">
        <v>44</v>
      </c>
      <c r="S456">
        <f t="shared" si="7"/>
        <v>0</v>
      </c>
      <c r="T456" t="s">
        <v>44</v>
      </c>
      <c r="U456" t="s">
        <v>43</v>
      </c>
      <c r="V456" t="s">
        <v>43</v>
      </c>
      <c r="W456" t="s">
        <v>44</v>
      </c>
      <c r="X456" t="s">
        <v>44</v>
      </c>
      <c r="Y456">
        <v>1</v>
      </c>
      <c r="Z456">
        <v>3</v>
      </c>
      <c r="AA456">
        <v>2</v>
      </c>
      <c r="AB456">
        <v>1</v>
      </c>
      <c r="AC456">
        <v>2</v>
      </c>
      <c r="AD456">
        <v>4</v>
      </c>
      <c r="AE456">
        <v>3</v>
      </c>
      <c r="AF456">
        <v>9</v>
      </c>
      <c r="AG456">
        <v>8</v>
      </c>
      <c r="AH456">
        <v>8</v>
      </c>
    </row>
    <row r="457" spans="1:34" x14ac:dyDescent="0.2">
      <c r="A457" t="s">
        <v>54</v>
      </c>
      <c r="B457" t="s">
        <v>35</v>
      </c>
      <c r="C457">
        <v>15</v>
      </c>
      <c r="D457" t="s">
        <v>36</v>
      </c>
      <c r="E457" t="s">
        <v>37</v>
      </c>
      <c r="F457" t="s">
        <v>45</v>
      </c>
      <c r="G457">
        <v>2</v>
      </c>
      <c r="H457">
        <v>1</v>
      </c>
      <c r="I457" t="s">
        <v>39</v>
      </c>
      <c r="J457" t="s">
        <v>46</v>
      </c>
      <c r="K457" t="s">
        <v>50</v>
      </c>
      <c r="L457" t="s">
        <v>42</v>
      </c>
      <c r="M457">
        <v>1</v>
      </c>
      <c r="N457">
        <v>2</v>
      </c>
      <c r="O457">
        <v>0</v>
      </c>
      <c r="P457" t="s">
        <v>43</v>
      </c>
      <c r="Q457" t="s">
        <v>43</v>
      </c>
      <c r="R457" t="s">
        <v>44</v>
      </c>
      <c r="S457">
        <f t="shared" si="7"/>
        <v>0</v>
      </c>
      <c r="T457" t="s">
        <v>44</v>
      </c>
      <c r="U457" t="s">
        <v>44</v>
      </c>
      <c r="V457" t="s">
        <v>43</v>
      </c>
      <c r="W457" t="s">
        <v>43</v>
      </c>
      <c r="X457" t="s">
        <v>44</v>
      </c>
      <c r="Y457">
        <v>4</v>
      </c>
      <c r="Z457">
        <v>4</v>
      </c>
      <c r="AA457">
        <v>2</v>
      </c>
      <c r="AB457">
        <v>3</v>
      </c>
      <c r="AC457">
        <v>3</v>
      </c>
      <c r="AD457">
        <v>2</v>
      </c>
      <c r="AE457">
        <v>0</v>
      </c>
      <c r="AF457">
        <v>9</v>
      </c>
      <c r="AG457">
        <v>10</v>
      </c>
      <c r="AH457">
        <v>9</v>
      </c>
    </row>
    <row r="458" spans="1:34" x14ac:dyDescent="0.2">
      <c r="A458" t="s">
        <v>54</v>
      </c>
      <c r="B458" t="s">
        <v>35</v>
      </c>
      <c r="C458">
        <v>16</v>
      </c>
      <c r="D458" t="s">
        <v>36</v>
      </c>
      <c r="E458" t="s">
        <v>37</v>
      </c>
      <c r="F458" t="s">
        <v>45</v>
      </c>
      <c r="G458">
        <v>1</v>
      </c>
      <c r="H458">
        <v>1</v>
      </c>
      <c r="I458" t="s">
        <v>39</v>
      </c>
      <c r="J458" t="s">
        <v>46</v>
      </c>
      <c r="K458" t="s">
        <v>41</v>
      </c>
      <c r="L458" t="s">
        <v>47</v>
      </c>
      <c r="M458">
        <v>1</v>
      </c>
      <c r="N458">
        <v>2</v>
      </c>
      <c r="O458">
        <v>0</v>
      </c>
      <c r="P458" t="s">
        <v>44</v>
      </c>
      <c r="Q458" t="s">
        <v>43</v>
      </c>
      <c r="R458" t="s">
        <v>44</v>
      </c>
      <c r="S458">
        <f t="shared" si="7"/>
        <v>0</v>
      </c>
      <c r="T458" t="s">
        <v>44</v>
      </c>
      <c r="U458" t="s">
        <v>44</v>
      </c>
      <c r="V458" t="s">
        <v>43</v>
      </c>
      <c r="W458" t="s">
        <v>44</v>
      </c>
      <c r="X458" t="s">
        <v>43</v>
      </c>
      <c r="Y458">
        <v>5</v>
      </c>
      <c r="Z458">
        <v>4</v>
      </c>
      <c r="AA458">
        <v>3</v>
      </c>
      <c r="AB458">
        <v>2</v>
      </c>
      <c r="AC458">
        <v>1</v>
      </c>
      <c r="AD458">
        <v>2</v>
      </c>
      <c r="AE458">
        <v>0</v>
      </c>
      <c r="AF458">
        <v>13</v>
      </c>
      <c r="AG458">
        <v>14</v>
      </c>
      <c r="AH458">
        <v>15</v>
      </c>
    </row>
    <row r="459" spans="1:34" x14ac:dyDescent="0.2">
      <c r="A459" t="s">
        <v>54</v>
      </c>
      <c r="B459" t="s">
        <v>51</v>
      </c>
      <c r="C459">
        <v>17</v>
      </c>
      <c r="D459" t="s">
        <v>53</v>
      </c>
      <c r="E459" t="s">
        <v>48</v>
      </c>
      <c r="F459" t="s">
        <v>45</v>
      </c>
      <c r="G459">
        <v>1</v>
      </c>
      <c r="H459">
        <v>2</v>
      </c>
      <c r="I459" t="s">
        <v>39</v>
      </c>
      <c r="J459" t="s">
        <v>49</v>
      </c>
      <c r="K459" t="s">
        <v>52</v>
      </c>
      <c r="L459" t="s">
        <v>42</v>
      </c>
      <c r="M459">
        <v>1</v>
      </c>
      <c r="N459">
        <v>1</v>
      </c>
      <c r="O459">
        <v>0</v>
      </c>
      <c r="P459" t="s">
        <v>44</v>
      </c>
      <c r="Q459" t="s">
        <v>43</v>
      </c>
      <c r="R459" t="s">
        <v>44</v>
      </c>
      <c r="S459">
        <f t="shared" si="7"/>
        <v>0</v>
      </c>
      <c r="T459" t="s">
        <v>43</v>
      </c>
      <c r="U459" t="s">
        <v>43</v>
      </c>
      <c r="V459" t="s">
        <v>43</v>
      </c>
      <c r="W459" t="s">
        <v>43</v>
      </c>
      <c r="X459" t="s">
        <v>44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3</v>
      </c>
      <c r="AE459">
        <v>4</v>
      </c>
      <c r="AF459">
        <v>10</v>
      </c>
      <c r="AG459">
        <v>11</v>
      </c>
      <c r="AH459">
        <v>11</v>
      </c>
    </row>
    <row r="460" spans="1:34" x14ac:dyDescent="0.2">
      <c r="A460" t="s">
        <v>54</v>
      </c>
      <c r="B460" t="s">
        <v>35</v>
      </c>
      <c r="C460">
        <v>16</v>
      </c>
      <c r="D460" t="s">
        <v>53</v>
      </c>
      <c r="E460" t="s">
        <v>37</v>
      </c>
      <c r="F460" t="s">
        <v>45</v>
      </c>
      <c r="G460">
        <v>1</v>
      </c>
      <c r="H460">
        <v>1</v>
      </c>
      <c r="I460" t="s">
        <v>46</v>
      </c>
      <c r="J460" t="s">
        <v>46</v>
      </c>
      <c r="K460" t="s">
        <v>50</v>
      </c>
      <c r="L460" t="s">
        <v>47</v>
      </c>
      <c r="M460">
        <v>4</v>
      </c>
      <c r="N460">
        <v>4</v>
      </c>
      <c r="O460">
        <v>0</v>
      </c>
      <c r="P460" t="s">
        <v>44</v>
      </c>
      <c r="Q460" t="s">
        <v>43</v>
      </c>
      <c r="R460" t="s">
        <v>44</v>
      </c>
      <c r="S460">
        <f t="shared" si="7"/>
        <v>0</v>
      </c>
      <c r="T460" t="s">
        <v>44</v>
      </c>
      <c r="U460" t="s">
        <v>44</v>
      </c>
      <c r="V460" t="s">
        <v>43</v>
      </c>
      <c r="W460" t="s">
        <v>43</v>
      </c>
      <c r="X460" t="s">
        <v>44</v>
      </c>
      <c r="Y460">
        <v>4</v>
      </c>
      <c r="Z460">
        <v>3</v>
      </c>
      <c r="AA460">
        <v>2</v>
      </c>
      <c r="AB460">
        <v>1</v>
      </c>
      <c r="AC460">
        <v>1</v>
      </c>
      <c r="AD460">
        <v>1</v>
      </c>
      <c r="AE460">
        <v>0</v>
      </c>
      <c r="AF460">
        <v>13</v>
      </c>
      <c r="AG460">
        <v>10</v>
      </c>
      <c r="AH460">
        <v>13</v>
      </c>
    </row>
    <row r="461" spans="1:34" x14ac:dyDescent="0.2">
      <c r="A461" t="s">
        <v>54</v>
      </c>
      <c r="B461" t="s">
        <v>35</v>
      </c>
      <c r="C461">
        <v>16</v>
      </c>
      <c r="D461" t="s">
        <v>53</v>
      </c>
      <c r="E461" t="s">
        <v>37</v>
      </c>
      <c r="F461" t="s">
        <v>45</v>
      </c>
      <c r="G461">
        <v>1</v>
      </c>
      <c r="H461">
        <v>1</v>
      </c>
      <c r="I461" t="s">
        <v>39</v>
      </c>
      <c r="J461" t="s">
        <v>46</v>
      </c>
      <c r="K461" t="s">
        <v>46</v>
      </c>
      <c r="L461" t="s">
        <v>47</v>
      </c>
      <c r="M461">
        <v>4</v>
      </c>
      <c r="N461">
        <v>3</v>
      </c>
      <c r="O461">
        <v>0</v>
      </c>
      <c r="P461" t="s">
        <v>43</v>
      </c>
      <c r="Q461" t="s">
        <v>43</v>
      </c>
      <c r="R461" t="s">
        <v>44</v>
      </c>
      <c r="S461">
        <f t="shared" si="7"/>
        <v>0</v>
      </c>
      <c r="T461" t="s">
        <v>44</v>
      </c>
      <c r="U461" t="s">
        <v>43</v>
      </c>
      <c r="V461" t="s">
        <v>43</v>
      </c>
      <c r="W461" t="s">
        <v>44</v>
      </c>
      <c r="X461" t="s">
        <v>44</v>
      </c>
      <c r="Y461">
        <v>4</v>
      </c>
      <c r="Z461">
        <v>4</v>
      </c>
      <c r="AA461">
        <v>3</v>
      </c>
      <c r="AB461">
        <v>1</v>
      </c>
      <c r="AC461">
        <v>1</v>
      </c>
      <c r="AD461">
        <v>5</v>
      </c>
      <c r="AE461">
        <v>2</v>
      </c>
      <c r="AF461">
        <v>10</v>
      </c>
      <c r="AG461">
        <v>9</v>
      </c>
      <c r="AH461">
        <v>10</v>
      </c>
    </row>
    <row r="462" spans="1:34" x14ac:dyDescent="0.2">
      <c r="A462" t="s">
        <v>54</v>
      </c>
      <c r="B462" t="s">
        <v>35</v>
      </c>
      <c r="C462">
        <v>15</v>
      </c>
      <c r="D462" t="s">
        <v>53</v>
      </c>
      <c r="E462" t="s">
        <v>37</v>
      </c>
      <c r="F462" t="s">
        <v>45</v>
      </c>
      <c r="G462">
        <v>1</v>
      </c>
      <c r="H462">
        <v>1</v>
      </c>
      <c r="I462" t="s">
        <v>39</v>
      </c>
      <c r="J462" t="s">
        <v>46</v>
      </c>
      <c r="K462" t="s">
        <v>50</v>
      </c>
      <c r="L462" t="s">
        <v>47</v>
      </c>
      <c r="M462">
        <v>2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>
        <f t="shared" si="7"/>
        <v>0</v>
      </c>
      <c r="T462" t="s">
        <v>43</v>
      </c>
      <c r="U462" t="s">
        <v>43</v>
      </c>
      <c r="V462" t="s">
        <v>43</v>
      </c>
      <c r="W462" t="s">
        <v>43</v>
      </c>
      <c r="X462" t="s">
        <v>44</v>
      </c>
      <c r="Y462">
        <v>4</v>
      </c>
      <c r="Z462">
        <v>3</v>
      </c>
      <c r="AA462">
        <v>3</v>
      </c>
      <c r="AB462">
        <v>1</v>
      </c>
      <c r="AC462">
        <v>1</v>
      </c>
      <c r="AD462">
        <v>2</v>
      </c>
      <c r="AE462">
        <v>1</v>
      </c>
      <c r="AF462">
        <v>11</v>
      </c>
      <c r="AG462">
        <v>10</v>
      </c>
      <c r="AH462">
        <v>11</v>
      </c>
    </row>
    <row r="463" spans="1:34" x14ac:dyDescent="0.2">
      <c r="A463" t="s">
        <v>54</v>
      </c>
      <c r="B463" t="s">
        <v>35</v>
      </c>
      <c r="C463">
        <v>16</v>
      </c>
      <c r="D463" t="s">
        <v>53</v>
      </c>
      <c r="E463" t="s">
        <v>37</v>
      </c>
      <c r="F463" t="s">
        <v>45</v>
      </c>
      <c r="G463">
        <v>1</v>
      </c>
      <c r="H463">
        <v>1</v>
      </c>
      <c r="I463" t="s">
        <v>39</v>
      </c>
      <c r="J463" t="s">
        <v>46</v>
      </c>
      <c r="K463" t="s">
        <v>46</v>
      </c>
      <c r="L463" t="s">
        <v>42</v>
      </c>
      <c r="M463">
        <v>2</v>
      </c>
      <c r="N463">
        <v>1</v>
      </c>
      <c r="O463">
        <v>0</v>
      </c>
      <c r="P463" t="s">
        <v>44</v>
      </c>
      <c r="Q463" t="s">
        <v>44</v>
      </c>
      <c r="R463" t="s">
        <v>44</v>
      </c>
      <c r="S463">
        <f t="shared" si="7"/>
        <v>0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>
        <v>4</v>
      </c>
      <c r="Z463">
        <v>2</v>
      </c>
      <c r="AA463">
        <v>2</v>
      </c>
      <c r="AB463">
        <v>4</v>
      </c>
      <c r="AC463">
        <v>3</v>
      </c>
      <c r="AD463">
        <v>2</v>
      </c>
      <c r="AE463">
        <v>0</v>
      </c>
      <c r="AF463">
        <v>13</v>
      </c>
      <c r="AG463">
        <v>12</v>
      </c>
      <c r="AH463">
        <v>14</v>
      </c>
    </row>
    <row r="464" spans="1:34" x14ac:dyDescent="0.2">
      <c r="A464" t="s">
        <v>54</v>
      </c>
      <c r="B464" t="s">
        <v>35</v>
      </c>
      <c r="C464">
        <v>15</v>
      </c>
      <c r="D464" t="s">
        <v>53</v>
      </c>
      <c r="E464" t="s">
        <v>37</v>
      </c>
      <c r="F464" t="s">
        <v>45</v>
      </c>
      <c r="G464">
        <v>1</v>
      </c>
      <c r="H464">
        <v>1</v>
      </c>
      <c r="I464" t="s">
        <v>39</v>
      </c>
      <c r="J464" t="s">
        <v>39</v>
      </c>
      <c r="K464" t="s">
        <v>41</v>
      </c>
      <c r="L464" t="s">
        <v>47</v>
      </c>
      <c r="M464">
        <v>3</v>
      </c>
      <c r="N464">
        <v>2</v>
      </c>
      <c r="O464">
        <v>0</v>
      </c>
      <c r="P464" t="s">
        <v>44</v>
      </c>
      <c r="Q464" t="s">
        <v>43</v>
      </c>
      <c r="R464" t="s">
        <v>44</v>
      </c>
      <c r="S464">
        <f t="shared" si="7"/>
        <v>0</v>
      </c>
      <c r="T464" t="s">
        <v>44</v>
      </c>
      <c r="U464" t="s">
        <v>43</v>
      </c>
      <c r="V464" t="s">
        <v>43</v>
      </c>
      <c r="W464" t="s">
        <v>44</v>
      </c>
      <c r="X464" t="s">
        <v>44</v>
      </c>
      <c r="Y464">
        <v>4</v>
      </c>
      <c r="Z464">
        <v>2</v>
      </c>
      <c r="AA464">
        <v>1</v>
      </c>
      <c r="AB464">
        <v>1</v>
      </c>
      <c r="AC464">
        <v>2</v>
      </c>
      <c r="AD464">
        <v>2</v>
      </c>
      <c r="AE464">
        <v>0</v>
      </c>
      <c r="AF464">
        <v>13</v>
      </c>
      <c r="AG464">
        <v>14</v>
      </c>
      <c r="AH464">
        <v>14</v>
      </c>
    </row>
    <row r="465" spans="1:34" x14ac:dyDescent="0.2">
      <c r="A465" t="s">
        <v>54</v>
      </c>
      <c r="B465" t="s">
        <v>35</v>
      </c>
      <c r="C465">
        <v>15</v>
      </c>
      <c r="D465" t="s">
        <v>53</v>
      </c>
      <c r="E465" t="s">
        <v>48</v>
      </c>
      <c r="F465" t="s">
        <v>45</v>
      </c>
      <c r="G465">
        <v>2</v>
      </c>
      <c r="H465">
        <v>2</v>
      </c>
      <c r="I465" t="s">
        <v>46</v>
      </c>
      <c r="J465" t="s">
        <v>46</v>
      </c>
      <c r="K465" t="s">
        <v>46</v>
      </c>
      <c r="L465" t="s">
        <v>47</v>
      </c>
      <c r="M465">
        <v>1</v>
      </c>
      <c r="N465">
        <v>3</v>
      </c>
      <c r="O465">
        <v>0</v>
      </c>
      <c r="P465" t="s">
        <v>43</v>
      </c>
      <c r="Q465" t="s">
        <v>43</v>
      </c>
      <c r="R465" t="s">
        <v>44</v>
      </c>
      <c r="S465">
        <f t="shared" si="7"/>
        <v>0</v>
      </c>
      <c r="T465" t="s">
        <v>44</v>
      </c>
      <c r="U465" t="s">
        <v>43</v>
      </c>
      <c r="V465" t="s">
        <v>43</v>
      </c>
      <c r="W465" t="s">
        <v>44</v>
      </c>
      <c r="X465" t="s">
        <v>44</v>
      </c>
      <c r="Y465">
        <v>4</v>
      </c>
      <c r="Z465">
        <v>4</v>
      </c>
      <c r="AA465">
        <v>3</v>
      </c>
      <c r="AB465">
        <v>2</v>
      </c>
      <c r="AC465">
        <v>2</v>
      </c>
      <c r="AD465">
        <v>5</v>
      </c>
      <c r="AE465">
        <v>2</v>
      </c>
      <c r="AF465">
        <v>14</v>
      </c>
      <c r="AG465">
        <v>11</v>
      </c>
      <c r="AH465">
        <v>12</v>
      </c>
    </row>
    <row r="466" spans="1:34" x14ac:dyDescent="0.2">
      <c r="A466" t="s">
        <v>54</v>
      </c>
      <c r="B466" t="s">
        <v>51</v>
      </c>
      <c r="C466">
        <v>16</v>
      </c>
      <c r="D466" t="s">
        <v>53</v>
      </c>
      <c r="E466" t="s">
        <v>37</v>
      </c>
      <c r="F466" t="s">
        <v>45</v>
      </c>
      <c r="G466">
        <v>1</v>
      </c>
      <c r="H466">
        <v>1</v>
      </c>
      <c r="I466" t="s">
        <v>39</v>
      </c>
      <c r="J466" t="s">
        <v>46</v>
      </c>
      <c r="K466" t="s">
        <v>46</v>
      </c>
      <c r="L466" t="s">
        <v>47</v>
      </c>
      <c r="M466">
        <v>2</v>
      </c>
      <c r="N466">
        <v>1</v>
      </c>
      <c r="O466">
        <v>0</v>
      </c>
      <c r="P466" t="s">
        <v>44</v>
      </c>
      <c r="Q466" t="s">
        <v>44</v>
      </c>
      <c r="R466" t="s">
        <v>44</v>
      </c>
      <c r="S466">
        <f t="shared" si="7"/>
        <v>0</v>
      </c>
      <c r="T466" t="s">
        <v>43</v>
      </c>
      <c r="U466" t="s">
        <v>43</v>
      </c>
      <c r="V466" t="s">
        <v>43</v>
      </c>
      <c r="W466" t="s">
        <v>44</v>
      </c>
      <c r="X466" t="s">
        <v>44</v>
      </c>
      <c r="Y466">
        <v>3</v>
      </c>
      <c r="Z466">
        <v>4</v>
      </c>
      <c r="AA466">
        <v>4</v>
      </c>
      <c r="AB466">
        <v>3</v>
      </c>
      <c r="AC466">
        <v>4</v>
      </c>
      <c r="AD466">
        <v>5</v>
      </c>
      <c r="AE466">
        <v>6</v>
      </c>
      <c r="AF466">
        <v>11</v>
      </c>
      <c r="AG466">
        <v>11</v>
      </c>
      <c r="AH466">
        <v>11</v>
      </c>
    </row>
    <row r="467" spans="1:34" x14ac:dyDescent="0.2">
      <c r="A467" t="s">
        <v>54</v>
      </c>
      <c r="B467" t="s">
        <v>35</v>
      </c>
      <c r="C467">
        <v>18</v>
      </c>
      <c r="D467" t="s">
        <v>36</v>
      </c>
      <c r="E467" t="s">
        <v>37</v>
      </c>
      <c r="F467" t="s">
        <v>45</v>
      </c>
      <c r="G467">
        <v>1</v>
      </c>
      <c r="H467">
        <v>2</v>
      </c>
      <c r="I467" t="s">
        <v>46</v>
      </c>
      <c r="J467" t="s">
        <v>46</v>
      </c>
      <c r="K467" t="s">
        <v>41</v>
      </c>
      <c r="L467" t="s">
        <v>47</v>
      </c>
      <c r="M467">
        <v>1</v>
      </c>
      <c r="N467">
        <v>2</v>
      </c>
      <c r="O467">
        <v>1</v>
      </c>
      <c r="P467" t="s">
        <v>44</v>
      </c>
      <c r="Q467" t="s">
        <v>43</v>
      </c>
      <c r="R467" t="s">
        <v>44</v>
      </c>
      <c r="S467">
        <f t="shared" si="7"/>
        <v>0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>
        <v>3</v>
      </c>
      <c r="Z467">
        <v>4</v>
      </c>
      <c r="AA467">
        <v>4</v>
      </c>
      <c r="AB467">
        <v>2</v>
      </c>
      <c r="AC467">
        <v>3</v>
      </c>
      <c r="AD467">
        <v>5</v>
      </c>
      <c r="AE467">
        <v>9</v>
      </c>
      <c r="AF467">
        <v>9</v>
      </c>
      <c r="AG467">
        <v>8</v>
      </c>
      <c r="AH467">
        <v>8</v>
      </c>
    </row>
    <row r="468" spans="1:34" x14ac:dyDescent="0.2">
      <c r="A468" t="s">
        <v>54</v>
      </c>
      <c r="B468" t="s">
        <v>51</v>
      </c>
      <c r="C468">
        <v>15</v>
      </c>
      <c r="D468" t="s">
        <v>36</v>
      </c>
      <c r="E468" t="s">
        <v>37</v>
      </c>
      <c r="F468" t="s">
        <v>45</v>
      </c>
      <c r="G468">
        <v>3</v>
      </c>
      <c r="H468">
        <v>1</v>
      </c>
      <c r="I468" t="s">
        <v>46</v>
      </c>
      <c r="J468" t="s">
        <v>49</v>
      </c>
      <c r="K468" t="s">
        <v>50</v>
      </c>
      <c r="L468" t="s">
        <v>42</v>
      </c>
      <c r="M468">
        <v>2</v>
      </c>
      <c r="N468">
        <v>1</v>
      </c>
      <c r="O468">
        <v>0</v>
      </c>
      <c r="P468" t="s">
        <v>44</v>
      </c>
      <c r="Q468" t="s">
        <v>43</v>
      </c>
      <c r="R468" t="s">
        <v>44</v>
      </c>
      <c r="S468">
        <f t="shared" si="7"/>
        <v>0</v>
      </c>
      <c r="T468" t="s">
        <v>44</v>
      </c>
      <c r="U468" t="s">
        <v>43</v>
      </c>
      <c r="V468" t="s">
        <v>43</v>
      </c>
      <c r="W468" t="s">
        <v>44</v>
      </c>
      <c r="X468" t="s">
        <v>44</v>
      </c>
      <c r="Y468">
        <v>3</v>
      </c>
      <c r="Z468">
        <v>2</v>
      </c>
      <c r="AA468">
        <v>3</v>
      </c>
      <c r="AB468">
        <v>1</v>
      </c>
      <c r="AC468">
        <v>3</v>
      </c>
      <c r="AD468">
        <v>4</v>
      </c>
      <c r="AE468">
        <v>0</v>
      </c>
      <c r="AF468">
        <v>10</v>
      </c>
      <c r="AG468">
        <v>9</v>
      </c>
      <c r="AH468">
        <v>11</v>
      </c>
    </row>
    <row r="469" spans="1:34" x14ac:dyDescent="0.2">
      <c r="A469" t="s">
        <v>54</v>
      </c>
      <c r="B469" t="s">
        <v>35</v>
      </c>
      <c r="C469">
        <v>16</v>
      </c>
      <c r="D469" t="s">
        <v>53</v>
      </c>
      <c r="E469" t="s">
        <v>37</v>
      </c>
      <c r="F469" t="s">
        <v>45</v>
      </c>
      <c r="G469">
        <v>2</v>
      </c>
      <c r="H469">
        <v>2</v>
      </c>
      <c r="I469" t="s">
        <v>46</v>
      </c>
      <c r="J469" t="s">
        <v>49</v>
      </c>
      <c r="K469" t="s">
        <v>41</v>
      </c>
      <c r="L469" t="s">
        <v>47</v>
      </c>
      <c r="M469">
        <v>3</v>
      </c>
      <c r="N469">
        <v>2</v>
      </c>
      <c r="O469">
        <v>0</v>
      </c>
      <c r="P469" t="s">
        <v>44</v>
      </c>
      <c r="Q469" t="s">
        <v>43</v>
      </c>
      <c r="R469" t="s">
        <v>44</v>
      </c>
      <c r="S469">
        <f t="shared" si="7"/>
        <v>0</v>
      </c>
      <c r="T469" t="s">
        <v>43</v>
      </c>
      <c r="U469" t="s">
        <v>43</v>
      </c>
      <c r="V469" t="s">
        <v>43</v>
      </c>
      <c r="W469" t="s">
        <v>43</v>
      </c>
      <c r="X469" t="s">
        <v>44</v>
      </c>
      <c r="Y469">
        <v>5</v>
      </c>
      <c r="Z469">
        <v>3</v>
      </c>
      <c r="AA469">
        <v>4</v>
      </c>
      <c r="AB469">
        <v>1</v>
      </c>
      <c r="AC469">
        <v>1</v>
      </c>
      <c r="AD469">
        <v>2</v>
      </c>
      <c r="AE469">
        <v>1</v>
      </c>
      <c r="AF469">
        <v>14</v>
      </c>
      <c r="AG469">
        <v>13</v>
      </c>
      <c r="AH469">
        <v>14</v>
      </c>
    </row>
    <row r="470" spans="1:34" x14ac:dyDescent="0.2">
      <c r="A470" t="s">
        <v>54</v>
      </c>
      <c r="B470" t="s">
        <v>51</v>
      </c>
      <c r="C470">
        <v>15</v>
      </c>
      <c r="D470" t="s">
        <v>36</v>
      </c>
      <c r="E470" t="s">
        <v>37</v>
      </c>
      <c r="F470" t="s">
        <v>45</v>
      </c>
      <c r="G470">
        <v>2</v>
      </c>
      <c r="H470">
        <v>2</v>
      </c>
      <c r="I470" t="s">
        <v>29</v>
      </c>
      <c r="J470" t="s">
        <v>46</v>
      </c>
      <c r="K470" t="s">
        <v>52</v>
      </c>
      <c r="L470" t="s">
        <v>42</v>
      </c>
      <c r="M470">
        <v>3</v>
      </c>
      <c r="N470">
        <v>1</v>
      </c>
      <c r="O470">
        <v>0</v>
      </c>
      <c r="P470" t="s">
        <v>44</v>
      </c>
      <c r="Q470" t="s">
        <v>44</v>
      </c>
      <c r="R470" t="s">
        <v>44</v>
      </c>
      <c r="S470">
        <f t="shared" si="7"/>
        <v>0</v>
      </c>
      <c r="T470" t="s">
        <v>44</v>
      </c>
      <c r="U470" t="s">
        <v>43</v>
      </c>
      <c r="V470" t="s">
        <v>43</v>
      </c>
      <c r="W470" t="s">
        <v>44</v>
      </c>
      <c r="X470" t="s">
        <v>44</v>
      </c>
      <c r="Y470">
        <v>4</v>
      </c>
      <c r="Z470">
        <v>3</v>
      </c>
      <c r="AA470">
        <v>3</v>
      </c>
      <c r="AB470">
        <v>1</v>
      </c>
      <c r="AC470">
        <v>2</v>
      </c>
      <c r="AD470">
        <v>4</v>
      </c>
      <c r="AE470">
        <v>1</v>
      </c>
      <c r="AF470">
        <v>13</v>
      </c>
      <c r="AG470">
        <v>12</v>
      </c>
      <c r="AH470">
        <v>13</v>
      </c>
    </row>
    <row r="471" spans="1:34" x14ac:dyDescent="0.2">
      <c r="A471" t="s">
        <v>54</v>
      </c>
      <c r="B471" t="s">
        <v>51</v>
      </c>
      <c r="C471">
        <v>16</v>
      </c>
      <c r="D471" t="s">
        <v>36</v>
      </c>
      <c r="E471" t="s">
        <v>37</v>
      </c>
      <c r="F471" t="s">
        <v>45</v>
      </c>
      <c r="G471">
        <v>4</v>
      </c>
      <c r="H471">
        <v>4</v>
      </c>
      <c r="I471" t="s">
        <v>46</v>
      </c>
      <c r="J471" t="s">
        <v>40</v>
      </c>
      <c r="K471" t="s">
        <v>41</v>
      </c>
      <c r="L471" t="s">
        <v>47</v>
      </c>
      <c r="M471">
        <v>1</v>
      </c>
      <c r="N471">
        <v>2</v>
      </c>
      <c r="O471">
        <v>0</v>
      </c>
      <c r="P471" t="s">
        <v>44</v>
      </c>
      <c r="Q471" t="s">
        <v>43</v>
      </c>
      <c r="R471" t="s">
        <v>44</v>
      </c>
      <c r="S471">
        <f t="shared" si="7"/>
        <v>0</v>
      </c>
      <c r="T471" t="s">
        <v>43</v>
      </c>
      <c r="U471" t="s">
        <v>43</v>
      </c>
      <c r="V471" t="s">
        <v>43</v>
      </c>
      <c r="W471" t="s">
        <v>44</v>
      </c>
      <c r="X471" t="s">
        <v>43</v>
      </c>
      <c r="Y471">
        <v>4</v>
      </c>
      <c r="Z471">
        <v>3</v>
      </c>
      <c r="AA471">
        <v>1</v>
      </c>
      <c r="AB471">
        <v>1</v>
      </c>
      <c r="AC471">
        <v>1</v>
      </c>
      <c r="AD471">
        <v>3</v>
      </c>
      <c r="AE471">
        <v>0</v>
      </c>
      <c r="AF471">
        <v>13</v>
      </c>
      <c r="AG471">
        <v>12</v>
      </c>
      <c r="AH471">
        <v>13</v>
      </c>
    </row>
    <row r="472" spans="1:34" x14ac:dyDescent="0.2">
      <c r="A472" t="s">
        <v>54</v>
      </c>
      <c r="B472" t="s">
        <v>35</v>
      </c>
      <c r="C472">
        <v>15</v>
      </c>
      <c r="D472" t="s">
        <v>53</v>
      </c>
      <c r="E472" t="s">
        <v>37</v>
      </c>
      <c r="F472" t="s">
        <v>45</v>
      </c>
      <c r="G472">
        <v>3</v>
      </c>
      <c r="H472">
        <v>3</v>
      </c>
      <c r="I472" t="s">
        <v>49</v>
      </c>
      <c r="J472" t="s">
        <v>46</v>
      </c>
      <c r="K472" t="s">
        <v>52</v>
      </c>
      <c r="L472" t="s">
        <v>42</v>
      </c>
      <c r="M472">
        <v>1</v>
      </c>
      <c r="N472">
        <v>2</v>
      </c>
      <c r="O472">
        <v>0</v>
      </c>
      <c r="P472" t="s">
        <v>44</v>
      </c>
      <c r="Q472" t="s">
        <v>43</v>
      </c>
      <c r="R472" t="s">
        <v>44</v>
      </c>
      <c r="S472">
        <f t="shared" si="7"/>
        <v>0</v>
      </c>
      <c r="T472" t="s">
        <v>44</v>
      </c>
      <c r="U472" t="s">
        <v>43</v>
      </c>
      <c r="V472" t="s">
        <v>43</v>
      </c>
      <c r="W472" t="s">
        <v>43</v>
      </c>
      <c r="X472" t="s">
        <v>43</v>
      </c>
      <c r="Y472">
        <v>4</v>
      </c>
      <c r="Z472">
        <v>5</v>
      </c>
      <c r="AA472">
        <v>4</v>
      </c>
      <c r="AB472">
        <v>1</v>
      </c>
      <c r="AC472">
        <v>1</v>
      </c>
      <c r="AD472">
        <v>1</v>
      </c>
      <c r="AE472">
        <v>4</v>
      </c>
      <c r="AF472">
        <v>13</v>
      </c>
      <c r="AG472">
        <v>12</v>
      </c>
      <c r="AH472">
        <v>12</v>
      </c>
    </row>
    <row r="473" spans="1:34" x14ac:dyDescent="0.2">
      <c r="A473" t="s">
        <v>54</v>
      </c>
      <c r="B473" t="s">
        <v>35</v>
      </c>
      <c r="C473">
        <v>16</v>
      </c>
      <c r="D473" t="s">
        <v>53</v>
      </c>
      <c r="E473" t="s">
        <v>37</v>
      </c>
      <c r="F473" t="s">
        <v>45</v>
      </c>
      <c r="G473">
        <v>2</v>
      </c>
      <c r="H473">
        <v>2</v>
      </c>
      <c r="I473" t="s">
        <v>39</v>
      </c>
      <c r="J473" t="s">
        <v>46</v>
      </c>
      <c r="K473" t="s">
        <v>41</v>
      </c>
      <c r="L473" t="s">
        <v>42</v>
      </c>
      <c r="M473">
        <v>2</v>
      </c>
      <c r="N473">
        <v>2</v>
      </c>
      <c r="O473">
        <v>1</v>
      </c>
      <c r="P473" t="s">
        <v>44</v>
      </c>
      <c r="Q473" t="s">
        <v>43</v>
      </c>
      <c r="R473" t="s">
        <v>44</v>
      </c>
      <c r="S473">
        <f t="shared" si="7"/>
        <v>0</v>
      </c>
      <c r="T473" t="s">
        <v>43</v>
      </c>
      <c r="U473" t="s">
        <v>44</v>
      </c>
      <c r="V473" t="s">
        <v>43</v>
      </c>
      <c r="W473" t="s">
        <v>44</v>
      </c>
      <c r="X473" t="s">
        <v>44</v>
      </c>
      <c r="Y473">
        <v>4</v>
      </c>
      <c r="Z473">
        <v>4</v>
      </c>
      <c r="AA473">
        <v>4</v>
      </c>
      <c r="AB473">
        <v>2</v>
      </c>
      <c r="AC473">
        <v>3</v>
      </c>
      <c r="AD473">
        <v>5</v>
      </c>
      <c r="AE473">
        <v>2</v>
      </c>
      <c r="AF473">
        <v>12</v>
      </c>
      <c r="AG473">
        <v>11</v>
      </c>
      <c r="AH473">
        <v>12</v>
      </c>
    </row>
    <row r="474" spans="1:34" x14ac:dyDescent="0.2">
      <c r="A474" t="s">
        <v>54</v>
      </c>
      <c r="B474" t="s">
        <v>35</v>
      </c>
      <c r="C474">
        <v>16</v>
      </c>
      <c r="D474" t="s">
        <v>53</v>
      </c>
      <c r="E474" t="s">
        <v>48</v>
      </c>
      <c r="F474" t="s">
        <v>45</v>
      </c>
      <c r="G474">
        <v>2</v>
      </c>
      <c r="H474">
        <v>2</v>
      </c>
      <c r="I474" t="s">
        <v>46</v>
      </c>
      <c r="J474" t="s">
        <v>46</v>
      </c>
      <c r="K474" t="s">
        <v>50</v>
      </c>
      <c r="L474" t="s">
        <v>47</v>
      </c>
      <c r="M474">
        <v>3</v>
      </c>
      <c r="N474">
        <v>1</v>
      </c>
      <c r="O474">
        <v>0</v>
      </c>
      <c r="P474" t="s">
        <v>44</v>
      </c>
      <c r="Q474" t="s">
        <v>43</v>
      </c>
      <c r="R474" t="s">
        <v>44</v>
      </c>
      <c r="S474">
        <f t="shared" si="7"/>
        <v>0</v>
      </c>
      <c r="T474" t="s">
        <v>43</v>
      </c>
      <c r="U474" t="s">
        <v>43</v>
      </c>
      <c r="V474" t="s">
        <v>43</v>
      </c>
      <c r="W474" t="s">
        <v>44</v>
      </c>
      <c r="X474" t="s">
        <v>43</v>
      </c>
      <c r="Y474">
        <v>4</v>
      </c>
      <c r="Z474">
        <v>3</v>
      </c>
      <c r="AA474">
        <v>2</v>
      </c>
      <c r="AB474">
        <v>1</v>
      </c>
      <c r="AC474">
        <v>1</v>
      </c>
      <c r="AD474">
        <v>4</v>
      </c>
      <c r="AE474">
        <v>0</v>
      </c>
      <c r="AF474">
        <v>14</v>
      </c>
      <c r="AG474">
        <v>14</v>
      </c>
      <c r="AH474">
        <v>16</v>
      </c>
    </row>
    <row r="475" spans="1:34" x14ac:dyDescent="0.2">
      <c r="A475" t="s">
        <v>54</v>
      </c>
      <c r="B475" t="s">
        <v>51</v>
      </c>
      <c r="C475">
        <v>16</v>
      </c>
      <c r="D475" t="s">
        <v>36</v>
      </c>
      <c r="E475" t="s">
        <v>48</v>
      </c>
      <c r="F475" t="s">
        <v>45</v>
      </c>
      <c r="G475">
        <v>2</v>
      </c>
      <c r="H475">
        <v>1</v>
      </c>
      <c r="I475" t="s">
        <v>39</v>
      </c>
      <c r="J475" t="s">
        <v>49</v>
      </c>
      <c r="K475" t="s">
        <v>41</v>
      </c>
      <c r="L475" t="s">
        <v>42</v>
      </c>
      <c r="M475">
        <v>2</v>
      </c>
      <c r="N475">
        <v>1</v>
      </c>
      <c r="O475">
        <v>0</v>
      </c>
      <c r="P475" t="s">
        <v>44</v>
      </c>
      <c r="Q475" t="s">
        <v>43</v>
      </c>
      <c r="R475" t="s">
        <v>44</v>
      </c>
      <c r="S475">
        <f t="shared" si="7"/>
        <v>0</v>
      </c>
      <c r="T475" t="s">
        <v>43</v>
      </c>
      <c r="U475" t="s">
        <v>43</v>
      </c>
      <c r="V475" t="s">
        <v>43</v>
      </c>
      <c r="W475" t="s">
        <v>43</v>
      </c>
      <c r="X475" t="s">
        <v>44</v>
      </c>
      <c r="Y475">
        <v>2</v>
      </c>
      <c r="Z475">
        <v>4</v>
      </c>
      <c r="AA475">
        <v>3</v>
      </c>
      <c r="AB475">
        <v>2</v>
      </c>
      <c r="AC475">
        <v>3</v>
      </c>
      <c r="AD475">
        <v>4</v>
      </c>
      <c r="AE475">
        <v>4</v>
      </c>
      <c r="AF475">
        <v>10</v>
      </c>
      <c r="AG475">
        <v>8</v>
      </c>
      <c r="AH475">
        <v>10</v>
      </c>
    </row>
    <row r="476" spans="1:34" x14ac:dyDescent="0.2">
      <c r="A476" t="s">
        <v>54</v>
      </c>
      <c r="B476" t="s">
        <v>51</v>
      </c>
      <c r="C476">
        <v>15</v>
      </c>
      <c r="D476" t="s">
        <v>53</v>
      </c>
      <c r="E476" t="s">
        <v>48</v>
      </c>
      <c r="F476" t="s">
        <v>45</v>
      </c>
      <c r="G476">
        <v>1</v>
      </c>
      <c r="H476">
        <v>3</v>
      </c>
      <c r="I476" t="s">
        <v>39</v>
      </c>
      <c r="J476" t="s">
        <v>46</v>
      </c>
      <c r="K476" t="s">
        <v>52</v>
      </c>
      <c r="L476" t="s">
        <v>47</v>
      </c>
      <c r="M476">
        <v>3</v>
      </c>
      <c r="N476">
        <v>1</v>
      </c>
      <c r="O476">
        <v>0</v>
      </c>
      <c r="P476" t="s">
        <v>44</v>
      </c>
      <c r="Q476" t="s">
        <v>43</v>
      </c>
      <c r="R476" t="s">
        <v>44</v>
      </c>
      <c r="S476">
        <f t="shared" si="7"/>
        <v>0</v>
      </c>
      <c r="T476" t="s">
        <v>43</v>
      </c>
      <c r="U476" t="s">
        <v>43</v>
      </c>
      <c r="V476" t="s">
        <v>43</v>
      </c>
      <c r="W476" t="s">
        <v>43</v>
      </c>
      <c r="X476" t="s">
        <v>44</v>
      </c>
      <c r="Y476">
        <v>4</v>
      </c>
      <c r="Z476">
        <v>2</v>
      </c>
      <c r="AA476">
        <v>4</v>
      </c>
      <c r="AB476">
        <v>3</v>
      </c>
      <c r="AC476">
        <v>5</v>
      </c>
      <c r="AD476">
        <v>3</v>
      </c>
      <c r="AE476">
        <v>2</v>
      </c>
      <c r="AF476">
        <v>10</v>
      </c>
      <c r="AG476">
        <v>11</v>
      </c>
      <c r="AH476">
        <v>11</v>
      </c>
    </row>
    <row r="477" spans="1:34" x14ac:dyDescent="0.2">
      <c r="A477" t="s">
        <v>54</v>
      </c>
      <c r="B477" t="s">
        <v>35</v>
      </c>
      <c r="C477">
        <v>15</v>
      </c>
      <c r="D477" t="s">
        <v>36</v>
      </c>
      <c r="E477" t="s">
        <v>37</v>
      </c>
      <c r="F477" t="s">
        <v>45</v>
      </c>
      <c r="G477">
        <v>2</v>
      </c>
      <c r="H477">
        <v>2</v>
      </c>
      <c r="I477" t="s">
        <v>46</v>
      </c>
      <c r="J477" t="s">
        <v>49</v>
      </c>
      <c r="K477" t="s">
        <v>41</v>
      </c>
      <c r="L477" t="s">
        <v>42</v>
      </c>
      <c r="M477">
        <v>2</v>
      </c>
      <c r="N477">
        <v>3</v>
      </c>
      <c r="O477">
        <v>0</v>
      </c>
      <c r="P477" t="s">
        <v>44</v>
      </c>
      <c r="Q477" t="s">
        <v>43</v>
      </c>
      <c r="R477" t="s">
        <v>44</v>
      </c>
      <c r="S477">
        <f t="shared" si="7"/>
        <v>0</v>
      </c>
      <c r="T477" t="s">
        <v>43</v>
      </c>
      <c r="U477" t="s">
        <v>43</v>
      </c>
      <c r="V477" t="s">
        <v>43</v>
      </c>
      <c r="W477" t="s">
        <v>44</v>
      </c>
      <c r="X477" t="s">
        <v>44</v>
      </c>
      <c r="Y477">
        <v>5</v>
      </c>
      <c r="Z477">
        <v>3</v>
      </c>
      <c r="AA477">
        <v>2</v>
      </c>
      <c r="AB477">
        <v>1</v>
      </c>
      <c r="AC477">
        <v>1</v>
      </c>
      <c r="AD477">
        <v>4</v>
      </c>
      <c r="AE477">
        <v>0</v>
      </c>
      <c r="AF477">
        <v>12</v>
      </c>
      <c r="AG477">
        <v>13</v>
      </c>
      <c r="AH477">
        <v>14</v>
      </c>
    </row>
    <row r="478" spans="1:34" x14ac:dyDescent="0.2">
      <c r="A478" t="s">
        <v>54</v>
      </c>
      <c r="B478" t="s">
        <v>35</v>
      </c>
      <c r="C478">
        <v>16</v>
      </c>
      <c r="D478" t="s">
        <v>53</v>
      </c>
      <c r="E478" t="s">
        <v>48</v>
      </c>
      <c r="F478" t="s">
        <v>45</v>
      </c>
      <c r="G478">
        <v>2</v>
      </c>
      <c r="H478">
        <v>1</v>
      </c>
      <c r="I478" t="s">
        <v>46</v>
      </c>
      <c r="J478" t="s">
        <v>46</v>
      </c>
      <c r="K478" t="s">
        <v>50</v>
      </c>
      <c r="L478" t="s">
        <v>42</v>
      </c>
      <c r="M478">
        <v>1</v>
      </c>
      <c r="N478">
        <v>1</v>
      </c>
      <c r="O478">
        <v>0</v>
      </c>
      <c r="P478" t="s">
        <v>44</v>
      </c>
      <c r="Q478" t="s">
        <v>43</v>
      </c>
      <c r="R478" t="s">
        <v>44</v>
      </c>
      <c r="S478">
        <f t="shared" si="7"/>
        <v>0</v>
      </c>
      <c r="T478" t="s">
        <v>44</v>
      </c>
      <c r="U478" t="s">
        <v>43</v>
      </c>
      <c r="V478" t="s">
        <v>43</v>
      </c>
      <c r="W478" t="s">
        <v>43</v>
      </c>
      <c r="X478" t="s">
        <v>43</v>
      </c>
      <c r="Y478">
        <v>5</v>
      </c>
      <c r="Z478">
        <v>4</v>
      </c>
      <c r="AA478">
        <v>3</v>
      </c>
      <c r="AB478">
        <v>1</v>
      </c>
      <c r="AC478">
        <v>1</v>
      </c>
      <c r="AD478">
        <v>5</v>
      </c>
      <c r="AE478">
        <v>2</v>
      </c>
      <c r="AF478">
        <v>10</v>
      </c>
      <c r="AG478">
        <v>8</v>
      </c>
      <c r="AH478">
        <v>8</v>
      </c>
    </row>
    <row r="479" spans="1:34" x14ac:dyDescent="0.2">
      <c r="A479" t="s">
        <v>54</v>
      </c>
      <c r="B479" t="s">
        <v>51</v>
      </c>
      <c r="C479">
        <v>15</v>
      </c>
      <c r="D479" t="s">
        <v>36</v>
      </c>
      <c r="E479" t="s">
        <v>37</v>
      </c>
      <c r="F479" t="s">
        <v>45</v>
      </c>
      <c r="G479">
        <v>3</v>
      </c>
      <c r="H479">
        <v>3</v>
      </c>
      <c r="I479" t="s">
        <v>49</v>
      </c>
      <c r="J479" t="s">
        <v>49</v>
      </c>
      <c r="K479" t="s">
        <v>41</v>
      </c>
      <c r="L479" t="s">
        <v>47</v>
      </c>
      <c r="M479">
        <v>2</v>
      </c>
      <c r="N479">
        <v>1</v>
      </c>
      <c r="O479">
        <v>0</v>
      </c>
      <c r="P479" t="s">
        <v>44</v>
      </c>
      <c r="Q479" t="s">
        <v>43</v>
      </c>
      <c r="R479" t="s">
        <v>44</v>
      </c>
      <c r="S479">
        <f t="shared" si="7"/>
        <v>0</v>
      </c>
      <c r="T479" t="s">
        <v>43</v>
      </c>
      <c r="U479" t="s">
        <v>44</v>
      </c>
      <c r="V479" t="s">
        <v>43</v>
      </c>
      <c r="W479" t="s">
        <v>43</v>
      </c>
      <c r="X479" t="s">
        <v>44</v>
      </c>
      <c r="Y479">
        <v>4</v>
      </c>
      <c r="Z479">
        <v>3</v>
      </c>
      <c r="AA479">
        <v>3</v>
      </c>
      <c r="AB479">
        <v>2</v>
      </c>
      <c r="AC479">
        <v>4</v>
      </c>
      <c r="AD479">
        <v>3</v>
      </c>
      <c r="AE479">
        <v>11</v>
      </c>
      <c r="AF479">
        <v>12</v>
      </c>
      <c r="AG479">
        <v>10</v>
      </c>
      <c r="AH479">
        <v>11</v>
      </c>
    </row>
    <row r="480" spans="1:34" x14ac:dyDescent="0.2">
      <c r="A480" t="s">
        <v>54</v>
      </c>
      <c r="B480" t="s">
        <v>35</v>
      </c>
      <c r="C480">
        <v>16</v>
      </c>
      <c r="D480" t="s">
        <v>53</v>
      </c>
      <c r="E480" t="s">
        <v>37</v>
      </c>
      <c r="F480" t="s">
        <v>45</v>
      </c>
      <c r="G480">
        <v>1</v>
      </c>
      <c r="H480">
        <v>1</v>
      </c>
      <c r="I480" t="s">
        <v>39</v>
      </c>
      <c r="J480" t="s">
        <v>46</v>
      </c>
      <c r="K480" t="s">
        <v>41</v>
      </c>
      <c r="L480" t="s">
        <v>47</v>
      </c>
      <c r="M480">
        <v>2</v>
      </c>
      <c r="N480">
        <v>2</v>
      </c>
      <c r="O480">
        <v>3</v>
      </c>
      <c r="P480" t="s">
        <v>43</v>
      </c>
      <c r="Q480" t="s">
        <v>43</v>
      </c>
      <c r="R480" t="s">
        <v>44</v>
      </c>
      <c r="S480">
        <f t="shared" si="7"/>
        <v>0</v>
      </c>
      <c r="T480" t="s">
        <v>44</v>
      </c>
      <c r="U480" t="s">
        <v>43</v>
      </c>
      <c r="V480" t="s">
        <v>43</v>
      </c>
      <c r="W480" t="s">
        <v>44</v>
      </c>
      <c r="X480" t="s">
        <v>44</v>
      </c>
      <c r="Y480">
        <v>3</v>
      </c>
      <c r="Z480">
        <v>4</v>
      </c>
      <c r="AA480">
        <v>3</v>
      </c>
      <c r="AB480">
        <v>1</v>
      </c>
      <c r="AC480">
        <v>1</v>
      </c>
      <c r="AD480">
        <v>1</v>
      </c>
      <c r="AE480">
        <v>0</v>
      </c>
      <c r="AF480">
        <v>7</v>
      </c>
      <c r="AG480">
        <v>7</v>
      </c>
      <c r="AH480">
        <v>8</v>
      </c>
    </row>
    <row r="481" spans="1:34" x14ac:dyDescent="0.2">
      <c r="A481" t="s">
        <v>54</v>
      </c>
      <c r="B481" t="s">
        <v>35</v>
      </c>
      <c r="C481">
        <v>17</v>
      </c>
      <c r="D481" t="s">
        <v>36</v>
      </c>
      <c r="E481" t="s">
        <v>37</v>
      </c>
      <c r="F481" t="s">
        <v>45</v>
      </c>
      <c r="G481">
        <v>2</v>
      </c>
      <c r="H481">
        <v>2</v>
      </c>
      <c r="I481" t="s">
        <v>46</v>
      </c>
      <c r="J481" t="s">
        <v>39</v>
      </c>
      <c r="K481" t="s">
        <v>41</v>
      </c>
      <c r="L481" t="s">
        <v>42</v>
      </c>
      <c r="M481">
        <v>1</v>
      </c>
      <c r="N481">
        <v>1</v>
      </c>
      <c r="O481">
        <v>0</v>
      </c>
      <c r="P481" t="s">
        <v>44</v>
      </c>
      <c r="Q481" t="s">
        <v>43</v>
      </c>
      <c r="R481" t="s">
        <v>44</v>
      </c>
      <c r="S481">
        <f t="shared" si="7"/>
        <v>0</v>
      </c>
      <c r="T481" t="s">
        <v>43</v>
      </c>
      <c r="U481" t="s">
        <v>43</v>
      </c>
      <c r="V481" t="s">
        <v>44</v>
      </c>
      <c r="W481" t="s">
        <v>44</v>
      </c>
      <c r="X481" t="s">
        <v>44</v>
      </c>
      <c r="Y481">
        <v>4</v>
      </c>
      <c r="Z481">
        <v>5</v>
      </c>
      <c r="AA481">
        <v>3</v>
      </c>
      <c r="AB481">
        <v>1</v>
      </c>
      <c r="AC481">
        <v>1</v>
      </c>
      <c r="AD481">
        <v>5</v>
      </c>
      <c r="AE481">
        <v>4</v>
      </c>
      <c r="AF481">
        <v>9</v>
      </c>
      <c r="AG481">
        <v>9</v>
      </c>
      <c r="AH481">
        <v>10</v>
      </c>
    </row>
    <row r="482" spans="1:34" x14ac:dyDescent="0.2">
      <c r="A482" t="s">
        <v>54</v>
      </c>
      <c r="B482" t="s">
        <v>35</v>
      </c>
      <c r="C482">
        <v>19</v>
      </c>
      <c r="D482" t="s">
        <v>36</v>
      </c>
      <c r="E482" t="s">
        <v>37</v>
      </c>
      <c r="F482" t="s">
        <v>45</v>
      </c>
      <c r="G482">
        <v>2</v>
      </c>
      <c r="H482">
        <v>3</v>
      </c>
      <c r="I482" t="s">
        <v>39</v>
      </c>
      <c r="J482" t="s">
        <v>49</v>
      </c>
      <c r="K482" t="s">
        <v>41</v>
      </c>
      <c r="L482" t="s">
        <v>46</v>
      </c>
      <c r="M482">
        <v>1</v>
      </c>
      <c r="N482">
        <v>1</v>
      </c>
      <c r="O482">
        <v>1</v>
      </c>
      <c r="P482" t="s">
        <v>44</v>
      </c>
      <c r="Q482" t="s">
        <v>44</v>
      </c>
      <c r="R482" t="s">
        <v>44</v>
      </c>
      <c r="S482">
        <f t="shared" si="7"/>
        <v>0</v>
      </c>
      <c r="T482" t="s">
        <v>44</v>
      </c>
      <c r="U482" t="s">
        <v>43</v>
      </c>
      <c r="V482" t="s">
        <v>44</v>
      </c>
      <c r="W482" t="s">
        <v>43</v>
      </c>
      <c r="X482" t="s">
        <v>43</v>
      </c>
      <c r="Y482">
        <v>4</v>
      </c>
      <c r="Z482">
        <v>4</v>
      </c>
      <c r="AA482">
        <v>4</v>
      </c>
      <c r="AB482">
        <v>1</v>
      </c>
      <c r="AC482">
        <v>1</v>
      </c>
      <c r="AD482">
        <v>2</v>
      </c>
      <c r="AE482">
        <v>0</v>
      </c>
      <c r="AF482">
        <v>9</v>
      </c>
      <c r="AG482">
        <v>9</v>
      </c>
      <c r="AH482">
        <v>10</v>
      </c>
    </row>
    <row r="483" spans="1:34" x14ac:dyDescent="0.2">
      <c r="A483" t="s">
        <v>54</v>
      </c>
      <c r="B483" t="s">
        <v>35</v>
      </c>
      <c r="C483">
        <v>17</v>
      </c>
      <c r="D483" t="s">
        <v>53</v>
      </c>
      <c r="E483" t="s">
        <v>37</v>
      </c>
      <c r="F483" t="s">
        <v>45</v>
      </c>
      <c r="G483">
        <v>2</v>
      </c>
      <c r="H483">
        <v>1</v>
      </c>
      <c r="I483" t="s">
        <v>39</v>
      </c>
      <c r="J483" t="s">
        <v>46</v>
      </c>
      <c r="K483" t="s">
        <v>41</v>
      </c>
      <c r="L483" t="s">
        <v>42</v>
      </c>
      <c r="M483">
        <v>3</v>
      </c>
      <c r="N483">
        <v>1</v>
      </c>
      <c r="O483">
        <v>0</v>
      </c>
      <c r="P483" t="s">
        <v>44</v>
      </c>
      <c r="Q483" t="s">
        <v>43</v>
      </c>
      <c r="R483" t="s">
        <v>44</v>
      </c>
      <c r="S483">
        <f t="shared" si="7"/>
        <v>0</v>
      </c>
      <c r="T483" t="s">
        <v>43</v>
      </c>
      <c r="U483" t="s">
        <v>43</v>
      </c>
      <c r="V483" t="s">
        <v>44</v>
      </c>
      <c r="W483" t="s">
        <v>44</v>
      </c>
      <c r="X483" t="s">
        <v>43</v>
      </c>
      <c r="Y483">
        <v>5</v>
      </c>
      <c r="Z483">
        <v>5</v>
      </c>
      <c r="AA483">
        <v>3</v>
      </c>
      <c r="AB483">
        <v>1</v>
      </c>
      <c r="AC483">
        <v>1</v>
      </c>
      <c r="AD483">
        <v>3</v>
      </c>
      <c r="AE483">
        <v>2</v>
      </c>
      <c r="AF483">
        <v>9</v>
      </c>
      <c r="AG483">
        <v>10</v>
      </c>
      <c r="AH483">
        <v>11</v>
      </c>
    </row>
    <row r="484" spans="1:34" x14ac:dyDescent="0.2">
      <c r="A484" t="s">
        <v>54</v>
      </c>
      <c r="B484" t="s">
        <v>35</v>
      </c>
      <c r="C484">
        <v>15</v>
      </c>
      <c r="D484" t="s">
        <v>53</v>
      </c>
      <c r="E484" t="s">
        <v>48</v>
      </c>
      <c r="F484" t="s">
        <v>45</v>
      </c>
      <c r="G484">
        <v>1</v>
      </c>
      <c r="H484">
        <v>1</v>
      </c>
      <c r="I484" t="s">
        <v>39</v>
      </c>
      <c r="J484" t="s">
        <v>46</v>
      </c>
      <c r="K484" t="s">
        <v>41</v>
      </c>
      <c r="L484" t="s">
        <v>42</v>
      </c>
      <c r="M484">
        <v>2</v>
      </c>
      <c r="N484">
        <v>1</v>
      </c>
      <c r="O484">
        <v>0</v>
      </c>
      <c r="P484" t="s">
        <v>44</v>
      </c>
      <c r="Q484" t="s">
        <v>43</v>
      </c>
      <c r="R484" t="s">
        <v>44</v>
      </c>
      <c r="S484">
        <f t="shared" si="7"/>
        <v>0</v>
      </c>
      <c r="T484" t="s">
        <v>44</v>
      </c>
      <c r="U484" t="s">
        <v>43</v>
      </c>
      <c r="V484" t="s">
        <v>44</v>
      </c>
      <c r="W484" t="s">
        <v>44</v>
      </c>
      <c r="X484" t="s">
        <v>43</v>
      </c>
      <c r="Y484">
        <v>5</v>
      </c>
      <c r="Z484">
        <v>2</v>
      </c>
      <c r="AA484">
        <v>1</v>
      </c>
      <c r="AB484">
        <v>1</v>
      </c>
      <c r="AC484">
        <v>3</v>
      </c>
      <c r="AD484">
        <v>4</v>
      </c>
      <c r="AE484">
        <v>0</v>
      </c>
      <c r="AF484">
        <v>9</v>
      </c>
      <c r="AG484">
        <v>10</v>
      </c>
      <c r="AH484">
        <v>9</v>
      </c>
    </row>
    <row r="485" spans="1:34" x14ac:dyDescent="0.2">
      <c r="A485" t="s">
        <v>54</v>
      </c>
      <c r="B485" t="s">
        <v>35</v>
      </c>
      <c r="C485">
        <v>16</v>
      </c>
      <c r="D485" t="s">
        <v>53</v>
      </c>
      <c r="E485" t="s">
        <v>37</v>
      </c>
      <c r="F485" t="s">
        <v>45</v>
      </c>
      <c r="G485">
        <v>2</v>
      </c>
      <c r="H485">
        <v>2</v>
      </c>
      <c r="I485" t="s">
        <v>46</v>
      </c>
      <c r="J485" t="s">
        <v>46</v>
      </c>
      <c r="K485" t="s">
        <v>41</v>
      </c>
      <c r="L485" t="s">
        <v>47</v>
      </c>
      <c r="M485">
        <v>3</v>
      </c>
      <c r="N485">
        <v>2</v>
      </c>
      <c r="O485">
        <v>0</v>
      </c>
      <c r="P485" t="s">
        <v>44</v>
      </c>
      <c r="Q485" t="s">
        <v>43</v>
      </c>
      <c r="R485" t="s">
        <v>44</v>
      </c>
      <c r="S485">
        <f t="shared" si="7"/>
        <v>0</v>
      </c>
      <c r="T485" t="s">
        <v>44</v>
      </c>
      <c r="U485" t="s">
        <v>43</v>
      </c>
      <c r="V485" t="s">
        <v>44</v>
      </c>
      <c r="W485" t="s">
        <v>43</v>
      </c>
      <c r="X485" t="s">
        <v>44</v>
      </c>
      <c r="Y485">
        <v>3</v>
      </c>
      <c r="Z485">
        <v>4</v>
      </c>
      <c r="AA485">
        <v>5</v>
      </c>
      <c r="AB485">
        <v>1</v>
      </c>
      <c r="AC485">
        <v>2</v>
      </c>
      <c r="AD485">
        <v>1</v>
      </c>
      <c r="AE485">
        <v>1</v>
      </c>
      <c r="AF485">
        <v>9</v>
      </c>
      <c r="AG485">
        <v>10</v>
      </c>
      <c r="AH485">
        <v>11</v>
      </c>
    </row>
    <row r="486" spans="1:34" x14ac:dyDescent="0.2">
      <c r="A486" t="s">
        <v>54</v>
      </c>
      <c r="B486" t="s">
        <v>35</v>
      </c>
      <c r="C486">
        <v>16</v>
      </c>
      <c r="D486" t="s">
        <v>36</v>
      </c>
      <c r="E486" t="s">
        <v>48</v>
      </c>
      <c r="F486" t="s">
        <v>38</v>
      </c>
      <c r="G486">
        <v>2</v>
      </c>
      <c r="H486">
        <v>2</v>
      </c>
      <c r="I486" t="s">
        <v>46</v>
      </c>
      <c r="J486" t="s">
        <v>46</v>
      </c>
      <c r="K486" t="s">
        <v>50</v>
      </c>
      <c r="L486" t="s">
        <v>42</v>
      </c>
      <c r="M486">
        <v>1</v>
      </c>
      <c r="N486">
        <v>1</v>
      </c>
      <c r="O486">
        <v>0</v>
      </c>
      <c r="P486" t="s">
        <v>44</v>
      </c>
      <c r="Q486" t="s">
        <v>43</v>
      </c>
      <c r="R486" t="s">
        <v>44</v>
      </c>
      <c r="S486">
        <f t="shared" si="7"/>
        <v>0</v>
      </c>
      <c r="T486" t="s">
        <v>44</v>
      </c>
      <c r="U486" t="s">
        <v>43</v>
      </c>
      <c r="V486" t="s">
        <v>44</v>
      </c>
      <c r="W486" t="s">
        <v>44</v>
      </c>
      <c r="X486" t="s">
        <v>44</v>
      </c>
      <c r="Y486">
        <v>4</v>
      </c>
      <c r="Z486">
        <v>3</v>
      </c>
      <c r="AA486">
        <v>4</v>
      </c>
      <c r="AB486">
        <v>1</v>
      </c>
      <c r="AC486">
        <v>2</v>
      </c>
      <c r="AD486">
        <v>1</v>
      </c>
      <c r="AE486">
        <v>6</v>
      </c>
      <c r="AF486">
        <v>7</v>
      </c>
      <c r="AG486">
        <v>7</v>
      </c>
      <c r="AH486">
        <v>8</v>
      </c>
    </row>
    <row r="487" spans="1:34" x14ac:dyDescent="0.2">
      <c r="A487" t="s">
        <v>54</v>
      </c>
      <c r="B487" t="s">
        <v>35</v>
      </c>
      <c r="C487">
        <v>17</v>
      </c>
      <c r="D487" t="s">
        <v>53</v>
      </c>
      <c r="E487" t="s">
        <v>37</v>
      </c>
      <c r="F487" t="s">
        <v>45</v>
      </c>
      <c r="G487">
        <v>2</v>
      </c>
      <c r="H487">
        <v>2</v>
      </c>
      <c r="I487" t="s">
        <v>39</v>
      </c>
      <c r="J487" t="s">
        <v>46</v>
      </c>
      <c r="K487" t="s">
        <v>41</v>
      </c>
      <c r="L487" t="s">
        <v>42</v>
      </c>
      <c r="M487">
        <v>2</v>
      </c>
      <c r="N487">
        <v>2</v>
      </c>
      <c r="O487">
        <v>0</v>
      </c>
      <c r="P487" t="s">
        <v>44</v>
      </c>
      <c r="Q487" t="s">
        <v>43</v>
      </c>
      <c r="R487" t="s">
        <v>44</v>
      </c>
      <c r="S487">
        <f t="shared" si="7"/>
        <v>0</v>
      </c>
      <c r="T487" t="s">
        <v>44</v>
      </c>
      <c r="U487" t="s">
        <v>43</v>
      </c>
      <c r="V487" t="s">
        <v>43</v>
      </c>
      <c r="W487" t="s">
        <v>43</v>
      </c>
      <c r="X487" t="s">
        <v>44</v>
      </c>
      <c r="Y487">
        <v>4</v>
      </c>
      <c r="Z487">
        <v>3</v>
      </c>
      <c r="AA487">
        <v>5</v>
      </c>
      <c r="AB487">
        <v>1</v>
      </c>
      <c r="AC487">
        <v>2</v>
      </c>
      <c r="AD487">
        <v>4</v>
      </c>
      <c r="AE487">
        <v>0</v>
      </c>
      <c r="AF487">
        <v>11</v>
      </c>
      <c r="AG487">
        <v>10</v>
      </c>
      <c r="AH487">
        <v>11</v>
      </c>
    </row>
    <row r="488" spans="1:34" x14ac:dyDescent="0.2">
      <c r="A488" t="s">
        <v>54</v>
      </c>
      <c r="B488" t="s">
        <v>35</v>
      </c>
      <c r="C488">
        <v>16</v>
      </c>
      <c r="D488" t="s">
        <v>36</v>
      </c>
      <c r="E488" t="s">
        <v>37</v>
      </c>
      <c r="F488" t="s">
        <v>45</v>
      </c>
      <c r="G488">
        <v>2</v>
      </c>
      <c r="H488">
        <v>2</v>
      </c>
      <c r="I488" t="s">
        <v>46</v>
      </c>
      <c r="J488" t="s">
        <v>49</v>
      </c>
      <c r="K488" t="s">
        <v>41</v>
      </c>
      <c r="L488" t="s">
        <v>47</v>
      </c>
      <c r="M488">
        <v>1</v>
      </c>
      <c r="N488">
        <v>1</v>
      </c>
      <c r="O488">
        <v>1</v>
      </c>
      <c r="P488" t="s">
        <v>44</v>
      </c>
      <c r="Q488" t="s">
        <v>43</v>
      </c>
      <c r="R488" t="s">
        <v>43</v>
      </c>
      <c r="S488">
        <f t="shared" si="7"/>
        <v>1</v>
      </c>
      <c r="T488" t="s">
        <v>43</v>
      </c>
      <c r="U488" t="s">
        <v>44</v>
      </c>
      <c r="V488" t="s">
        <v>43</v>
      </c>
      <c r="W488" t="s">
        <v>43</v>
      </c>
      <c r="X488" t="s">
        <v>44</v>
      </c>
      <c r="Y488">
        <v>4</v>
      </c>
      <c r="Z488">
        <v>4</v>
      </c>
      <c r="AA488">
        <v>3</v>
      </c>
      <c r="AB488">
        <v>1</v>
      </c>
      <c r="AC488">
        <v>4</v>
      </c>
      <c r="AD488">
        <v>3</v>
      </c>
      <c r="AE488">
        <v>1</v>
      </c>
      <c r="AF488">
        <v>9</v>
      </c>
      <c r="AG488">
        <v>10</v>
      </c>
      <c r="AH488">
        <v>10</v>
      </c>
    </row>
    <row r="489" spans="1:34" x14ac:dyDescent="0.2">
      <c r="A489" t="s">
        <v>54</v>
      </c>
      <c r="B489" t="s">
        <v>35</v>
      </c>
      <c r="C489">
        <v>18</v>
      </c>
      <c r="D489" t="s">
        <v>53</v>
      </c>
      <c r="E489" t="s">
        <v>48</v>
      </c>
      <c r="F489" t="s">
        <v>38</v>
      </c>
      <c r="G489">
        <v>3</v>
      </c>
      <c r="H489">
        <v>2</v>
      </c>
      <c r="I489" t="s">
        <v>46</v>
      </c>
      <c r="J489" t="s">
        <v>46</v>
      </c>
      <c r="K489" t="s">
        <v>41</v>
      </c>
      <c r="L489" t="s">
        <v>46</v>
      </c>
      <c r="M489">
        <v>2</v>
      </c>
      <c r="N489">
        <v>3</v>
      </c>
      <c r="O489">
        <v>2</v>
      </c>
      <c r="P489" t="s">
        <v>44</v>
      </c>
      <c r="Q489" t="s">
        <v>43</v>
      </c>
      <c r="R489" t="s">
        <v>44</v>
      </c>
      <c r="S489">
        <f t="shared" si="7"/>
        <v>0</v>
      </c>
      <c r="T489" t="s">
        <v>44</v>
      </c>
      <c r="U489" t="s">
        <v>44</v>
      </c>
      <c r="V489" t="s">
        <v>44</v>
      </c>
      <c r="W489" t="s">
        <v>44</v>
      </c>
      <c r="X489" t="s">
        <v>43</v>
      </c>
      <c r="Y489">
        <v>3</v>
      </c>
      <c r="Z489">
        <v>3</v>
      </c>
      <c r="AA489">
        <v>2</v>
      </c>
      <c r="AB489">
        <v>1</v>
      </c>
      <c r="AC489">
        <v>1</v>
      </c>
      <c r="AD489">
        <v>2</v>
      </c>
      <c r="AE489">
        <v>6</v>
      </c>
      <c r="AF489">
        <v>7</v>
      </c>
      <c r="AG489">
        <v>9</v>
      </c>
      <c r="AH489">
        <v>10</v>
      </c>
    </row>
    <row r="490" spans="1:34" x14ac:dyDescent="0.2">
      <c r="A490" t="s">
        <v>54</v>
      </c>
      <c r="B490" t="s">
        <v>35</v>
      </c>
      <c r="C490">
        <v>19</v>
      </c>
      <c r="D490" t="s">
        <v>36</v>
      </c>
      <c r="E490" t="s">
        <v>37</v>
      </c>
      <c r="F490" t="s">
        <v>45</v>
      </c>
      <c r="G490">
        <v>1</v>
      </c>
      <c r="H490">
        <v>1</v>
      </c>
      <c r="I490" t="s">
        <v>39</v>
      </c>
      <c r="J490" t="s">
        <v>49</v>
      </c>
      <c r="K490" t="s">
        <v>41</v>
      </c>
      <c r="L490" t="s">
        <v>42</v>
      </c>
      <c r="M490">
        <v>1</v>
      </c>
      <c r="N490">
        <v>3</v>
      </c>
      <c r="O490">
        <v>1</v>
      </c>
      <c r="P490" t="s">
        <v>44</v>
      </c>
      <c r="Q490" t="s">
        <v>44</v>
      </c>
      <c r="R490" t="s">
        <v>44</v>
      </c>
      <c r="S490">
        <f t="shared" si="7"/>
        <v>0</v>
      </c>
      <c r="T490" t="s">
        <v>43</v>
      </c>
      <c r="U490" t="s">
        <v>43</v>
      </c>
      <c r="V490" t="s">
        <v>44</v>
      </c>
      <c r="W490" t="s">
        <v>44</v>
      </c>
      <c r="X490" t="s">
        <v>43</v>
      </c>
      <c r="Y490">
        <v>5</v>
      </c>
      <c r="Z490">
        <v>3</v>
      </c>
      <c r="AA490">
        <v>1</v>
      </c>
      <c r="AB490">
        <v>1</v>
      </c>
      <c r="AC490">
        <v>1</v>
      </c>
      <c r="AD490">
        <v>3</v>
      </c>
      <c r="AE490">
        <v>6</v>
      </c>
      <c r="AF490">
        <v>7</v>
      </c>
      <c r="AG490">
        <v>9</v>
      </c>
      <c r="AH490">
        <v>9</v>
      </c>
    </row>
    <row r="491" spans="1:34" x14ac:dyDescent="0.2">
      <c r="A491" t="s">
        <v>54</v>
      </c>
      <c r="B491" t="s">
        <v>51</v>
      </c>
      <c r="C491">
        <v>18</v>
      </c>
      <c r="D491" t="s">
        <v>53</v>
      </c>
      <c r="E491" t="s">
        <v>37</v>
      </c>
      <c r="F491" t="s">
        <v>45</v>
      </c>
      <c r="G491">
        <v>1</v>
      </c>
      <c r="H491">
        <v>1</v>
      </c>
      <c r="I491" t="s">
        <v>46</v>
      </c>
      <c r="J491" t="s">
        <v>46</v>
      </c>
      <c r="K491" t="s">
        <v>50</v>
      </c>
      <c r="L491" t="s">
        <v>42</v>
      </c>
      <c r="M491">
        <v>2</v>
      </c>
      <c r="N491">
        <v>1</v>
      </c>
      <c r="O491">
        <v>1</v>
      </c>
      <c r="P491" t="s">
        <v>44</v>
      </c>
      <c r="Q491" t="s">
        <v>44</v>
      </c>
      <c r="R491" t="s">
        <v>44</v>
      </c>
      <c r="S491">
        <f t="shared" si="7"/>
        <v>0</v>
      </c>
      <c r="T491" t="s">
        <v>43</v>
      </c>
      <c r="U491" t="s">
        <v>43</v>
      </c>
      <c r="V491" t="s">
        <v>44</v>
      </c>
      <c r="W491" t="s">
        <v>43</v>
      </c>
      <c r="X491" t="s">
        <v>44</v>
      </c>
      <c r="Y491">
        <v>4</v>
      </c>
      <c r="Z491">
        <v>4</v>
      </c>
      <c r="AA491">
        <v>3</v>
      </c>
      <c r="AB491">
        <v>3</v>
      </c>
      <c r="AC491">
        <v>4</v>
      </c>
      <c r="AD491">
        <v>4</v>
      </c>
      <c r="AE491">
        <v>0</v>
      </c>
      <c r="AF491">
        <v>8</v>
      </c>
      <c r="AG491">
        <v>9</v>
      </c>
      <c r="AH491">
        <v>10</v>
      </c>
    </row>
    <row r="492" spans="1:34" x14ac:dyDescent="0.2">
      <c r="A492" t="s">
        <v>54</v>
      </c>
      <c r="B492" t="s">
        <v>35</v>
      </c>
      <c r="C492">
        <v>18</v>
      </c>
      <c r="D492" t="s">
        <v>53</v>
      </c>
      <c r="E492" t="s">
        <v>37</v>
      </c>
      <c r="F492" t="s">
        <v>45</v>
      </c>
      <c r="G492">
        <v>1</v>
      </c>
      <c r="H492">
        <v>1</v>
      </c>
      <c r="I492" t="s">
        <v>39</v>
      </c>
      <c r="J492" t="s">
        <v>39</v>
      </c>
      <c r="K492" t="s">
        <v>41</v>
      </c>
      <c r="L492" t="s">
        <v>42</v>
      </c>
      <c r="M492">
        <v>2</v>
      </c>
      <c r="N492">
        <v>1</v>
      </c>
      <c r="O492">
        <v>1</v>
      </c>
      <c r="P492" t="s">
        <v>44</v>
      </c>
      <c r="Q492" t="s">
        <v>44</v>
      </c>
      <c r="R492" t="s">
        <v>44</v>
      </c>
      <c r="S492">
        <f t="shared" si="7"/>
        <v>0</v>
      </c>
      <c r="T492" t="s">
        <v>44</v>
      </c>
      <c r="U492" t="s">
        <v>44</v>
      </c>
      <c r="V492" t="s">
        <v>44</v>
      </c>
      <c r="W492" t="s">
        <v>43</v>
      </c>
      <c r="X492" t="s">
        <v>43</v>
      </c>
      <c r="Y492">
        <v>3</v>
      </c>
      <c r="Z492">
        <v>2</v>
      </c>
      <c r="AA492">
        <v>3</v>
      </c>
      <c r="AB492">
        <v>1</v>
      </c>
      <c r="AC492">
        <v>1</v>
      </c>
      <c r="AD492">
        <v>2</v>
      </c>
      <c r="AE492">
        <v>4</v>
      </c>
      <c r="AF492">
        <v>9</v>
      </c>
      <c r="AG492">
        <v>11</v>
      </c>
      <c r="AH492">
        <v>10</v>
      </c>
    </row>
    <row r="493" spans="1:34" x14ac:dyDescent="0.2">
      <c r="A493" t="s">
        <v>54</v>
      </c>
      <c r="B493" t="s">
        <v>35</v>
      </c>
      <c r="C493">
        <v>19</v>
      </c>
      <c r="D493" t="s">
        <v>36</v>
      </c>
      <c r="E493" t="s">
        <v>37</v>
      </c>
      <c r="F493" t="s">
        <v>45</v>
      </c>
      <c r="G493">
        <v>1</v>
      </c>
      <c r="H493">
        <v>1</v>
      </c>
      <c r="I493" t="s">
        <v>46</v>
      </c>
      <c r="J493" t="s">
        <v>46</v>
      </c>
      <c r="K493" t="s">
        <v>41</v>
      </c>
      <c r="L493" t="s">
        <v>46</v>
      </c>
      <c r="M493">
        <v>2</v>
      </c>
      <c r="N493">
        <v>2</v>
      </c>
      <c r="O493">
        <v>1</v>
      </c>
      <c r="P493" t="s">
        <v>44</v>
      </c>
      <c r="Q493" t="s">
        <v>43</v>
      </c>
      <c r="R493" t="s">
        <v>44</v>
      </c>
      <c r="S493">
        <f t="shared" si="7"/>
        <v>0</v>
      </c>
      <c r="T493" t="s">
        <v>44</v>
      </c>
      <c r="U493" t="s">
        <v>43</v>
      </c>
      <c r="V493" t="s">
        <v>43</v>
      </c>
      <c r="W493" t="s">
        <v>43</v>
      </c>
      <c r="X493" t="s">
        <v>43</v>
      </c>
      <c r="Y493">
        <v>1</v>
      </c>
      <c r="Z493">
        <v>1</v>
      </c>
      <c r="AA493">
        <v>4</v>
      </c>
      <c r="AB493">
        <v>4</v>
      </c>
      <c r="AC493">
        <v>1</v>
      </c>
      <c r="AD493">
        <v>1</v>
      </c>
      <c r="AE493">
        <v>12</v>
      </c>
      <c r="AF493">
        <v>7</v>
      </c>
      <c r="AG493">
        <v>8</v>
      </c>
      <c r="AH493">
        <v>9</v>
      </c>
    </row>
    <row r="494" spans="1:34" x14ac:dyDescent="0.2">
      <c r="A494" t="s">
        <v>54</v>
      </c>
      <c r="B494" t="s">
        <v>35</v>
      </c>
      <c r="C494">
        <v>16</v>
      </c>
      <c r="D494" t="s">
        <v>53</v>
      </c>
      <c r="E494" t="s">
        <v>37</v>
      </c>
      <c r="F494" t="s">
        <v>38</v>
      </c>
      <c r="G494">
        <v>2</v>
      </c>
      <c r="H494">
        <v>2</v>
      </c>
      <c r="I494" t="s">
        <v>29</v>
      </c>
      <c r="J494" t="s">
        <v>46</v>
      </c>
      <c r="K494" t="s">
        <v>41</v>
      </c>
      <c r="L494" t="s">
        <v>42</v>
      </c>
      <c r="M494">
        <v>1</v>
      </c>
      <c r="N494">
        <v>2</v>
      </c>
      <c r="O494">
        <v>0</v>
      </c>
      <c r="P494" t="s">
        <v>44</v>
      </c>
      <c r="Q494" t="s">
        <v>44</v>
      </c>
      <c r="R494" t="s">
        <v>44</v>
      </c>
      <c r="S494">
        <f t="shared" si="7"/>
        <v>0</v>
      </c>
      <c r="T494" t="s">
        <v>44</v>
      </c>
      <c r="U494" t="s">
        <v>44</v>
      </c>
      <c r="V494" t="s">
        <v>43</v>
      </c>
      <c r="W494" t="s">
        <v>44</v>
      </c>
      <c r="X494" t="s">
        <v>43</v>
      </c>
      <c r="Y494">
        <v>3</v>
      </c>
      <c r="Z494">
        <v>3</v>
      </c>
      <c r="AA494">
        <v>2</v>
      </c>
      <c r="AB494">
        <v>1</v>
      </c>
      <c r="AC494">
        <v>1</v>
      </c>
      <c r="AD494">
        <v>3</v>
      </c>
      <c r="AE494">
        <v>2</v>
      </c>
      <c r="AF494">
        <v>8</v>
      </c>
      <c r="AG494">
        <v>10</v>
      </c>
      <c r="AH494">
        <v>10</v>
      </c>
    </row>
    <row r="495" spans="1:34" x14ac:dyDescent="0.2">
      <c r="A495" t="s">
        <v>54</v>
      </c>
      <c r="B495" t="s">
        <v>35</v>
      </c>
      <c r="C495">
        <v>17</v>
      </c>
      <c r="D495" t="s">
        <v>36</v>
      </c>
      <c r="E495" t="s">
        <v>37</v>
      </c>
      <c r="F495" t="s">
        <v>45</v>
      </c>
      <c r="G495">
        <v>0</v>
      </c>
      <c r="H495">
        <v>1</v>
      </c>
      <c r="I495" t="s">
        <v>46</v>
      </c>
      <c r="J495" t="s">
        <v>39</v>
      </c>
      <c r="K495" t="s">
        <v>41</v>
      </c>
      <c r="L495" t="s">
        <v>47</v>
      </c>
      <c r="M495">
        <v>2</v>
      </c>
      <c r="N495">
        <v>1</v>
      </c>
      <c r="O495">
        <v>0</v>
      </c>
      <c r="P495" t="s">
        <v>44</v>
      </c>
      <c r="Q495" t="s">
        <v>44</v>
      </c>
      <c r="R495" t="s">
        <v>44</v>
      </c>
      <c r="S495">
        <f t="shared" si="7"/>
        <v>0</v>
      </c>
      <c r="T495" t="s">
        <v>43</v>
      </c>
      <c r="U495" t="s">
        <v>44</v>
      </c>
      <c r="V495" t="s">
        <v>43</v>
      </c>
      <c r="W495" t="s">
        <v>44</v>
      </c>
      <c r="X495" t="s">
        <v>44</v>
      </c>
      <c r="Y495">
        <v>2</v>
      </c>
      <c r="Z495">
        <v>4</v>
      </c>
      <c r="AA495">
        <v>4</v>
      </c>
      <c r="AB495">
        <v>3</v>
      </c>
      <c r="AC495">
        <v>5</v>
      </c>
      <c r="AD495">
        <v>5</v>
      </c>
      <c r="AE495">
        <v>5</v>
      </c>
      <c r="AF495">
        <v>9</v>
      </c>
      <c r="AG495">
        <v>9</v>
      </c>
      <c r="AH495">
        <v>10</v>
      </c>
    </row>
    <row r="496" spans="1:34" x14ac:dyDescent="0.2">
      <c r="A496" t="s">
        <v>54</v>
      </c>
      <c r="B496" t="s">
        <v>35</v>
      </c>
      <c r="C496">
        <v>16</v>
      </c>
      <c r="D496" t="s">
        <v>53</v>
      </c>
      <c r="E496" t="s">
        <v>48</v>
      </c>
      <c r="F496" t="s">
        <v>45</v>
      </c>
      <c r="G496">
        <v>1</v>
      </c>
      <c r="H496">
        <v>2</v>
      </c>
      <c r="I496" t="s">
        <v>39</v>
      </c>
      <c r="J496" t="s">
        <v>46</v>
      </c>
      <c r="K496" t="s">
        <v>41</v>
      </c>
      <c r="L496" t="s">
        <v>42</v>
      </c>
      <c r="M496">
        <v>1</v>
      </c>
      <c r="N496">
        <v>2</v>
      </c>
      <c r="O496">
        <v>0</v>
      </c>
      <c r="P496" t="s">
        <v>44</v>
      </c>
      <c r="Q496" t="s">
        <v>44</v>
      </c>
      <c r="R496" t="s">
        <v>44</v>
      </c>
      <c r="S496">
        <f t="shared" si="7"/>
        <v>0</v>
      </c>
      <c r="T496" t="s">
        <v>43</v>
      </c>
      <c r="U496" t="s">
        <v>43</v>
      </c>
      <c r="V496" t="s">
        <v>44</v>
      </c>
      <c r="W496" t="s">
        <v>43</v>
      </c>
      <c r="X496" t="s">
        <v>44</v>
      </c>
      <c r="Y496">
        <v>4</v>
      </c>
      <c r="Z496">
        <v>4</v>
      </c>
      <c r="AA496">
        <v>5</v>
      </c>
      <c r="AB496">
        <v>1</v>
      </c>
      <c r="AC496">
        <v>3</v>
      </c>
      <c r="AD496">
        <v>3</v>
      </c>
      <c r="AE496">
        <v>0</v>
      </c>
      <c r="AF496">
        <v>8</v>
      </c>
      <c r="AG496">
        <v>9</v>
      </c>
      <c r="AH496">
        <v>9</v>
      </c>
    </row>
    <row r="497" spans="1:34" x14ac:dyDescent="0.2">
      <c r="A497" t="s">
        <v>54</v>
      </c>
      <c r="B497" t="s">
        <v>35</v>
      </c>
      <c r="C497">
        <v>16</v>
      </c>
      <c r="D497" t="s">
        <v>36</v>
      </c>
      <c r="E497" t="s">
        <v>37</v>
      </c>
      <c r="F497" t="s">
        <v>45</v>
      </c>
      <c r="G497">
        <v>3</v>
      </c>
      <c r="H497">
        <v>3</v>
      </c>
      <c r="I497" t="s">
        <v>46</v>
      </c>
      <c r="J497" t="s">
        <v>46</v>
      </c>
      <c r="K497" t="s">
        <v>52</v>
      </c>
      <c r="L497" t="s">
        <v>42</v>
      </c>
      <c r="M497">
        <v>1</v>
      </c>
      <c r="N497">
        <v>1</v>
      </c>
      <c r="O497">
        <v>0</v>
      </c>
      <c r="P497" t="s">
        <v>44</v>
      </c>
      <c r="Q497" t="s">
        <v>44</v>
      </c>
      <c r="R497" t="s">
        <v>44</v>
      </c>
      <c r="S497">
        <f t="shared" si="7"/>
        <v>0</v>
      </c>
      <c r="T497" t="s">
        <v>43</v>
      </c>
      <c r="U497" t="s">
        <v>43</v>
      </c>
      <c r="V497" t="s">
        <v>44</v>
      </c>
      <c r="W497" t="s">
        <v>43</v>
      </c>
      <c r="X497" t="s">
        <v>43</v>
      </c>
      <c r="Y497">
        <v>4</v>
      </c>
      <c r="Z497">
        <v>5</v>
      </c>
      <c r="AA497">
        <v>4</v>
      </c>
      <c r="AB497">
        <v>1</v>
      </c>
      <c r="AC497">
        <v>1</v>
      </c>
      <c r="AD497">
        <v>4</v>
      </c>
      <c r="AE497">
        <v>0</v>
      </c>
      <c r="AF497">
        <v>14</v>
      </c>
      <c r="AG497">
        <v>13</v>
      </c>
      <c r="AH497">
        <v>13</v>
      </c>
    </row>
    <row r="498" spans="1:34" x14ac:dyDescent="0.2">
      <c r="A498" t="s">
        <v>54</v>
      </c>
      <c r="B498" t="s">
        <v>35</v>
      </c>
      <c r="C498">
        <v>16</v>
      </c>
      <c r="D498" t="s">
        <v>53</v>
      </c>
      <c r="E498" t="s">
        <v>48</v>
      </c>
      <c r="F498" t="s">
        <v>45</v>
      </c>
      <c r="G498">
        <v>1</v>
      </c>
      <c r="H498">
        <v>1</v>
      </c>
      <c r="I498" t="s">
        <v>49</v>
      </c>
      <c r="J498" t="s">
        <v>49</v>
      </c>
      <c r="K498" t="s">
        <v>50</v>
      </c>
      <c r="L498" t="s">
        <v>42</v>
      </c>
      <c r="M498">
        <v>1</v>
      </c>
      <c r="N498">
        <v>1</v>
      </c>
      <c r="O498">
        <v>0</v>
      </c>
      <c r="P498" t="s">
        <v>44</v>
      </c>
      <c r="Q498" t="s">
        <v>43</v>
      </c>
      <c r="R498" t="s">
        <v>44</v>
      </c>
      <c r="S498">
        <f t="shared" si="7"/>
        <v>0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>
        <v>4</v>
      </c>
      <c r="Z498">
        <v>4</v>
      </c>
      <c r="AA498">
        <v>4</v>
      </c>
      <c r="AB498">
        <v>2</v>
      </c>
      <c r="AC498">
        <v>2</v>
      </c>
      <c r="AD498">
        <v>4</v>
      </c>
      <c r="AE498">
        <v>2</v>
      </c>
      <c r="AF498">
        <v>14</v>
      </c>
      <c r="AG498">
        <v>14</v>
      </c>
      <c r="AH498">
        <v>14</v>
      </c>
    </row>
    <row r="499" spans="1:34" x14ac:dyDescent="0.2">
      <c r="A499" t="s">
        <v>54</v>
      </c>
      <c r="B499" t="s">
        <v>51</v>
      </c>
      <c r="C499">
        <v>17</v>
      </c>
      <c r="D499" t="s">
        <v>36</v>
      </c>
      <c r="E499" t="s">
        <v>37</v>
      </c>
      <c r="F499" t="s">
        <v>45</v>
      </c>
      <c r="G499">
        <v>3</v>
      </c>
      <c r="H499">
        <v>3</v>
      </c>
      <c r="I499" t="s">
        <v>49</v>
      </c>
      <c r="J499" t="s">
        <v>39</v>
      </c>
      <c r="K499" t="s">
        <v>41</v>
      </c>
      <c r="L499" t="s">
        <v>42</v>
      </c>
      <c r="M499">
        <v>2</v>
      </c>
      <c r="N499">
        <v>4</v>
      </c>
      <c r="O499">
        <v>1</v>
      </c>
      <c r="P499" t="s">
        <v>44</v>
      </c>
      <c r="Q499" t="s">
        <v>43</v>
      </c>
      <c r="R499" t="s">
        <v>43</v>
      </c>
      <c r="S499">
        <f t="shared" si="7"/>
        <v>1</v>
      </c>
      <c r="T499" t="s">
        <v>43</v>
      </c>
      <c r="U499" t="s">
        <v>43</v>
      </c>
      <c r="V499" t="s">
        <v>43</v>
      </c>
      <c r="W499" t="s">
        <v>44</v>
      </c>
      <c r="X499" t="s">
        <v>44</v>
      </c>
      <c r="Y499">
        <v>5</v>
      </c>
      <c r="Z499">
        <v>4</v>
      </c>
      <c r="AA499">
        <v>5</v>
      </c>
      <c r="AB499">
        <v>3</v>
      </c>
      <c r="AC499">
        <v>4</v>
      </c>
      <c r="AD499">
        <v>5</v>
      </c>
      <c r="AE499">
        <v>0</v>
      </c>
      <c r="AF499">
        <v>10</v>
      </c>
      <c r="AG499">
        <v>11</v>
      </c>
      <c r="AH499">
        <v>10</v>
      </c>
    </row>
    <row r="500" spans="1:34" x14ac:dyDescent="0.2">
      <c r="A500" t="s">
        <v>54</v>
      </c>
      <c r="B500" t="s">
        <v>35</v>
      </c>
      <c r="C500">
        <v>16</v>
      </c>
      <c r="D500" t="s">
        <v>36</v>
      </c>
      <c r="E500" t="s">
        <v>37</v>
      </c>
      <c r="F500" t="s">
        <v>45</v>
      </c>
      <c r="G500">
        <v>2</v>
      </c>
      <c r="H500">
        <v>1</v>
      </c>
      <c r="I500" t="s">
        <v>46</v>
      </c>
      <c r="J500" t="s">
        <v>49</v>
      </c>
      <c r="K500" t="s">
        <v>41</v>
      </c>
      <c r="L500" t="s">
        <v>42</v>
      </c>
      <c r="M500">
        <v>1</v>
      </c>
      <c r="N500">
        <v>2</v>
      </c>
      <c r="O500">
        <v>0</v>
      </c>
      <c r="P500" t="s">
        <v>44</v>
      </c>
      <c r="Q500" t="s">
        <v>43</v>
      </c>
      <c r="R500" t="s">
        <v>44</v>
      </c>
      <c r="S500">
        <f t="shared" si="7"/>
        <v>0</v>
      </c>
      <c r="T500" t="s">
        <v>43</v>
      </c>
      <c r="U500" t="s">
        <v>43</v>
      </c>
      <c r="V500" t="s">
        <v>43</v>
      </c>
      <c r="W500" t="s">
        <v>43</v>
      </c>
      <c r="X500" t="s">
        <v>44</v>
      </c>
      <c r="Y500">
        <v>5</v>
      </c>
      <c r="Z500">
        <v>3</v>
      </c>
      <c r="AA500">
        <v>3</v>
      </c>
      <c r="AB500">
        <v>1</v>
      </c>
      <c r="AC500">
        <v>1</v>
      </c>
      <c r="AD500">
        <v>1</v>
      </c>
      <c r="AE500">
        <v>0</v>
      </c>
      <c r="AF500">
        <v>14</v>
      </c>
      <c r="AG500">
        <v>13</v>
      </c>
      <c r="AH500">
        <v>14</v>
      </c>
    </row>
    <row r="501" spans="1:34" x14ac:dyDescent="0.2">
      <c r="A501" t="s">
        <v>54</v>
      </c>
      <c r="B501" t="s">
        <v>35</v>
      </c>
      <c r="C501">
        <v>16</v>
      </c>
      <c r="D501" t="s">
        <v>36</v>
      </c>
      <c r="E501" t="s">
        <v>37</v>
      </c>
      <c r="F501" t="s">
        <v>45</v>
      </c>
      <c r="G501">
        <v>2</v>
      </c>
      <c r="H501">
        <v>2</v>
      </c>
      <c r="I501" t="s">
        <v>49</v>
      </c>
      <c r="J501" t="s">
        <v>46</v>
      </c>
      <c r="K501" t="s">
        <v>41</v>
      </c>
      <c r="L501" t="s">
        <v>42</v>
      </c>
      <c r="M501">
        <v>1</v>
      </c>
      <c r="N501">
        <v>1</v>
      </c>
      <c r="O501">
        <v>0</v>
      </c>
      <c r="P501" t="s">
        <v>44</v>
      </c>
      <c r="Q501" t="s">
        <v>43</v>
      </c>
      <c r="R501" t="s">
        <v>43</v>
      </c>
      <c r="S501">
        <f t="shared" si="7"/>
        <v>1</v>
      </c>
      <c r="T501" t="s">
        <v>43</v>
      </c>
      <c r="U501" t="s">
        <v>43</v>
      </c>
      <c r="V501" t="s">
        <v>43</v>
      </c>
      <c r="W501" t="s">
        <v>44</v>
      </c>
      <c r="X501" t="s">
        <v>43</v>
      </c>
      <c r="Y501">
        <v>4</v>
      </c>
      <c r="Z501">
        <v>2</v>
      </c>
      <c r="AA501">
        <v>5</v>
      </c>
      <c r="AB501">
        <v>1</v>
      </c>
      <c r="AC501">
        <v>2</v>
      </c>
      <c r="AD501">
        <v>5</v>
      </c>
      <c r="AE501">
        <v>0</v>
      </c>
      <c r="AF501">
        <v>17</v>
      </c>
      <c r="AG501">
        <v>16</v>
      </c>
      <c r="AH501">
        <v>16</v>
      </c>
    </row>
    <row r="502" spans="1:34" x14ac:dyDescent="0.2">
      <c r="A502" t="s">
        <v>54</v>
      </c>
      <c r="B502" t="s">
        <v>51</v>
      </c>
      <c r="C502">
        <v>17</v>
      </c>
      <c r="D502" t="s">
        <v>36</v>
      </c>
      <c r="E502" t="s">
        <v>37</v>
      </c>
      <c r="F502" t="s">
        <v>45</v>
      </c>
      <c r="G502">
        <v>1</v>
      </c>
      <c r="H502">
        <v>2</v>
      </c>
      <c r="I502" t="s">
        <v>46</v>
      </c>
      <c r="J502" t="s">
        <v>46</v>
      </c>
      <c r="K502" t="s">
        <v>41</v>
      </c>
      <c r="L502" t="s">
        <v>47</v>
      </c>
      <c r="M502">
        <v>1</v>
      </c>
      <c r="N502">
        <v>1</v>
      </c>
      <c r="O502">
        <v>1</v>
      </c>
      <c r="P502" t="s">
        <v>44</v>
      </c>
      <c r="Q502" t="s">
        <v>43</v>
      </c>
      <c r="R502" t="s">
        <v>44</v>
      </c>
      <c r="S502">
        <f t="shared" si="7"/>
        <v>0</v>
      </c>
      <c r="T502" t="s">
        <v>43</v>
      </c>
      <c r="U502" t="s">
        <v>43</v>
      </c>
      <c r="V502" t="s">
        <v>44</v>
      </c>
      <c r="W502" t="s">
        <v>43</v>
      </c>
      <c r="X502" t="s">
        <v>43</v>
      </c>
      <c r="Y502">
        <v>5</v>
      </c>
      <c r="Z502">
        <v>3</v>
      </c>
      <c r="AA502">
        <v>5</v>
      </c>
      <c r="AB502">
        <v>5</v>
      </c>
      <c r="AC502">
        <v>5</v>
      </c>
      <c r="AD502">
        <v>1</v>
      </c>
      <c r="AE502">
        <v>12</v>
      </c>
      <c r="AF502">
        <v>6</v>
      </c>
      <c r="AG502">
        <v>7</v>
      </c>
      <c r="AH502">
        <v>7</v>
      </c>
    </row>
    <row r="503" spans="1:34" x14ac:dyDescent="0.2">
      <c r="A503" t="s">
        <v>54</v>
      </c>
      <c r="B503" t="s">
        <v>51</v>
      </c>
      <c r="C503">
        <v>16</v>
      </c>
      <c r="D503" t="s">
        <v>36</v>
      </c>
      <c r="E503" t="s">
        <v>48</v>
      </c>
      <c r="F503" t="s">
        <v>45</v>
      </c>
      <c r="G503">
        <v>4</v>
      </c>
      <c r="H503">
        <v>3</v>
      </c>
      <c r="I503" t="s">
        <v>46</v>
      </c>
      <c r="J503" t="s">
        <v>46</v>
      </c>
      <c r="K503" t="s">
        <v>41</v>
      </c>
      <c r="L503" t="s">
        <v>47</v>
      </c>
      <c r="M503">
        <v>1</v>
      </c>
      <c r="N503">
        <v>1</v>
      </c>
      <c r="O503">
        <v>0</v>
      </c>
      <c r="P503" t="s">
        <v>44</v>
      </c>
      <c r="Q503" t="s">
        <v>44</v>
      </c>
      <c r="R503" t="s">
        <v>44</v>
      </c>
      <c r="S503">
        <f t="shared" si="7"/>
        <v>0</v>
      </c>
      <c r="T503" t="s">
        <v>43</v>
      </c>
      <c r="U503" t="s">
        <v>43</v>
      </c>
      <c r="V503" t="s">
        <v>43</v>
      </c>
      <c r="W503" t="s">
        <v>43</v>
      </c>
      <c r="X503" t="s">
        <v>44</v>
      </c>
      <c r="Y503">
        <v>4</v>
      </c>
      <c r="Z503">
        <v>2</v>
      </c>
      <c r="AA503">
        <v>5</v>
      </c>
      <c r="AB503">
        <v>1</v>
      </c>
      <c r="AC503">
        <v>5</v>
      </c>
      <c r="AD503">
        <v>5</v>
      </c>
      <c r="AE503">
        <v>8</v>
      </c>
      <c r="AF503">
        <v>14</v>
      </c>
      <c r="AG503">
        <v>12</v>
      </c>
      <c r="AH503">
        <v>13</v>
      </c>
    </row>
    <row r="504" spans="1:34" x14ac:dyDescent="0.2">
      <c r="A504" t="s">
        <v>54</v>
      </c>
      <c r="B504" t="s">
        <v>51</v>
      </c>
      <c r="C504">
        <v>17</v>
      </c>
      <c r="D504" t="s">
        <v>53</v>
      </c>
      <c r="E504" t="s">
        <v>48</v>
      </c>
      <c r="F504" t="s">
        <v>45</v>
      </c>
      <c r="G504">
        <v>2</v>
      </c>
      <c r="H504">
        <v>2</v>
      </c>
      <c r="I504" t="s">
        <v>49</v>
      </c>
      <c r="J504" t="s">
        <v>49</v>
      </c>
      <c r="K504" t="s">
        <v>46</v>
      </c>
      <c r="L504" t="s">
        <v>42</v>
      </c>
      <c r="M504">
        <v>3</v>
      </c>
      <c r="N504">
        <v>4</v>
      </c>
      <c r="O504">
        <v>1</v>
      </c>
      <c r="P504" t="s">
        <v>44</v>
      </c>
      <c r="Q504" t="s">
        <v>43</v>
      </c>
      <c r="R504" t="s">
        <v>44</v>
      </c>
      <c r="S504">
        <f t="shared" si="7"/>
        <v>0</v>
      </c>
      <c r="T504" t="s">
        <v>44</v>
      </c>
      <c r="U504" t="s">
        <v>43</v>
      </c>
      <c r="V504" t="s">
        <v>43</v>
      </c>
      <c r="W504" t="s">
        <v>44</v>
      </c>
      <c r="X504" t="s">
        <v>44</v>
      </c>
      <c r="Y504">
        <v>1</v>
      </c>
      <c r="Z504">
        <v>3</v>
      </c>
      <c r="AA504">
        <v>5</v>
      </c>
      <c r="AB504">
        <v>3</v>
      </c>
      <c r="AC504">
        <v>5</v>
      </c>
      <c r="AD504">
        <v>3</v>
      </c>
      <c r="AE504">
        <v>2</v>
      </c>
      <c r="AF504">
        <v>10</v>
      </c>
      <c r="AG504">
        <v>8</v>
      </c>
      <c r="AH504">
        <v>9</v>
      </c>
    </row>
    <row r="505" spans="1:34" x14ac:dyDescent="0.2">
      <c r="A505" t="s">
        <v>54</v>
      </c>
      <c r="B505" t="s">
        <v>35</v>
      </c>
      <c r="C505">
        <v>16</v>
      </c>
      <c r="D505" t="s">
        <v>36</v>
      </c>
      <c r="E505" t="s">
        <v>37</v>
      </c>
      <c r="F505" t="s">
        <v>45</v>
      </c>
      <c r="G505">
        <v>1</v>
      </c>
      <c r="H505">
        <v>1</v>
      </c>
      <c r="I505" t="s">
        <v>46</v>
      </c>
      <c r="J505" t="s">
        <v>46</v>
      </c>
      <c r="K505" t="s">
        <v>41</v>
      </c>
      <c r="L505" t="s">
        <v>46</v>
      </c>
      <c r="M505">
        <v>1</v>
      </c>
      <c r="N505">
        <v>4</v>
      </c>
      <c r="O505">
        <v>0</v>
      </c>
      <c r="P505" t="s">
        <v>43</v>
      </c>
      <c r="Q505" t="s">
        <v>43</v>
      </c>
      <c r="R505" t="s">
        <v>44</v>
      </c>
      <c r="S505">
        <f t="shared" si="7"/>
        <v>0</v>
      </c>
      <c r="T505" t="s">
        <v>43</v>
      </c>
      <c r="U505" t="s">
        <v>43</v>
      </c>
      <c r="V505" t="s">
        <v>43</v>
      </c>
      <c r="W505" t="s">
        <v>43</v>
      </c>
      <c r="X505" t="s">
        <v>44</v>
      </c>
      <c r="Y505">
        <v>2</v>
      </c>
      <c r="Z505">
        <v>2</v>
      </c>
      <c r="AA505">
        <v>1</v>
      </c>
      <c r="AB505">
        <v>1</v>
      </c>
      <c r="AC505">
        <v>1</v>
      </c>
      <c r="AD505">
        <v>5</v>
      </c>
      <c r="AE505">
        <v>0</v>
      </c>
      <c r="AF505">
        <v>14</v>
      </c>
      <c r="AG505">
        <v>14</v>
      </c>
      <c r="AH505">
        <v>14</v>
      </c>
    </row>
    <row r="506" spans="1:34" x14ac:dyDescent="0.2">
      <c r="A506" t="s">
        <v>54</v>
      </c>
      <c r="B506" t="s">
        <v>35</v>
      </c>
      <c r="C506">
        <v>19</v>
      </c>
      <c r="D506" t="s">
        <v>36</v>
      </c>
      <c r="E506" t="s">
        <v>48</v>
      </c>
      <c r="F506" t="s">
        <v>45</v>
      </c>
      <c r="G506">
        <v>2</v>
      </c>
      <c r="H506">
        <v>2</v>
      </c>
      <c r="I506" t="s">
        <v>46</v>
      </c>
      <c r="J506" t="s">
        <v>46</v>
      </c>
      <c r="K506" t="s">
        <v>50</v>
      </c>
      <c r="L506" t="s">
        <v>42</v>
      </c>
      <c r="M506">
        <v>1</v>
      </c>
      <c r="N506">
        <v>3</v>
      </c>
      <c r="O506">
        <v>0</v>
      </c>
      <c r="P506" t="s">
        <v>44</v>
      </c>
      <c r="Q506" t="s">
        <v>44</v>
      </c>
      <c r="R506" t="s">
        <v>44</v>
      </c>
      <c r="S506">
        <f t="shared" si="7"/>
        <v>0</v>
      </c>
      <c r="T506" t="s">
        <v>44</v>
      </c>
      <c r="U506" t="s">
        <v>43</v>
      </c>
      <c r="V506" t="s">
        <v>43</v>
      </c>
      <c r="W506" t="s">
        <v>43</v>
      </c>
      <c r="X506" t="s">
        <v>43</v>
      </c>
      <c r="Y506">
        <v>5</v>
      </c>
      <c r="Z506">
        <v>4</v>
      </c>
      <c r="AA506">
        <v>5</v>
      </c>
      <c r="AB506">
        <v>1</v>
      </c>
      <c r="AC506">
        <v>1</v>
      </c>
      <c r="AD506">
        <v>1</v>
      </c>
      <c r="AE506">
        <v>0</v>
      </c>
      <c r="AF506">
        <v>12</v>
      </c>
      <c r="AG506">
        <v>13</v>
      </c>
      <c r="AH506">
        <v>13</v>
      </c>
    </row>
    <row r="507" spans="1:34" x14ac:dyDescent="0.2">
      <c r="A507" t="s">
        <v>54</v>
      </c>
      <c r="B507" t="s">
        <v>35</v>
      </c>
      <c r="C507">
        <v>17</v>
      </c>
      <c r="D507" t="s">
        <v>53</v>
      </c>
      <c r="E507" t="s">
        <v>37</v>
      </c>
      <c r="F507" t="s">
        <v>45</v>
      </c>
      <c r="G507">
        <v>1</v>
      </c>
      <c r="H507">
        <v>1</v>
      </c>
      <c r="I507" t="s">
        <v>39</v>
      </c>
      <c r="J507" t="s">
        <v>46</v>
      </c>
      <c r="K507" t="s">
        <v>52</v>
      </c>
      <c r="L507" t="s">
        <v>42</v>
      </c>
      <c r="M507">
        <v>2</v>
      </c>
      <c r="N507">
        <v>1</v>
      </c>
      <c r="O507">
        <v>0</v>
      </c>
      <c r="P507" t="s">
        <v>44</v>
      </c>
      <c r="Q507" t="s">
        <v>43</v>
      </c>
      <c r="R507" t="s">
        <v>44</v>
      </c>
      <c r="S507">
        <f t="shared" si="7"/>
        <v>0</v>
      </c>
      <c r="T507" t="s">
        <v>43</v>
      </c>
      <c r="U507" t="s">
        <v>44</v>
      </c>
      <c r="V507" t="s">
        <v>43</v>
      </c>
      <c r="W507" t="s">
        <v>43</v>
      </c>
      <c r="X507" t="s">
        <v>43</v>
      </c>
      <c r="Y507">
        <v>4</v>
      </c>
      <c r="Z507">
        <v>4</v>
      </c>
      <c r="AA507">
        <v>5</v>
      </c>
      <c r="AB507">
        <v>1</v>
      </c>
      <c r="AC507">
        <v>2</v>
      </c>
      <c r="AD507">
        <v>5</v>
      </c>
      <c r="AE507">
        <v>0</v>
      </c>
      <c r="AF507">
        <v>11</v>
      </c>
      <c r="AG507">
        <v>11</v>
      </c>
      <c r="AH507">
        <v>11</v>
      </c>
    </row>
    <row r="508" spans="1:34" x14ac:dyDescent="0.2">
      <c r="A508" t="s">
        <v>54</v>
      </c>
      <c r="B508" t="s">
        <v>35</v>
      </c>
      <c r="C508">
        <v>20</v>
      </c>
      <c r="D508" t="s">
        <v>36</v>
      </c>
      <c r="E508" t="s">
        <v>37</v>
      </c>
      <c r="F508" t="s">
        <v>45</v>
      </c>
      <c r="G508">
        <v>3</v>
      </c>
      <c r="H508">
        <v>3</v>
      </c>
      <c r="I508" t="s">
        <v>39</v>
      </c>
      <c r="J508" t="s">
        <v>49</v>
      </c>
      <c r="K508" t="s">
        <v>46</v>
      </c>
      <c r="L508" t="s">
        <v>42</v>
      </c>
      <c r="M508">
        <v>2</v>
      </c>
      <c r="N508">
        <v>2</v>
      </c>
      <c r="O508">
        <v>1</v>
      </c>
      <c r="P508" t="s">
        <v>44</v>
      </c>
      <c r="Q508" t="s">
        <v>44</v>
      </c>
      <c r="R508" t="s">
        <v>44</v>
      </c>
      <c r="S508">
        <f t="shared" si="7"/>
        <v>0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>
        <v>3</v>
      </c>
      <c r="Z508">
        <v>3</v>
      </c>
      <c r="AA508">
        <v>4</v>
      </c>
      <c r="AB508">
        <v>2</v>
      </c>
      <c r="AC508">
        <v>4</v>
      </c>
      <c r="AD508">
        <v>3</v>
      </c>
      <c r="AE508">
        <v>8</v>
      </c>
      <c r="AF508">
        <v>11</v>
      </c>
      <c r="AG508">
        <v>9</v>
      </c>
      <c r="AH508">
        <v>10</v>
      </c>
    </row>
    <row r="509" spans="1:34" x14ac:dyDescent="0.2">
      <c r="A509" t="s">
        <v>54</v>
      </c>
      <c r="B509" t="s">
        <v>35</v>
      </c>
      <c r="C509">
        <v>17</v>
      </c>
      <c r="D509" t="s">
        <v>36</v>
      </c>
      <c r="E509" t="s">
        <v>48</v>
      </c>
      <c r="F509" t="s">
        <v>45</v>
      </c>
      <c r="G509">
        <v>1</v>
      </c>
      <c r="H509">
        <v>1</v>
      </c>
      <c r="I509" t="s">
        <v>46</v>
      </c>
      <c r="J509" t="s">
        <v>49</v>
      </c>
      <c r="K509" t="s">
        <v>41</v>
      </c>
      <c r="L509" t="s">
        <v>47</v>
      </c>
      <c r="M509">
        <v>1</v>
      </c>
      <c r="N509">
        <v>3</v>
      </c>
      <c r="O509">
        <v>0</v>
      </c>
      <c r="P509" t="s">
        <v>44</v>
      </c>
      <c r="Q509" t="s">
        <v>43</v>
      </c>
      <c r="R509" t="s">
        <v>44</v>
      </c>
      <c r="S509">
        <f t="shared" si="7"/>
        <v>0</v>
      </c>
      <c r="T509" t="s">
        <v>44</v>
      </c>
      <c r="U509" t="s">
        <v>43</v>
      </c>
      <c r="V509" t="s">
        <v>43</v>
      </c>
      <c r="W509" t="s">
        <v>44</v>
      </c>
      <c r="X509" t="s">
        <v>43</v>
      </c>
      <c r="Y509">
        <v>4</v>
      </c>
      <c r="Z509">
        <v>3</v>
      </c>
      <c r="AA509">
        <v>3</v>
      </c>
      <c r="AB509">
        <v>1</v>
      </c>
      <c r="AC509">
        <v>1</v>
      </c>
      <c r="AD509">
        <v>3</v>
      </c>
      <c r="AE509">
        <v>0</v>
      </c>
      <c r="AF509">
        <v>11</v>
      </c>
      <c r="AG509">
        <v>11</v>
      </c>
      <c r="AH509">
        <v>10</v>
      </c>
    </row>
    <row r="510" spans="1:34" x14ac:dyDescent="0.2">
      <c r="A510" t="s">
        <v>54</v>
      </c>
      <c r="B510" t="s">
        <v>51</v>
      </c>
      <c r="C510">
        <v>17</v>
      </c>
      <c r="D510" t="s">
        <v>53</v>
      </c>
      <c r="E510" t="s">
        <v>37</v>
      </c>
      <c r="F510" t="s">
        <v>45</v>
      </c>
      <c r="G510">
        <v>2</v>
      </c>
      <c r="H510">
        <v>2</v>
      </c>
      <c r="I510" t="s">
        <v>46</v>
      </c>
      <c r="J510" t="s">
        <v>46</v>
      </c>
      <c r="K510" t="s">
        <v>41</v>
      </c>
      <c r="L510" t="s">
        <v>42</v>
      </c>
      <c r="M510">
        <v>3</v>
      </c>
      <c r="N510">
        <v>1</v>
      </c>
      <c r="O510">
        <v>1</v>
      </c>
      <c r="P510" t="s">
        <v>44</v>
      </c>
      <c r="Q510" t="s">
        <v>43</v>
      </c>
      <c r="R510" t="s">
        <v>44</v>
      </c>
      <c r="S510">
        <f t="shared" si="7"/>
        <v>0</v>
      </c>
      <c r="T510" t="s">
        <v>44</v>
      </c>
      <c r="U510" t="s">
        <v>44</v>
      </c>
      <c r="V510" t="s">
        <v>43</v>
      </c>
      <c r="W510" t="s">
        <v>43</v>
      </c>
      <c r="X510" t="s">
        <v>44</v>
      </c>
      <c r="Y510">
        <v>4</v>
      </c>
      <c r="Z510">
        <v>4</v>
      </c>
      <c r="AA510">
        <v>5</v>
      </c>
      <c r="AB510">
        <v>1</v>
      </c>
      <c r="AC510">
        <v>2</v>
      </c>
      <c r="AD510">
        <v>5</v>
      </c>
      <c r="AE510">
        <v>0</v>
      </c>
      <c r="AF510">
        <v>10</v>
      </c>
      <c r="AG510">
        <v>9</v>
      </c>
      <c r="AH510">
        <v>9</v>
      </c>
    </row>
    <row r="511" spans="1:34" x14ac:dyDescent="0.2">
      <c r="A511" t="s">
        <v>54</v>
      </c>
      <c r="B511" t="s">
        <v>35</v>
      </c>
      <c r="C511">
        <v>16</v>
      </c>
      <c r="D511" t="s">
        <v>53</v>
      </c>
      <c r="E511" t="s">
        <v>48</v>
      </c>
      <c r="F511" t="s">
        <v>45</v>
      </c>
      <c r="G511">
        <v>1</v>
      </c>
      <c r="H511">
        <v>1</v>
      </c>
      <c r="I511" t="s">
        <v>39</v>
      </c>
      <c r="J511" t="s">
        <v>46</v>
      </c>
      <c r="K511" t="s">
        <v>41</v>
      </c>
      <c r="L511" t="s">
        <v>47</v>
      </c>
      <c r="M511">
        <v>3</v>
      </c>
      <c r="N511">
        <v>2</v>
      </c>
      <c r="O511">
        <v>0</v>
      </c>
      <c r="P511" t="s">
        <v>44</v>
      </c>
      <c r="Q511" t="s">
        <v>43</v>
      </c>
      <c r="R511" t="s">
        <v>44</v>
      </c>
      <c r="S511">
        <f t="shared" si="7"/>
        <v>0</v>
      </c>
      <c r="T511" t="s">
        <v>44</v>
      </c>
      <c r="U511" t="s">
        <v>43</v>
      </c>
      <c r="V511" t="s">
        <v>43</v>
      </c>
      <c r="W511" t="s">
        <v>44</v>
      </c>
      <c r="X511" t="s">
        <v>44</v>
      </c>
      <c r="Y511">
        <v>5</v>
      </c>
      <c r="Z511">
        <v>3</v>
      </c>
      <c r="AA511">
        <v>2</v>
      </c>
      <c r="AB511">
        <v>1</v>
      </c>
      <c r="AC511">
        <v>1</v>
      </c>
      <c r="AD511">
        <v>1</v>
      </c>
      <c r="AE511">
        <v>0</v>
      </c>
      <c r="AF511">
        <v>16</v>
      </c>
      <c r="AG511">
        <v>17</v>
      </c>
      <c r="AH511">
        <v>18</v>
      </c>
    </row>
    <row r="512" spans="1:34" x14ac:dyDescent="0.2">
      <c r="A512" t="s">
        <v>54</v>
      </c>
      <c r="B512" t="s">
        <v>35</v>
      </c>
      <c r="C512">
        <v>17</v>
      </c>
      <c r="D512" t="s">
        <v>53</v>
      </c>
      <c r="E512" t="s">
        <v>37</v>
      </c>
      <c r="F512" t="s">
        <v>45</v>
      </c>
      <c r="G512">
        <v>2</v>
      </c>
      <c r="H512">
        <v>2</v>
      </c>
      <c r="I512" t="s">
        <v>46</v>
      </c>
      <c r="J512" t="s">
        <v>46</v>
      </c>
      <c r="K512" t="s">
        <v>52</v>
      </c>
      <c r="L512" t="s">
        <v>42</v>
      </c>
      <c r="M512">
        <v>2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>
        <f t="shared" si="7"/>
        <v>0</v>
      </c>
      <c r="T512" t="s">
        <v>43</v>
      </c>
      <c r="U512" t="s">
        <v>43</v>
      </c>
      <c r="V512" t="s">
        <v>43</v>
      </c>
      <c r="W512" t="s">
        <v>44</v>
      </c>
      <c r="X512" t="s">
        <v>44</v>
      </c>
      <c r="Y512">
        <v>5</v>
      </c>
      <c r="Z512">
        <v>3</v>
      </c>
      <c r="AA512">
        <v>2</v>
      </c>
      <c r="AB512">
        <v>1</v>
      </c>
      <c r="AC512">
        <v>1</v>
      </c>
      <c r="AD512">
        <v>1</v>
      </c>
      <c r="AE512">
        <v>0</v>
      </c>
      <c r="AF512">
        <v>15</v>
      </c>
      <c r="AG512">
        <v>17</v>
      </c>
      <c r="AH512">
        <v>17</v>
      </c>
    </row>
    <row r="513" spans="1:34" x14ac:dyDescent="0.2">
      <c r="A513" t="s">
        <v>54</v>
      </c>
      <c r="B513" t="s">
        <v>35</v>
      </c>
      <c r="C513">
        <v>17</v>
      </c>
      <c r="D513" t="s">
        <v>36</v>
      </c>
      <c r="E513" t="s">
        <v>37</v>
      </c>
      <c r="F513" t="s">
        <v>38</v>
      </c>
      <c r="G513">
        <v>1</v>
      </c>
      <c r="H513">
        <v>0</v>
      </c>
      <c r="I513" t="s">
        <v>46</v>
      </c>
      <c r="J513" t="s">
        <v>46</v>
      </c>
      <c r="K513" t="s">
        <v>46</v>
      </c>
      <c r="L513" t="s">
        <v>42</v>
      </c>
      <c r="M513">
        <v>2</v>
      </c>
      <c r="N513">
        <v>2</v>
      </c>
      <c r="O513">
        <v>0</v>
      </c>
      <c r="P513" t="s">
        <v>44</v>
      </c>
      <c r="Q513" t="s">
        <v>44</v>
      </c>
      <c r="R513" t="s">
        <v>44</v>
      </c>
      <c r="S513">
        <f t="shared" si="7"/>
        <v>0</v>
      </c>
      <c r="T513" t="s">
        <v>44</v>
      </c>
      <c r="U513" t="s">
        <v>43</v>
      </c>
      <c r="V513" t="s">
        <v>43</v>
      </c>
      <c r="W513" t="s">
        <v>43</v>
      </c>
      <c r="X513" t="s">
        <v>43</v>
      </c>
      <c r="Y513">
        <v>4</v>
      </c>
      <c r="Z513">
        <v>4</v>
      </c>
      <c r="AA513">
        <v>5</v>
      </c>
      <c r="AB513">
        <v>1</v>
      </c>
      <c r="AC513">
        <v>1</v>
      </c>
      <c r="AD513">
        <v>4</v>
      </c>
      <c r="AE513">
        <v>1</v>
      </c>
      <c r="AF513">
        <v>11</v>
      </c>
      <c r="AG513">
        <v>9</v>
      </c>
      <c r="AH513">
        <v>10</v>
      </c>
    </row>
    <row r="514" spans="1:34" x14ac:dyDescent="0.2">
      <c r="A514" t="s">
        <v>54</v>
      </c>
      <c r="B514" t="s">
        <v>35</v>
      </c>
      <c r="C514">
        <v>18</v>
      </c>
      <c r="D514" t="s">
        <v>53</v>
      </c>
      <c r="E514" t="s">
        <v>37</v>
      </c>
      <c r="F514" t="s">
        <v>45</v>
      </c>
      <c r="G514">
        <v>1</v>
      </c>
      <c r="H514">
        <v>1</v>
      </c>
      <c r="I514" t="s">
        <v>39</v>
      </c>
      <c r="J514" t="s">
        <v>46</v>
      </c>
      <c r="K514" t="s">
        <v>46</v>
      </c>
      <c r="L514" t="s">
        <v>42</v>
      </c>
      <c r="M514">
        <v>1</v>
      </c>
      <c r="N514">
        <v>2</v>
      </c>
      <c r="O514">
        <v>1</v>
      </c>
      <c r="P514" t="s">
        <v>44</v>
      </c>
      <c r="Q514" t="s">
        <v>43</v>
      </c>
      <c r="R514" t="s">
        <v>44</v>
      </c>
      <c r="S514">
        <f t="shared" si="7"/>
        <v>0</v>
      </c>
      <c r="T514" t="s">
        <v>44</v>
      </c>
      <c r="U514" t="s">
        <v>43</v>
      </c>
      <c r="V514" t="s">
        <v>43</v>
      </c>
      <c r="W514" t="s">
        <v>43</v>
      </c>
      <c r="X514" t="s">
        <v>43</v>
      </c>
      <c r="Y514">
        <v>4</v>
      </c>
      <c r="Z514">
        <v>3</v>
      </c>
      <c r="AA514">
        <v>2</v>
      </c>
      <c r="AB514">
        <v>1</v>
      </c>
      <c r="AC514">
        <v>1</v>
      </c>
      <c r="AD514">
        <v>5</v>
      </c>
      <c r="AE514">
        <v>9</v>
      </c>
      <c r="AF514">
        <v>7</v>
      </c>
      <c r="AG514">
        <v>7</v>
      </c>
      <c r="AH514">
        <v>7</v>
      </c>
    </row>
    <row r="515" spans="1:34" x14ac:dyDescent="0.2">
      <c r="A515" t="s">
        <v>54</v>
      </c>
      <c r="B515" t="s">
        <v>35</v>
      </c>
      <c r="C515">
        <v>16</v>
      </c>
      <c r="D515" t="s">
        <v>36</v>
      </c>
      <c r="E515" t="s">
        <v>37</v>
      </c>
      <c r="F515" t="s">
        <v>45</v>
      </c>
      <c r="G515">
        <v>3</v>
      </c>
      <c r="H515">
        <v>1</v>
      </c>
      <c r="I515" t="s">
        <v>46</v>
      </c>
      <c r="J515" t="s">
        <v>46</v>
      </c>
      <c r="K515" t="s">
        <v>41</v>
      </c>
      <c r="L515" t="s">
        <v>42</v>
      </c>
      <c r="M515">
        <v>1</v>
      </c>
      <c r="N515">
        <v>1</v>
      </c>
      <c r="O515">
        <v>0</v>
      </c>
      <c r="P515" t="s">
        <v>44</v>
      </c>
      <c r="Q515" t="s">
        <v>44</v>
      </c>
      <c r="R515" t="s">
        <v>44</v>
      </c>
      <c r="S515">
        <f t="shared" ref="S515:S578" si="8">IF(R515="yes",1,0)</f>
        <v>0</v>
      </c>
      <c r="T515" t="s">
        <v>43</v>
      </c>
      <c r="U515" t="s">
        <v>43</v>
      </c>
      <c r="V515" t="s">
        <v>43</v>
      </c>
      <c r="W515" t="s">
        <v>43</v>
      </c>
      <c r="X515" t="s">
        <v>44</v>
      </c>
      <c r="Y515">
        <v>3</v>
      </c>
      <c r="Z515">
        <v>1</v>
      </c>
      <c r="AA515">
        <v>3</v>
      </c>
      <c r="AB515">
        <v>1</v>
      </c>
      <c r="AC515">
        <v>3</v>
      </c>
      <c r="AD515">
        <v>1</v>
      </c>
      <c r="AE515">
        <v>0</v>
      </c>
      <c r="AF515">
        <v>8</v>
      </c>
      <c r="AG515">
        <v>6</v>
      </c>
      <c r="AH515">
        <v>8</v>
      </c>
    </row>
    <row r="516" spans="1:34" x14ac:dyDescent="0.2">
      <c r="A516" t="s">
        <v>54</v>
      </c>
      <c r="B516" t="s">
        <v>35</v>
      </c>
      <c r="C516">
        <v>16</v>
      </c>
      <c r="D516" t="s">
        <v>36</v>
      </c>
      <c r="E516" t="s">
        <v>37</v>
      </c>
      <c r="F516" t="s">
        <v>45</v>
      </c>
      <c r="G516">
        <v>3</v>
      </c>
      <c r="H516">
        <v>2</v>
      </c>
      <c r="I516" t="s">
        <v>49</v>
      </c>
      <c r="J516" t="s">
        <v>39</v>
      </c>
      <c r="K516" t="s">
        <v>41</v>
      </c>
      <c r="L516" t="s">
        <v>42</v>
      </c>
      <c r="M516">
        <v>1</v>
      </c>
      <c r="N516">
        <v>1</v>
      </c>
      <c r="O516">
        <v>0</v>
      </c>
      <c r="P516" t="s">
        <v>44</v>
      </c>
      <c r="Q516" t="s">
        <v>44</v>
      </c>
      <c r="R516" t="s">
        <v>44</v>
      </c>
      <c r="S516">
        <f t="shared" si="8"/>
        <v>0</v>
      </c>
      <c r="T516" t="s">
        <v>44</v>
      </c>
      <c r="U516" t="s">
        <v>43</v>
      </c>
      <c r="V516" t="s">
        <v>43</v>
      </c>
      <c r="W516" t="s">
        <v>43</v>
      </c>
      <c r="X516" t="s">
        <v>44</v>
      </c>
      <c r="Y516">
        <v>3</v>
      </c>
      <c r="Z516">
        <v>1</v>
      </c>
      <c r="AA516">
        <v>3</v>
      </c>
      <c r="AB516">
        <v>1</v>
      </c>
      <c r="AC516">
        <v>4</v>
      </c>
      <c r="AD516">
        <v>3</v>
      </c>
      <c r="AE516">
        <v>2</v>
      </c>
      <c r="AF516">
        <v>7</v>
      </c>
      <c r="AG516">
        <v>6</v>
      </c>
      <c r="AH516">
        <v>7</v>
      </c>
    </row>
    <row r="517" spans="1:34" x14ac:dyDescent="0.2">
      <c r="A517" t="s">
        <v>54</v>
      </c>
      <c r="B517" t="s">
        <v>35</v>
      </c>
      <c r="C517">
        <v>18</v>
      </c>
      <c r="D517" t="s">
        <v>36</v>
      </c>
      <c r="E517" t="s">
        <v>48</v>
      </c>
      <c r="F517" t="s">
        <v>45</v>
      </c>
      <c r="G517">
        <v>1</v>
      </c>
      <c r="H517">
        <v>1</v>
      </c>
      <c r="I517" t="s">
        <v>46</v>
      </c>
      <c r="J517" t="s">
        <v>39</v>
      </c>
      <c r="K517" t="s">
        <v>52</v>
      </c>
      <c r="L517" t="s">
        <v>42</v>
      </c>
      <c r="M517">
        <v>2</v>
      </c>
      <c r="N517">
        <v>2</v>
      </c>
      <c r="O517">
        <v>0</v>
      </c>
      <c r="P517" t="s">
        <v>43</v>
      </c>
      <c r="Q517" t="s">
        <v>44</v>
      </c>
      <c r="R517" t="s">
        <v>44</v>
      </c>
      <c r="S517">
        <f t="shared" si="8"/>
        <v>0</v>
      </c>
      <c r="T517" t="s">
        <v>44</v>
      </c>
      <c r="U517" t="s">
        <v>43</v>
      </c>
      <c r="V517" t="s">
        <v>43</v>
      </c>
      <c r="W517" t="s">
        <v>44</v>
      </c>
      <c r="X517" t="s">
        <v>44</v>
      </c>
      <c r="Y517">
        <v>2</v>
      </c>
      <c r="Z517">
        <v>3</v>
      </c>
      <c r="AA517">
        <v>5</v>
      </c>
      <c r="AB517">
        <v>1</v>
      </c>
      <c r="AC517">
        <v>4</v>
      </c>
      <c r="AD517">
        <v>3</v>
      </c>
      <c r="AE517">
        <v>8</v>
      </c>
      <c r="AF517">
        <v>9</v>
      </c>
      <c r="AG517">
        <v>8</v>
      </c>
      <c r="AH517">
        <v>10</v>
      </c>
    </row>
    <row r="518" spans="1:34" x14ac:dyDescent="0.2">
      <c r="A518" t="s">
        <v>54</v>
      </c>
      <c r="B518" t="s">
        <v>35</v>
      </c>
      <c r="C518">
        <v>16</v>
      </c>
      <c r="D518" t="s">
        <v>53</v>
      </c>
      <c r="E518" t="s">
        <v>37</v>
      </c>
      <c r="F518" t="s">
        <v>45</v>
      </c>
      <c r="G518">
        <v>4</v>
      </c>
      <c r="H518">
        <v>4</v>
      </c>
      <c r="I518" t="s">
        <v>29</v>
      </c>
      <c r="J518" t="s">
        <v>40</v>
      </c>
      <c r="K518" t="s">
        <v>52</v>
      </c>
      <c r="L518" t="s">
        <v>47</v>
      </c>
      <c r="M518">
        <v>1</v>
      </c>
      <c r="N518">
        <v>2</v>
      </c>
      <c r="O518">
        <v>0</v>
      </c>
      <c r="P518" t="s">
        <v>44</v>
      </c>
      <c r="Q518" t="s">
        <v>44</v>
      </c>
      <c r="R518" t="s">
        <v>44</v>
      </c>
      <c r="S518">
        <f t="shared" si="8"/>
        <v>0</v>
      </c>
      <c r="T518" t="s">
        <v>43</v>
      </c>
      <c r="U518" t="s">
        <v>44</v>
      </c>
      <c r="V518" t="s">
        <v>43</v>
      </c>
      <c r="W518" t="s">
        <v>43</v>
      </c>
      <c r="X518" t="s">
        <v>43</v>
      </c>
      <c r="Y518">
        <v>4</v>
      </c>
      <c r="Z518">
        <v>3</v>
      </c>
      <c r="AA518">
        <v>3</v>
      </c>
      <c r="AB518">
        <v>2</v>
      </c>
      <c r="AC518">
        <v>3</v>
      </c>
      <c r="AD518">
        <v>2</v>
      </c>
      <c r="AE518">
        <v>0</v>
      </c>
      <c r="AF518">
        <v>14</v>
      </c>
      <c r="AG518">
        <v>16</v>
      </c>
      <c r="AH518">
        <v>16</v>
      </c>
    </row>
    <row r="519" spans="1:34" x14ac:dyDescent="0.2">
      <c r="A519" t="s">
        <v>54</v>
      </c>
      <c r="B519" t="s">
        <v>35</v>
      </c>
      <c r="C519">
        <v>16</v>
      </c>
      <c r="D519" t="s">
        <v>53</v>
      </c>
      <c r="E519" t="s">
        <v>48</v>
      </c>
      <c r="F519" t="s">
        <v>45</v>
      </c>
      <c r="G519">
        <v>1</v>
      </c>
      <c r="H519">
        <v>2</v>
      </c>
      <c r="I519" t="s">
        <v>46</v>
      </c>
      <c r="J519" t="s">
        <v>46</v>
      </c>
      <c r="K519" t="s">
        <v>52</v>
      </c>
      <c r="L519" t="s">
        <v>42</v>
      </c>
      <c r="M519">
        <v>2</v>
      </c>
      <c r="N519">
        <v>1</v>
      </c>
      <c r="O519">
        <v>0</v>
      </c>
      <c r="P519" t="s">
        <v>44</v>
      </c>
      <c r="Q519" t="s">
        <v>44</v>
      </c>
      <c r="R519" t="s">
        <v>44</v>
      </c>
      <c r="S519">
        <f t="shared" si="8"/>
        <v>0</v>
      </c>
      <c r="T519" t="s">
        <v>43</v>
      </c>
      <c r="U519" t="s">
        <v>43</v>
      </c>
      <c r="V519" t="s">
        <v>43</v>
      </c>
      <c r="W519" t="s">
        <v>43</v>
      </c>
      <c r="X519" t="s">
        <v>44</v>
      </c>
      <c r="Y519">
        <v>5</v>
      </c>
      <c r="Z519">
        <v>4</v>
      </c>
      <c r="AA519">
        <v>5</v>
      </c>
      <c r="AB519">
        <v>1</v>
      </c>
      <c r="AC519">
        <v>4</v>
      </c>
      <c r="AD519">
        <v>2</v>
      </c>
      <c r="AE519">
        <v>0</v>
      </c>
      <c r="AF519">
        <v>14</v>
      </c>
      <c r="AG519">
        <v>14</v>
      </c>
      <c r="AH519">
        <v>15</v>
      </c>
    </row>
    <row r="520" spans="1:34" x14ac:dyDescent="0.2">
      <c r="A520" t="s">
        <v>54</v>
      </c>
      <c r="B520" t="s">
        <v>35</v>
      </c>
      <c r="C520">
        <v>18</v>
      </c>
      <c r="D520" t="s">
        <v>36</v>
      </c>
      <c r="E520" t="s">
        <v>37</v>
      </c>
      <c r="F520" t="s">
        <v>38</v>
      </c>
      <c r="G520">
        <v>2</v>
      </c>
      <c r="H520">
        <v>4</v>
      </c>
      <c r="I520" t="s">
        <v>46</v>
      </c>
      <c r="J520" t="s">
        <v>49</v>
      </c>
      <c r="K520" t="s">
        <v>52</v>
      </c>
      <c r="L520" t="s">
        <v>47</v>
      </c>
      <c r="M520">
        <v>1</v>
      </c>
      <c r="N520">
        <v>2</v>
      </c>
      <c r="O520">
        <v>1</v>
      </c>
      <c r="P520" t="s">
        <v>44</v>
      </c>
      <c r="Q520" t="s">
        <v>43</v>
      </c>
      <c r="R520" t="s">
        <v>44</v>
      </c>
      <c r="S520">
        <f t="shared" si="8"/>
        <v>0</v>
      </c>
      <c r="T520" t="s">
        <v>44</v>
      </c>
      <c r="U520" t="s">
        <v>43</v>
      </c>
      <c r="V520" t="s">
        <v>43</v>
      </c>
      <c r="W520" t="s">
        <v>43</v>
      </c>
      <c r="X520" t="s">
        <v>44</v>
      </c>
      <c r="Y520">
        <v>2</v>
      </c>
      <c r="Z520">
        <v>3</v>
      </c>
      <c r="AA520">
        <v>2</v>
      </c>
      <c r="AB520">
        <v>1</v>
      </c>
      <c r="AC520">
        <v>3</v>
      </c>
      <c r="AD520">
        <v>1</v>
      </c>
      <c r="AE520">
        <v>8</v>
      </c>
      <c r="AF520">
        <v>8</v>
      </c>
      <c r="AG520">
        <v>5</v>
      </c>
      <c r="AH520">
        <v>8</v>
      </c>
    </row>
    <row r="521" spans="1:34" x14ac:dyDescent="0.2">
      <c r="A521" t="s">
        <v>54</v>
      </c>
      <c r="B521" t="s">
        <v>51</v>
      </c>
      <c r="C521">
        <v>16</v>
      </c>
      <c r="D521" t="s">
        <v>53</v>
      </c>
      <c r="E521" t="s">
        <v>37</v>
      </c>
      <c r="F521" t="s">
        <v>45</v>
      </c>
      <c r="G521">
        <v>2</v>
      </c>
      <c r="H521">
        <v>1</v>
      </c>
      <c r="I521" t="s">
        <v>46</v>
      </c>
      <c r="J521" t="s">
        <v>49</v>
      </c>
      <c r="K521" t="s">
        <v>52</v>
      </c>
      <c r="L521" t="s">
        <v>42</v>
      </c>
      <c r="M521">
        <v>2</v>
      </c>
      <c r="N521">
        <v>2</v>
      </c>
      <c r="O521">
        <v>0</v>
      </c>
      <c r="P521" t="s">
        <v>44</v>
      </c>
      <c r="Q521" t="s">
        <v>44</v>
      </c>
      <c r="R521" t="s">
        <v>44</v>
      </c>
      <c r="S521">
        <f t="shared" si="8"/>
        <v>0</v>
      </c>
      <c r="T521" t="s">
        <v>43</v>
      </c>
      <c r="U521" t="s">
        <v>43</v>
      </c>
      <c r="V521" t="s">
        <v>43</v>
      </c>
      <c r="W521" t="s">
        <v>43</v>
      </c>
      <c r="X521" t="s">
        <v>44</v>
      </c>
      <c r="Y521">
        <v>5</v>
      </c>
      <c r="Z521">
        <v>2</v>
      </c>
      <c r="AA521">
        <v>1</v>
      </c>
      <c r="AB521">
        <v>1</v>
      </c>
      <c r="AC521">
        <v>1</v>
      </c>
      <c r="AD521">
        <v>2</v>
      </c>
      <c r="AE521">
        <v>0</v>
      </c>
      <c r="AF521">
        <v>8</v>
      </c>
      <c r="AG521">
        <v>7</v>
      </c>
      <c r="AH521">
        <v>0</v>
      </c>
    </row>
    <row r="522" spans="1:34" x14ac:dyDescent="0.2">
      <c r="A522" t="s">
        <v>54</v>
      </c>
      <c r="B522" t="s">
        <v>35</v>
      </c>
      <c r="C522">
        <v>16</v>
      </c>
      <c r="D522" t="s">
        <v>36</v>
      </c>
      <c r="E522" t="s">
        <v>48</v>
      </c>
      <c r="F522" t="s">
        <v>45</v>
      </c>
      <c r="G522">
        <v>1</v>
      </c>
      <c r="H522">
        <v>1</v>
      </c>
      <c r="I522" t="s">
        <v>39</v>
      </c>
      <c r="J522" t="s">
        <v>46</v>
      </c>
      <c r="K522" t="s">
        <v>46</v>
      </c>
      <c r="L522" t="s">
        <v>42</v>
      </c>
      <c r="M522">
        <v>3</v>
      </c>
      <c r="N522">
        <v>2</v>
      </c>
      <c r="O522">
        <v>0</v>
      </c>
      <c r="P522" t="s">
        <v>44</v>
      </c>
      <c r="Q522" t="s">
        <v>43</v>
      </c>
      <c r="R522" t="s">
        <v>44</v>
      </c>
      <c r="S522">
        <f t="shared" si="8"/>
        <v>0</v>
      </c>
      <c r="T522" t="s">
        <v>44</v>
      </c>
      <c r="U522" t="s">
        <v>43</v>
      </c>
      <c r="V522" t="s">
        <v>43</v>
      </c>
      <c r="W522" t="s">
        <v>43</v>
      </c>
      <c r="X522" t="s">
        <v>44</v>
      </c>
      <c r="Y522">
        <v>4</v>
      </c>
      <c r="Z522">
        <v>3</v>
      </c>
      <c r="AA522">
        <v>2</v>
      </c>
      <c r="AB522">
        <v>1</v>
      </c>
      <c r="AC522">
        <v>3</v>
      </c>
      <c r="AD522">
        <v>5</v>
      </c>
      <c r="AE522">
        <v>6</v>
      </c>
      <c r="AF522">
        <v>6</v>
      </c>
      <c r="AG522">
        <v>8</v>
      </c>
      <c r="AH522">
        <v>8</v>
      </c>
    </row>
    <row r="523" spans="1:34" x14ac:dyDescent="0.2">
      <c r="A523" t="s">
        <v>54</v>
      </c>
      <c r="B523" t="s">
        <v>35</v>
      </c>
      <c r="C523">
        <v>16</v>
      </c>
      <c r="D523" t="s">
        <v>53</v>
      </c>
      <c r="E523" t="s">
        <v>37</v>
      </c>
      <c r="F523" t="s">
        <v>45</v>
      </c>
      <c r="G523">
        <v>2</v>
      </c>
      <c r="H523">
        <v>3</v>
      </c>
      <c r="I523" t="s">
        <v>39</v>
      </c>
      <c r="J523" t="s">
        <v>49</v>
      </c>
      <c r="K523" t="s">
        <v>46</v>
      </c>
      <c r="L523" t="s">
        <v>42</v>
      </c>
      <c r="M523">
        <v>2</v>
      </c>
      <c r="N523">
        <v>2</v>
      </c>
      <c r="O523">
        <v>0</v>
      </c>
      <c r="P523" t="s">
        <v>44</v>
      </c>
      <c r="Q523" t="s">
        <v>43</v>
      </c>
      <c r="R523" t="s">
        <v>44</v>
      </c>
      <c r="S523">
        <f t="shared" si="8"/>
        <v>0</v>
      </c>
      <c r="T523" t="s">
        <v>43</v>
      </c>
      <c r="U523" t="s">
        <v>43</v>
      </c>
      <c r="V523" t="s">
        <v>43</v>
      </c>
      <c r="W523" t="s">
        <v>43</v>
      </c>
      <c r="X523" t="s">
        <v>44</v>
      </c>
      <c r="Y523">
        <v>3</v>
      </c>
      <c r="Z523">
        <v>3</v>
      </c>
      <c r="AA523">
        <v>3</v>
      </c>
      <c r="AB523">
        <v>1</v>
      </c>
      <c r="AC523">
        <v>1</v>
      </c>
      <c r="AD523">
        <v>2</v>
      </c>
      <c r="AE523">
        <v>0</v>
      </c>
      <c r="AF523">
        <v>8</v>
      </c>
      <c r="AG523">
        <v>10</v>
      </c>
      <c r="AH523">
        <v>10</v>
      </c>
    </row>
    <row r="524" spans="1:34" x14ac:dyDescent="0.2">
      <c r="A524" t="s">
        <v>54</v>
      </c>
      <c r="B524" t="s">
        <v>35</v>
      </c>
      <c r="C524">
        <v>16</v>
      </c>
      <c r="D524" t="s">
        <v>36</v>
      </c>
      <c r="E524" t="s">
        <v>37</v>
      </c>
      <c r="F524" t="s">
        <v>45</v>
      </c>
      <c r="G524">
        <v>4</v>
      </c>
      <c r="H524">
        <v>4</v>
      </c>
      <c r="I524" t="s">
        <v>29</v>
      </c>
      <c r="J524" t="s">
        <v>29</v>
      </c>
      <c r="K524" t="s">
        <v>41</v>
      </c>
      <c r="L524" t="s">
        <v>42</v>
      </c>
      <c r="M524">
        <v>1</v>
      </c>
      <c r="N524">
        <v>2</v>
      </c>
      <c r="O524">
        <v>0</v>
      </c>
      <c r="P524" t="s">
        <v>44</v>
      </c>
      <c r="Q524" t="s">
        <v>43</v>
      </c>
      <c r="R524" t="s">
        <v>44</v>
      </c>
      <c r="S524">
        <f t="shared" si="8"/>
        <v>0</v>
      </c>
      <c r="T524" t="s">
        <v>44</v>
      </c>
      <c r="U524" t="s">
        <v>43</v>
      </c>
      <c r="V524" t="s">
        <v>43</v>
      </c>
      <c r="W524" t="s">
        <v>43</v>
      </c>
      <c r="X524" t="s">
        <v>43</v>
      </c>
      <c r="Y524">
        <v>4</v>
      </c>
      <c r="Z524">
        <v>3</v>
      </c>
      <c r="AA524">
        <v>4</v>
      </c>
      <c r="AB524">
        <v>1</v>
      </c>
      <c r="AC524">
        <v>2</v>
      </c>
      <c r="AD524">
        <v>3</v>
      </c>
      <c r="AE524">
        <v>4</v>
      </c>
      <c r="AF524">
        <v>8</v>
      </c>
      <c r="AG524">
        <v>8</v>
      </c>
      <c r="AH524">
        <v>8</v>
      </c>
    </row>
    <row r="525" spans="1:34" x14ac:dyDescent="0.2">
      <c r="A525" t="s">
        <v>54</v>
      </c>
      <c r="B525" t="s">
        <v>51</v>
      </c>
      <c r="C525">
        <v>18</v>
      </c>
      <c r="D525" t="s">
        <v>36</v>
      </c>
      <c r="E525" t="s">
        <v>48</v>
      </c>
      <c r="F525" t="s">
        <v>45</v>
      </c>
      <c r="G525">
        <v>4</v>
      </c>
      <c r="H525">
        <v>4</v>
      </c>
      <c r="I525" t="s">
        <v>39</v>
      </c>
      <c r="J525" t="s">
        <v>29</v>
      </c>
      <c r="K525" t="s">
        <v>50</v>
      </c>
      <c r="L525" t="s">
        <v>42</v>
      </c>
      <c r="M525">
        <v>1</v>
      </c>
      <c r="N525">
        <v>4</v>
      </c>
      <c r="O525">
        <v>0</v>
      </c>
      <c r="P525" t="s">
        <v>44</v>
      </c>
      <c r="Q525" t="s">
        <v>43</v>
      </c>
      <c r="R525" t="s">
        <v>44</v>
      </c>
      <c r="S525">
        <f t="shared" si="8"/>
        <v>0</v>
      </c>
      <c r="T525" t="s">
        <v>43</v>
      </c>
      <c r="U525" t="s">
        <v>43</v>
      </c>
      <c r="V525" t="s">
        <v>44</v>
      </c>
      <c r="W525" t="s">
        <v>43</v>
      </c>
      <c r="X525" t="s">
        <v>43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5</v>
      </c>
      <c r="AE525">
        <v>2</v>
      </c>
      <c r="AF525">
        <v>5</v>
      </c>
      <c r="AG525">
        <v>6</v>
      </c>
      <c r="AH525">
        <v>6</v>
      </c>
    </row>
    <row r="526" spans="1:34" x14ac:dyDescent="0.2">
      <c r="A526" t="s">
        <v>54</v>
      </c>
      <c r="B526" t="s">
        <v>35</v>
      </c>
      <c r="C526">
        <v>16</v>
      </c>
      <c r="D526" t="s">
        <v>53</v>
      </c>
      <c r="E526" t="s">
        <v>48</v>
      </c>
      <c r="F526" t="s">
        <v>45</v>
      </c>
      <c r="G526">
        <v>3</v>
      </c>
      <c r="H526">
        <v>4</v>
      </c>
      <c r="I526" t="s">
        <v>39</v>
      </c>
      <c r="J526" t="s">
        <v>46</v>
      </c>
      <c r="K526" t="s">
        <v>46</v>
      </c>
      <c r="L526" t="s">
        <v>42</v>
      </c>
      <c r="M526">
        <v>3</v>
      </c>
      <c r="N526">
        <v>2</v>
      </c>
      <c r="O526">
        <v>0</v>
      </c>
      <c r="P526" t="s">
        <v>44</v>
      </c>
      <c r="Q526" t="s">
        <v>43</v>
      </c>
      <c r="R526" t="s">
        <v>44</v>
      </c>
      <c r="S526">
        <f t="shared" si="8"/>
        <v>0</v>
      </c>
      <c r="T526" t="s">
        <v>44</v>
      </c>
      <c r="U526" t="s">
        <v>44</v>
      </c>
      <c r="V526" t="s">
        <v>43</v>
      </c>
      <c r="W526" t="s">
        <v>44</v>
      </c>
      <c r="X526" t="s">
        <v>44</v>
      </c>
      <c r="Y526">
        <v>4</v>
      </c>
      <c r="Z526">
        <v>2</v>
      </c>
      <c r="AA526">
        <v>1</v>
      </c>
      <c r="AB526">
        <v>1</v>
      </c>
      <c r="AC526">
        <v>1</v>
      </c>
      <c r="AD526">
        <v>2</v>
      </c>
      <c r="AE526">
        <v>2</v>
      </c>
      <c r="AF526">
        <v>7</v>
      </c>
      <c r="AG526">
        <v>9</v>
      </c>
      <c r="AH526">
        <v>8</v>
      </c>
    </row>
    <row r="527" spans="1:34" x14ac:dyDescent="0.2">
      <c r="A527" t="s">
        <v>54</v>
      </c>
      <c r="B527" t="s">
        <v>51</v>
      </c>
      <c r="C527">
        <v>17</v>
      </c>
      <c r="D527" t="s">
        <v>36</v>
      </c>
      <c r="E527" t="s">
        <v>48</v>
      </c>
      <c r="F527" t="s">
        <v>45</v>
      </c>
      <c r="G527">
        <v>4</v>
      </c>
      <c r="H527">
        <v>4</v>
      </c>
      <c r="I527" t="s">
        <v>46</v>
      </c>
      <c r="J527" t="s">
        <v>49</v>
      </c>
      <c r="K527" t="s">
        <v>50</v>
      </c>
      <c r="L527" t="s">
        <v>42</v>
      </c>
      <c r="M527">
        <v>1</v>
      </c>
      <c r="N527">
        <v>3</v>
      </c>
      <c r="O527">
        <v>0</v>
      </c>
      <c r="P527" t="s">
        <v>44</v>
      </c>
      <c r="Q527" t="s">
        <v>43</v>
      </c>
      <c r="R527" t="s">
        <v>44</v>
      </c>
      <c r="S527">
        <f t="shared" si="8"/>
        <v>0</v>
      </c>
      <c r="T527" t="s">
        <v>44</v>
      </c>
      <c r="U527" t="s">
        <v>43</v>
      </c>
      <c r="V527" t="s">
        <v>43</v>
      </c>
      <c r="W527" t="s">
        <v>43</v>
      </c>
      <c r="X527" t="s">
        <v>44</v>
      </c>
      <c r="Y527">
        <v>4</v>
      </c>
      <c r="Z527">
        <v>4</v>
      </c>
      <c r="AA527">
        <v>3</v>
      </c>
      <c r="AB527">
        <v>1</v>
      </c>
      <c r="AC527">
        <v>2</v>
      </c>
      <c r="AD527">
        <v>5</v>
      </c>
      <c r="AE527">
        <v>0</v>
      </c>
      <c r="AF527">
        <v>15</v>
      </c>
      <c r="AG527">
        <v>14</v>
      </c>
      <c r="AH527">
        <v>16</v>
      </c>
    </row>
    <row r="528" spans="1:34" x14ac:dyDescent="0.2">
      <c r="A528" t="s">
        <v>54</v>
      </c>
      <c r="B528" t="s">
        <v>35</v>
      </c>
      <c r="C528">
        <v>17</v>
      </c>
      <c r="D528" t="s">
        <v>53</v>
      </c>
      <c r="E528" t="s">
        <v>37</v>
      </c>
      <c r="F528" t="s">
        <v>45</v>
      </c>
      <c r="G528">
        <v>4</v>
      </c>
      <c r="H528">
        <v>1</v>
      </c>
      <c r="I528" t="s">
        <v>46</v>
      </c>
      <c r="J528" t="s">
        <v>46</v>
      </c>
      <c r="K528" t="s">
        <v>46</v>
      </c>
      <c r="L528" t="s">
        <v>42</v>
      </c>
      <c r="M528">
        <v>1</v>
      </c>
      <c r="N528">
        <v>1</v>
      </c>
      <c r="O528">
        <v>0</v>
      </c>
      <c r="P528" t="s">
        <v>44</v>
      </c>
      <c r="Q528" t="s">
        <v>44</v>
      </c>
      <c r="R528" t="s">
        <v>44</v>
      </c>
      <c r="S528">
        <f t="shared" si="8"/>
        <v>0</v>
      </c>
      <c r="T528" t="s">
        <v>44</v>
      </c>
      <c r="U528" t="s">
        <v>43</v>
      </c>
      <c r="V528" t="s">
        <v>43</v>
      </c>
      <c r="W528" t="s">
        <v>43</v>
      </c>
      <c r="X528" t="s">
        <v>43</v>
      </c>
      <c r="Y528">
        <v>4</v>
      </c>
      <c r="Z528">
        <v>2</v>
      </c>
      <c r="AA528">
        <v>3</v>
      </c>
      <c r="AB528">
        <v>1</v>
      </c>
      <c r="AC528">
        <v>2</v>
      </c>
      <c r="AD528">
        <v>5</v>
      </c>
      <c r="AE528">
        <v>1</v>
      </c>
      <c r="AF528">
        <v>13</v>
      </c>
      <c r="AG528">
        <v>14</v>
      </c>
      <c r="AH528">
        <v>14</v>
      </c>
    </row>
    <row r="529" spans="1:34" x14ac:dyDescent="0.2">
      <c r="A529" t="s">
        <v>54</v>
      </c>
      <c r="B529" t="s">
        <v>51</v>
      </c>
      <c r="C529">
        <v>16</v>
      </c>
      <c r="D529" t="s">
        <v>36</v>
      </c>
      <c r="E529" t="s">
        <v>48</v>
      </c>
      <c r="F529" t="s">
        <v>45</v>
      </c>
      <c r="G529">
        <v>2</v>
      </c>
      <c r="H529">
        <v>2</v>
      </c>
      <c r="I529" t="s">
        <v>49</v>
      </c>
      <c r="J529" t="s">
        <v>49</v>
      </c>
      <c r="K529" t="s">
        <v>46</v>
      </c>
      <c r="L529" t="s">
        <v>42</v>
      </c>
      <c r="M529">
        <v>4</v>
      </c>
      <c r="N529">
        <v>3</v>
      </c>
      <c r="O529">
        <v>0</v>
      </c>
      <c r="P529" t="s">
        <v>44</v>
      </c>
      <c r="Q529" t="s">
        <v>44</v>
      </c>
      <c r="R529" t="s">
        <v>44</v>
      </c>
      <c r="S529">
        <f t="shared" si="8"/>
        <v>0</v>
      </c>
      <c r="T529" t="s">
        <v>44</v>
      </c>
      <c r="U529" t="s">
        <v>43</v>
      </c>
      <c r="V529" t="s">
        <v>43</v>
      </c>
      <c r="W529" t="s">
        <v>44</v>
      </c>
      <c r="X529" t="s">
        <v>44</v>
      </c>
      <c r="Y529">
        <v>5</v>
      </c>
      <c r="Z529">
        <v>1</v>
      </c>
      <c r="AA529">
        <v>3</v>
      </c>
      <c r="AB529">
        <v>2</v>
      </c>
      <c r="AC529">
        <v>2</v>
      </c>
      <c r="AD529">
        <v>3</v>
      </c>
      <c r="AE529">
        <v>0</v>
      </c>
      <c r="AF529">
        <v>10</v>
      </c>
      <c r="AG529">
        <v>9</v>
      </c>
      <c r="AH529">
        <v>10</v>
      </c>
    </row>
    <row r="530" spans="1:34" x14ac:dyDescent="0.2">
      <c r="A530" t="s">
        <v>54</v>
      </c>
      <c r="B530" t="s">
        <v>35</v>
      </c>
      <c r="C530">
        <v>17</v>
      </c>
      <c r="D530" t="s">
        <v>53</v>
      </c>
      <c r="E530" t="s">
        <v>37</v>
      </c>
      <c r="F530" t="s">
        <v>45</v>
      </c>
      <c r="G530">
        <v>2</v>
      </c>
      <c r="H530">
        <v>2</v>
      </c>
      <c r="I530" t="s">
        <v>39</v>
      </c>
      <c r="J530" t="s">
        <v>46</v>
      </c>
      <c r="K530" t="s">
        <v>46</v>
      </c>
      <c r="L530" t="s">
        <v>42</v>
      </c>
      <c r="M530">
        <v>1</v>
      </c>
      <c r="N530">
        <v>1</v>
      </c>
      <c r="O530">
        <v>0</v>
      </c>
      <c r="P530" t="s">
        <v>44</v>
      </c>
      <c r="Q530" t="s">
        <v>43</v>
      </c>
      <c r="R530" t="s">
        <v>43</v>
      </c>
      <c r="S530">
        <f t="shared" si="8"/>
        <v>1</v>
      </c>
      <c r="T530" t="s">
        <v>44</v>
      </c>
      <c r="U530" t="s">
        <v>43</v>
      </c>
      <c r="V530" t="s">
        <v>43</v>
      </c>
      <c r="W530" t="s">
        <v>43</v>
      </c>
      <c r="X530" t="s">
        <v>44</v>
      </c>
      <c r="Y530">
        <v>5</v>
      </c>
      <c r="Z530">
        <v>1</v>
      </c>
      <c r="AA530">
        <v>3</v>
      </c>
      <c r="AB530">
        <v>1</v>
      </c>
      <c r="AC530">
        <v>2</v>
      </c>
      <c r="AD530">
        <v>5</v>
      </c>
      <c r="AE530">
        <v>5</v>
      </c>
      <c r="AF530">
        <v>9</v>
      </c>
      <c r="AG530">
        <v>9</v>
      </c>
      <c r="AH530">
        <v>9</v>
      </c>
    </row>
    <row r="531" spans="1:34" x14ac:dyDescent="0.2">
      <c r="A531" t="s">
        <v>54</v>
      </c>
      <c r="B531" t="s">
        <v>35</v>
      </c>
      <c r="C531">
        <v>16</v>
      </c>
      <c r="D531" t="s">
        <v>36</v>
      </c>
      <c r="E531" t="s">
        <v>48</v>
      </c>
      <c r="F531" t="s">
        <v>45</v>
      </c>
      <c r="G531">
        <v>4</v>
      </c>
      <c r="H531">
        <v>4</v>
      </c>
      <c r="I531" t="s">
        <v>49</v>
      </c>
      <c r="J531" t="s">
        <v>49</v>
      </c>
      <c r="K531" t="s">
        <v>46</v>
      </c>
      <c r="L531" t="s">
        <v>47</v>
      </c>
      <c r="M531">
        <v>2</v>
      </c>
      <c r="N531">
        <v>1</v>
      </c>
      <c r="O531">
        <v>0</v>
      </c>
      <c r="P531" t="s">
        <v>44</v>
      </c>
      <c r="Q531" t="s">
        <v>43</v>
      </c>
      <c r="R531" t="s">
        <v>44</v>
      </c>
      <c r="S531">
        <f t="shared" si="8"/>
        <v>0</v>
      </c>
      <c r="T531" t="s">
        <v>44</v>
      </c>
      <c r="U531" t="s">
        <v>43</v>
      </c>
      <c r="V531" t="s">
        <v>43</v>
      </c>
      <c r="W531" t="s">
        <v>44</v>
      </c>
      <c r="X531" t="s">
        <v>44</v>
      </c>
      <c r="Y531">
        <v>5</v>
      </c>
      <c r="Z531">
        <v>1</v>
      </c>
      <c r="AA531">
        <v>3</v>
      </c>
      <c r="AB531">
        <v>1</v>
      </c>
      <c r="AC531">
        <v>2</v>
      </c>
      <c r="AD531">
        <v>5</v>
      </c>
      <c r="AE531">
        <v>1</v>
      </c>
      <c r="AF531">
        <v>11</v>
      </c>
      <c r="AG531">
        <v>11</v>
      </c>
      <c r="AH531">
        <v>11</v>
      </c>
    </row>
    <row r="532" spans="1:34" x14ac:dyDescent="0.2">
      <c r="A532" t="s">
        <v>54</v>
      </c>
      <c r="B532" t="s">
        <v>51</v>
      </c>
      <c r="C532">
        <v>17</v>
      </c>
      <c r="D532" t="s">
        <v>36</v>
      </c>
      <c r="E532" t="s">
        <v>37</v>
      </c>
      <c r="F532" t="s">
        <v>45</v>
      </c>
      <c r="G532">
        <v>3</v>
      </c>
      <c r="H532">
        <v>3</v>
      </c>
      <c r="I532" t="s">
        <v>49</v>
      </c>
      <c r="J532" t="s">
        <v>49</v>
      </c>
      <c r="K532" t="s">
        <v>50</v>
      </c>
      <c r="L532" t="s">
        <v>42</v>
      </c>
      <c r="M532">
        <v>1</v>
      </c>
      <c r="N532">
        <v>1</v>
      </c>
      <c r="O532">
        <v>0</v>
      </c>
      <c r="P532" t="s">
        <v>44</v>
      </c>
      <c r="Q532" t="s">
        <v>43</v>
      </c>
      <c r="R532" t="s">
        <v>44</v>
      </c>
      <c r="S532">
        <f t="shared" si="8"/>
        <v>0</v>
      </c>
      <c r="T532" t="s">
        <v>43</v>
      </c>
      <c r="U532" t="s">
        <v>43</v>
      </c>
      <c r="V532" t="s">
        <v>43</v>
      </c>
      <c r="W532" t="s">
        <v>43</v>
      </c>
      <c r="X532" t="s">
        <v>44</v>
      </c>
      <c r="Y532">
        <v>4</v>
      </c>
      <c r="Z532">
        <v>1</v>
      </c>
      <c r="AA532">
        <v>4</v>
      </c>
      <c r="AB532">
        <v>5</v>
      </c>
      <c r="AC532">
        <v>5</v>
      </c>
      <c r="AD532">
        <v>3</v>
      </c>
      <c r="AE532">
        <v>8</v>
      </c>
      <c r="AF532">
        <v>7</v>
      </c>
      <c r="AG532">
        <v>10</v>
      </c>
      <c r="AH532">
        <v>9</v>
      </c>
    </row>
    <row r="533" spans="1:34" x14ac:dyDescent="0.2">
      <c r="A533" t="s">
        <v>54</v>
      </c>
      <c r="B533" t="s">
        <v>51</v>
      </c>
      <c r="C533">
        <v>17</v>
      </c>
      <c r="D533" t="s">
        <v>36</v>
      </c>
      <c r="E533" t="s">
        <v>37</v>
      </c>
      <c r="F533" t="s">
        <v>45</v>
      </c>
      <c r="G533">
        <v>1</v>
      </c>
      <c r="H533">
        <v>1</v>
      </c>
      <c r="I533" t="s">
        <v>39</v>
      </c>
      <c r="J533" t="s">
        <v>49</v>
      </c>
      <c r="K533" t="s">
        <v>46</v>
      </c>
      <c r="L533" t="s">
        <v>42</v>
      </c>
      <c r="M533">
        <v>3</v>
      </c>
      <c r="N533">
        <v>2</v>
      </c>
      <c r="O533">
        <v>0</v>
      </c>
      <c r="P533" t="s">
        <v>44</v>
      </c>
      <c r="Q533" t="s">
        <v>44</v>
      </c>
      <c r="R533" t="s">
        <v>44</v>
      </c>
      <c r="S533">
        <f t="shared" si="8"/>
        <v>0</v>
      </c>
      <c r="T533" t="s">
        <v>44</v>
      </c>
      <c r="U533" t="s">
        <v>43</v>
      </c>
      <c r="V533" t="s">
        <v>43</v>
      </c>
      <c r="W533" t="s">
        <v>43</v>
      </c>
      <c r="X533" t="s">
        <v>43</v>
      </c>
      <c r="Y533">
        <v>5</v>
      </c>
      <c r="Z533">
        <v>1</v>
      </c>
      <c r="AA533">
        <v>3</v>
      </c>
      <c r="AB533">
        <v>3</v>
      </c>
      <c r="AC533">
        <v>3</v>
      </c>
      <c r="AD533">
        <v>1</v>
      </c>
      <c r="AE533">
        <v>0</v>
      </c>
      <c r="AF533">
        <v>10</v>
      </c>
      <c r="AG533">
        <v>10</v>
      </c>
      <c r="AH533">
        <v>10</v>
      </c>
    </row>
    <row r="534" spans="1:34" x14ac:dyDescent="0.2">
      <c r="A534" t="s">
        <v>54</v>
      </c>
      <c r="B534" t="s">
        <v>51</v>
      </c>
      <c r="C534">
        <v>16</v>
      </c>
      <c r="D534" t="s">
        <v>36</v>
      </c>
      <c r="E534" t="s">
        <v>37</v>
      </c>
      <c r="F534" t="s">
        <v>45</v>
      </c>
      <c r="G534">
        <v>2</v>
      </c>
      <c r="H534">
        <v>1</v>
      </c>
      <c r="I534" t="s">
        <v>29</v>
      </c>
      <c r="J534" t="s">
        <v>49</v>
      </c>
      <c r="K534" t="s">
        <v>46</v>
      </c>
      <c r="L534" t="s">
        <v>42</v>
      </c>
      <c r="M534">
        <v>2</v>
      </c>
      <c r="N534">
        <v>2</v>
      </c>
      <c r="O534">
        <v>0</v>
      </c>
      <c r="P534" t="s">
        <v>44</v>
      </c>
      <c r="Q534" t="s">
        <v>44</v>
      </c>
      <c r="R534" t="s">
        <v>44</v>
      </c>
      <c r="S534">
        <f t="shared" si="8"/>
        <v>0</v>
      </c>
      <c r="T534" t="s">
        <v>44</v>
      </c>
      <c r="U534" t="s">
        <v>44</v>
      </c>
      <c r="V534" t="s">
        <v>43</v>
      </c>
      <c r="W534" t="s">
        <v>43</v>
      </c>
      <c r="X534" t="s">
        <v>43</v>
      </c>
      <c r="Y534">
        <v>4</v>
      </c>
      <c r="Z534">
        <v>2</v>
      </c>
      <c r="AA534">
        <v>2</v>
      </c>
      <c r="AB534">
        <v>1</v>
      </c>
      <c r="AC534">
        <v>4</v>
      </c>
      <c r="AD534">
        <v>5</v>
      </c>
      <c r="AE534">
        <v>2</v>
      </c>
      <c r="AF534">
        <v>9</v>
      </c>
      <c r="AG534">
        <v>7</v>
      </c>
      <c r="AH534">
        <v>8</v>
      </c>
    </row>
    <row r="535" spans="1:34" x14ac:dyDescent="0.2">
      <c r="A535" t="s">
        <v>54</v>
      </c>
      <c r="B535" t="s">
        <v>35</v>
      </c>
      <c r="C535">
        <v>16</v>
      </c>
      <c r="D535" t="s">
        <v>36</v>
      </c>
      <c r="E535" t="s">
        <v>48</v>
      </c>
      <c r="F535" t="s">
        <v>45</v>
      </c>
      <c r="G535">
        <v>2</v>
      </c>
      <c r="H535">
        <v>1</v>
      </c>
      <c r="I535" t="s">
        <v>46</v>
      </c>
      <c r="J535" t="s">
        <v>49</v>
      </c>
      <c r="K535" t="s">
        <v>46</v>
      </c>
      <c r="L535" t="s">
        <v>42</v>
      </c>
      <c r="M535">
        <v>1</v>
      </c>
      <c r="N535">
        <v>2</v>
      </c>
      <c r="O535">
        <v>0</v>
      </c>
      <c r="P535" t="s">
        <v>44</v>
      </c>
      <c r="Q535" t="s">
        <v>44</v>
      </c>
      <c r="R535" t="s">
        <v>44</v>
      </c>
      <c r="S535">
        <f t="shared" si="8"/>
        <v>0</v>
      </c>
      <c r="T535" t="s">
        <v>44</v>
      </c>
      <c r="U535" t="s">
        <v>43</v>
      </c>
      <c r="V535" t="s">
        <v>43</v>
      </c>
      <c r="W535" t="s">
        <v>43</v>
      </c>
      <c r="X535" t="s">
        <v>43</v>
      </c>
      <c r="Y535">
        <v>3</v>
      </c>
      <c r="Z535">
        <v>2</v>
      </c>
      <c r="AA535">
        <v>2</v>
      </c>
      <c r="AB535">
        <v>1</v>
      </c>
      <c r="AC535">
        <v>1</v>
      </c>
      <c r="AD535">
        <v>3</v>
      </c>
      <c r="AE535">
        <v>0</v>
      </c>
      <c r="AF535">
        <v>14</v>
      </c>
      <c r="AG535">
        <v>15</v>
      </c>
      <c r="AH535">
        <v>16</v>
      </c>
    </row>
    <row r="536" spans="1:34" x14ac:dyDescent="0.2">
      <c r="A536" t="s">
        <v>54</v>
      </c>
      <c r="B536" t="s">
        <v>51</v>
      </c>
      <c r="C536">
        <v>16</v>
      </c>
      <c r="D536" t="s">
        <v>36</v>
      </c>
      <c r="E536" t="s">
        <v>48</v>
      </c>
      <c r="F536" t="s">
        <v>45</v>
      </c>
      <c r="G536">
        <v>4</v>
      </c>
      <c r="H536">
        <v>4</v>
      </c>
      <c r="I536" t="s">
        <v>40</v>
      </c>
      <c r="J536" t="s">
        <v>29</v>
      </c>
      <c r="K536" t="s">
        <v>46</v>
      </c>
      <c r="L536" t="s">
        <v>47</v>
      </c>
      <c r="M536">
        <v>1</v>
      </c>
      <c r="N536">
        <v>1</v>
      </c>
      <c r="O536">
        <v>0</v>
      </c>
      <c r="P536" t="s">
        <v>44</v>
      </c>
      <c r="Q536" t="s">
        <v>43</v>
      </c>
      <c r="R536" t="s">
        <v>44</v>
      </c>
      <c r="S536">
        <f t="shared" si="8"/>
        <v>0</v>
      </c>
      <c r="T536" t="s">
        <v>44</v>
      </c>
      <c r="U536" t="s">
        <v>43</v>
      </c>
      <c r="V536" t="s">
        <v>43</v>
      </c>
      <c r="W536" t="s">
        <v>43</v>
      </c>
      <c r="X536" t="s">
        <v>44</v>
      </c>
      <c r="Y536">
        <v>4</v>
      </c>
      <c r="Z536">
        <v>1</v>
      </c>
      <c r="AA536">
        <v>2</v>
      </c>
      <c r="AB536">
        <v>2</v>
      </c>
      <c r="AC536">
        <v>5</v>
      </c>
      <c r="AD536">
        <v>5</v>
      </c>
      <c r="AE536">
        <v>0</v>
      </c>
      <c r="AF536">
        <v>11</v>
      </c>
      <c r="AG536">
        <v>12</v>
      </c>
      <c r="AH536">
        <v>12</v>
      </c>
    </row>
    <row r="537" spans="1:34" x14ac:dyDescent="0.2">
      <c r="A537" t="s">
        <v>54</v>
      </c>
      <c r="B537" t="s">
        <v>51</v>
      </c>
      <c r="C537">
        <v>15</v>
      </c>
      <c r="D537" t="s">
        <v>53</v>
      </c>
      <c r="E537" t="s">
        <v>37</v>
      </c>
      <c r="F537" t="s">
        <v>45</v>
      </c>
      <c r="G537">
        <v>1</v>
      </c>
      <c r="H537">
        <v>2</v>
      </c>
      <c r="I537" t="s">
        <v>46</v>
      </c>
      <c r="J537" t="s">
        <v>49</v>
      </c>
      <c r="K537" t="s">
        <v>41</v>
      </c>
      <c r="L537" t="s">
        <v>42</v>
      </c>
      <c r="M537">
        <v>3</v>
      </c>
      <c r="N537">
        <v>2</v>
      </c>
      <c r="O537">
        <v>0</v>
      </c>
      <c r="P537" t="s">
        <v>44</v>
      </c>
      <c r="Q537" t="s">
        <v>43</v>
      </c>
      <c r="R537" t="s">
        <v>44</v>
      </c>
      <c r="S537">
        <f t="shared" si="8"/>
        <v>0</v>
      </c>
      <c r="T537" t="s">
        <v>43</v>
      </c>
      <c r="U537" t="s">
        <v>43</v>
      </c>
      <c r="V537" t="s">
        <v>43</v>
      </c>
      <c r="W537" t="s">
        <v>44</v>
      </c>
      <c r="X537" t="s">
        <v>44</v>
      </c>
      <c r="Y537">
        <v>5</v>
      </c>
      <c r="Z537">
        <v>5</v>
      </c>
      <c r="AA537">
        <v>5</v>
      </c>
      <c r="AB537">
        <v>1</v>
      </c>
      <c r="AC537">
        <v>3</v>
      </c>
      <c r="AD537">
        <v>5</v>
      </c>
      <c r="AE537">
        <v>11</v>
      </c>
      <c r="AF537">
        <v>9</v>
      </c>
      <c r="AG537">
        <v>11</v>
      </c>
      <c r="AH537">
        <v>10</v>
      </c>
    </row>
    <row r="538" spans="1:34" x14ac:dyDescent="0.2">
      <c r="A538" t="s">
        <v>54</v>
      </c>
      <c r="B538" t="s">
        <v>51</v>
      </c>
      <c r="C538">
        <v>15</v>
      </c>
      <c r="D538" t="s">
        <v>36</v>
      </c>
      <c r="E538" t="s">
        <v>48</v>
      </c>
      <c r="F538" t="s">
        <v>38</v>
      </c>
      <c r="G538">
        <v>2</v>
      </c>
      <c r="H538">
        <v>2</v>
      </c>
      <c r="I538" t="s">
        <v>46</v>
      </c>
      <c r="J538" t="s">
        <v>46</v>
      </c>
      <c r="K538" t="s">
        <v>52</v>
      </c>
      <c r="L538" t="s">
        <v>42</v>
      </c>
      <c r="M538">
        <v>3</v>
      </c>
      <c r="N538">
        <v>4</v>
      </c>
      <c r="O538">
        <v>0</v>
      </c>
      <c r="P538" t="s">
        <v>44</v>
      </c>
      <c r="Q538" t="s">
        <v>43</v>
      </c>
      <c r="R538" t="s">
        <v>44</v>
      </c>
      <c r="S538">
        <f t="shared" si="8"/>
        <v>0</v>
      </c>
      <c r="T538" t="s">
        <v>43</v>
      </c>
      <c r="U538" t="s">
        <v>43</v>
      </c>
      <c r="V538" t="s">
        <v>43</v>
      </c>
      <c r="W538" t="s">
        <v>44</v>
      </c>
      <c r="X538" t="s">
        <v>44</v>
      </c>
      <c r="Y538">
        <v>5</v>
      </c>
      <c r="Z538">
        <v>4</v>
      </c>
      <c r="AA538">
        <v>5</v>
      </c>
      <c r="AB538">
        <v>2</v>
      </c>
      <c r="AC538">
        <v>3</v>
      </c>
      <c r="AD538">
        <v>5</v>
      </c>
      <c r="AE538">
        <v>8</v>
      </c>
      <c r="AF538">
        <v>13</v>
      </c>
      <c r="AG538">
        <v>14</v>
      </c>
      <c r="AH538">
        <v>14</v>
      </c>
    </row>
    <row r="539" spans="1:34" x14ac:dyDescent="0.2">
      <c r="A539" t="s">
        <v>54</v>
      </c>
      <c r="B539" t="s">
        <v>51</v>
      </c>
      <c r="C539">
        <v>15</v>
      </c>
      <c r="D539" t="s">
        <v>36</v>
      </c>
      <c r="E539" t="s">
        <v>48</v>
      </c>
      <c r="F539" t="s">
        <v>38</v>
      </c>
      <c r="G539">
        <v>2</v>
      </c>
      <c r="H539">
        <v>1</v>
      </c>
      <c r="I539" t="s">
        <v>49</v>
      </c>
      <c r="J539" t="s">
        <v>49</v>
      </c>
      <c r="K539" t="s">
        <v>41</v>
      </c>
      <c r="L539" t="s">
        <v>42</v>
      </c>
      <c r="M539">
        <v>1</v>
      </c>
      <c r="N539">
        <v>1</v>
      </c>
      <c r="O539">
        <v>0</v>
      </c>
      <c r="P539" t="s">
        <v>44</v>
      </c>
      <c r="Q539" t="s">
        <v>44</v>
      </c>
      <c r="R539" t="s">
        <v>44</v>
      </c>
      <c r="S539">
        <f t="shared" si="8"/>
        <v>0</v>
      </c>
      <c r="T539" t="s">
        <v>43</v>
      </c>
      <c r="U539" t="s">
        <v>43</v>
      </c>
      <c r="V539" t="s">
        <v>43</v>
      </c>
      <c r="W539" t="s">
        <v>43</v>
      </c>
      <c r="X539" t="s">
        <v>44</v>
      </c>
      <c r="Y539">
        <v>4</v>
      </c>
      <c r="Z539">
        <v>3</v>
      </c>
      <c r="AA539">
        <v>3</v>
      </c>
      <c r="AB539">
        <v>1</v>
      </c>
      <c r="AC539">
        <v>2</v>
      </c>
      <c r="AD539">
        <v>5</v>
      </c>
      <c r="AE539">
        <v>11</v>
      </c>
      <c r="AF539">
        <v>12</v>
      </c>
      <c r="AG539">
        <v>13</v>
      </c>
      <c r="AH539">
        <v>12</v>
      </c>
    </row>
    <row r="540" spans="1:34" x14ac:dyDescent="0.2">
      <c r="A540" t="s">
        <v>54</v>
      </c>
      <c r="B540" t="s">
        <v>35</v>
      </c>
      <c r="C540">
        <v>16</v>
      </c>
      <c r="D540" t="s">
        <v>53</v>
      </c>
      <c r="E540" t="s">
        <v>48</v>
      </c>
      <c r="F540" t="s">
        <v>45</v>
      </c>
      <c r="G540">
        <v>2</v>
      </c>
      <c r="H540">
        <v>2</v>
      </c>
      <c r="I540" t="s">
        <v>46</v>
      </c>
      <c r="J540" t="s">
        <v>46</v>
      </c>
      <c r="K540" t="s">
        <v>41</v>
      </c>
      <c r="L540" t="s">
        <v>42</v>
      </c>
      <c r="M540">
        <v>1</v>
      </c>
      <c r="N540">
        <v>3</v>
      </c>
      <c r="O540">
        <v>0</v>
      </c>
      <c r="P540" t="s">
        <v>44</v>
      </c>
      <c r="Q540" t="s">
        <v>43</v>
      </c>
      <c r="R540" t="s">
        <v>44</v>
      </c>
      <c r="S540">
        <f t="shared" si="8"/>
        <v>0</v>
      </c>
      <c r="T540" t="s">
        <v>44</v>
      </c>
      <c r="U540" t="s">
        <v>44</v>
      </c>
      <c r="V540" t="s">
        <v>43</v>
      </c>
      <c r="W540" t="s">
        <v>44</v>
      </c>
      <c r="X540" t="s">
        <v>43</v>
      </c>
      <c r="Y540">
        <v>4</v>
      </c>
      <c r="Z540">
        <v>3</v>
      </c>
      <c r="AA540">
        <v>3</v>
      </c>
      <c r="AB540">
        <v>2</v>
      </c>
      <c r="AC540">
        <v>2</v>
      </c>
      <c r="AD540">
        <v>5</v>
      </c>
      <c r="AE540">
        <v>2</v>
      </c>
      <c r="AF540">
        <v>11</v>
      </c>
      <c r="AG540">
        <v>11</v>
      </c>
      <c r="AH540">
        <v>11</v>
      </c>
    </row>
    <row r="541" spans="1:34" x14ac:dyDescent="0.2">
      <c r="A541" t="s">
        <v>54</v>
      </c>
      <c r="B541" t="s">
        <v>35</v>
      </c>
      <c r="C541">
        <v>16</v>
      </c>
      <c r="D541" t="s">
        <v>36</v>
      </c>
      <c r="E541" t="s">
        <v>48</v>
      </c>
      <c r="F541" t="s">
        <v>45</v>
      </c>
      <c r="G541">
        <v>4</v>
      </c>
      <c r="H541">
        <v>1</v>
      </c>
      <c r="I541" t="s">
        <v>46</v>
      </c>
      <c r="J541" t="s">
        <v>46</v>
      </c>
      <c r="K541" t="s">
        <v>50</v>
      </c>
      <c r="L541" t="s">
        <v>42</v>
      </c>
      <c r="M541">
        <v>2</v>
      </c>
      <c r="N541">
        <v>2</v>
      </c>
      <c r="O541">
        <v>0</v>
      </c>
      <c r="P541" t="s">
        <v>44</v>
      </c>
      <c r="Q541" t="s">
        <v>43</v>
      </c>
      <c r="R541" t="s">
        <v>44</v>
      </c>
      <c r="S541">
        <f t="shared" si="8"/>
        <v>0</v>
      </c>
      <c r="T541" t="s">
        <v>43</v>
      </c>
      <c r="U541" t="s">
        <v>43</v>
      </c>
      <c r="V541" t="s">
        <v>43</v>
      </c>
      <c r="W541" t="s">
        <v>43</v>
      </c>
      <c r="X541" t="s">
        <v>44</v>
      </c>
      <c r="Y541">
        <v>1</v>
      </c>
      <c r="Z541">
        <v>2</v>
      </c>
      <c r="AA541">
        <v>4</v>
      </c>
      <c r="AB541">
        <v>2</v>
      </c>
      <c r="AC541">
        <v>2</v>
      </c>
      <c r="AD541">
        <v>1</v>
      </c>
      <c r="AE541">
        <v>8</v>
      </c>
      <c r="AF541">
        <v>9</v>
      </c>
      <c r="AG541">
        <v>10</v>
      </c>
      <c r="AH541">
        <v>10</v>
      </c>
    </row>
    <row r="542" spans="1:34" x14ac:dyDescent="0.2">
      <c r="A542" t="s">
        <v>54</v>
      </c>
      <c r="B542" t="s">
        <v>35</v>
      </c>
      <c r="C542">
        <v>17</v>
      </c>
      <c r="D542" t="s">
        <v>36</v>
      </c>
      <c r="E542" t="s">
        <v>37</v>
      </c>
      <c r="F542" t="s">
        <v>45</v>
      </c>
      <c r="G542">
        <v>3</v>
      </c>
      <c r="H542">
        <v>2</v>
      </c>
      <c r="I542" t="s">
        <v>39</v>
      </c>
      <c r="J542" t="s">
        <v>46</v>
      </c>
      <c r="K542" t="s">
        <v>50</v>
      </c>
      <c r="L542" t="s">
        <v>42</v>
      </c>
      <c r="M542">
        <v>2</v>
      </c>
      <c r="N542">
        <v>1</v>
      </c>
      <c r="O542">
        <v>0</v>
      </c>
      <c r="P542" t="s">
        <v>44</v>
      </c>
      <c r="Q542" t="s">
        <v>44</v>
      </c>
      <c r="R542" t="s">
        <v>44</v>
      </c>
      <c r="S542">
        <f t="shared" si="8"/>
        <v>0</v>
      </c>
      <c r="T542" t="s">
        <v>44</v>
      </c>
      <c r="U542" t="s">
        <v>43</v>
      </c>
      <c r="V542" t="s">
        <v>43</v>
      </c>
      <c r="W542" t="s">
        <v>44</v>
      </c>
      <c r="X542" t="s">
        <v>43</v>
      </c>
      <c r="Y542">
        <v>4</v>
      </c>
      <c r="Z542">
        <v>3</v>
      </c>
      <c r="AA542">
        <v>3</v>
      </c>
      <c r="AB542">
        <v>2</v>
      </c>
      <c r="AC542">
        <v>2</v>
      </c>
      <c r="AD542">
        <v>1</v>
      </c>
      <c r="AE542">
        <v>5</v>
      </c>
      <c r="AF542">
        <v>9</v>
      </c>
      <c r="AG542">
        <v>11</v>
      </c>
      <c r="AH542">
        <v>11</v>
      </c>
    </row>
    <row r="543" spans="1:34" x14ac:dyDescent="0.2">
      <c r="A543" t="s">
        <v>54</v>
      </c>
      <c r="B543" t="s">
        <v>35</v>
      </c>
      <c r="C543">
        <v>17</v>
      </c>
      <c r="D543" t="s">
        <v>53</v>
      </c>
      <c r="E543" t="s">
        <v>37</v>
      </c>
      <c r="F543" t="s">
        <v>45</v>
      </c>
      <c r="G543">
        <v>2</v>
      </c>
      <c r="H543">
        <v>2</v>
      </c>
      <c r="I543" t="s">
        <v>46</v>
      </c>
      <c r="J543" t="s">
        <v>46</v>
      </c>
      <c r="K543" t="s">
        <v>46</v>
      </c>
      <c r="L543" t="s">
        <v>42</v>
      </c>
      <c r="M543">
        <v>2</v>
      </c>
      <c r="N543">
        <v>2</v>
      </c>
      <c r="O543">
        <v>0</v>
      </c>
      <c r="P543" t="s">
        <v>43</v>
      </c>
      <c r="Q543" t="s">
        <v>44</v>
      </c>
      <c r="R543" t="s">
        <v>43</v>
      </c>
      <c r="S543">
        <f t="shared" si="8"/>
        <v>1</v>
      </c>
      <c r="T543" t="s">
        <v>44</v>
      </c>
      <c r="U543" t="s">
        <v>43</v>
      </c>
      <c r="V543" t="s">
        <v>43</v>
      </c>
      <c r="W543" t="s">
        <v>44</v>
      </c>
      <c r="X543" t="s">
        <v>44</v>
      </c>
      <c r="Y543">
        <v>5</v>
      </c>
      <c r="Z543">
        <v>1</v>
      </c>
      <c r="AA543">
        <v>3</v>
      </c>
      <c r="AB543">
        <v>1</v>
      </c>
      <c r="AC543">
        <v>1</v>
      </c>
      <c r="AD543">
        <v>5</v>
      </c>
      <c r="AE543">
        <v>0</v>
      </c>
      <c r="AF543">
        <v>11</v>
      </c>
      <c r="AG543">
        <v>9</v>
      </c>
      <c r="AH543">
        <v>11</v>
      </c>
    </row>
    <row r="544" spans="1:34" x14ac:dyDescent="0.2">
      <c r="A544" t="s">
        <v>54</v>
      </c>
      <c r="B544" t="s">
        <v>35</v>
      </c>
      <c r="C544">
        <v>16</v>
      </c>
      <c r="D544" t="s">
        <v>36</v>
      </c>
      <c r="E544" t="s">
        <v>37</v>
      </c>
      <c r="F544" t="s">
        <v>45</v>
      </c>
      <c r="G544">
        <v>4</v>
      </c>
      <c r="H544">
        <v>4</v>
      </c>
      <c r="I544" t="s">
        <v>40</v>
      </c>
      <c r="J544" t="s">
        <v>49</v>
      </c>
      <c r="K544" t="s">
        <v>41</v>
      </c>
      <c r="L544" t="s">
        <v>42</v>
      </c>
      <c r="M544">
        <v>2</v>
      </c>
      <c r="N544">
        <v>3</v>
      </c>
      <c r="O544">
        <v>0</v>
      </c>
      <c r="P544" t="s">
        <v>44</v>
      </c>
      <c r="Q544" t="s">
        <v>43</v>
      </c>
      <c r="R544" t="s">
        <v>44</v>
      </c>
      <c r="S544">
        <f t="shared" si="8"/>
        <v>0</v>
      </c>
      <c r="T544" t="s">
        <v>44</v>
      </c>
      <c r="U544" t="s">
        <v>43</v>
      </c>
      <c r="V544" t="s">
        <v>43</v>
      </c>
      <c r="W544" t="s">
        <v>43</v>
      </c>
      <c r="X544" t="s">
        <v>43</v>
      </c>
      <c r="Y544">
        <v>5</v>
      </c>
      <c r="Z544">
        <v>3</v>
      </c>
      <c r="AA544">
        <v>5</v>
      </c>
      <c r="AB544">
        <v>1</v>
      </c>
      <c r="AC544">
        <v>4</v>
      </c>
      <c r="AD544">
        <v>5</v>
      </c>
      <c r="AE544">
        <v>1</v>
      </c>
      <c r="AF544">
        <v>10</v>
      </c>
      <c r="AG544">
        <v>11</v>
      </c>
      <c r="AH544">
        <v>12</v>
      </c>
    </row>
    <row r="545" spans="1:34" x14ac:dyDescent="0.2">
      <c r="A545" t="s">
        <v>54</v>
      </c>
      <c r="B545" t="s">
        <v>51</v>
      </c>
      <c r="C545">
        <v>17</v>
      </c>
      <c r="D545" t="s">
        <v>53</v>
      </c>
      <c r="E545" t="s">
        <v>37</v>
      </c>
      <c r="F545" t="s">
        <v>45</v>
      </c>
      <c r="G545">
        <v>4</v>
      </c>
      <c r="H545">
        <v>4</v>
      </c>
      <c r="I545" t="s">
        <v>29</v>
      </c>
      <c r="J545" t="s">
        <v>46</v>
      </c>
      <c r="K545" t="s">
        <v>41</v>
      </c>
      <c r="L545" t="s">
        <v>47</v>
      </c>
      <c r="M545">
        <v>3</v>
      </c>
      <c r="N545">
        <v>1</v>
      </c>
      <c r="O545">
        <v>3</v>
      </c>
      <c r="P545" t="s">
        <v>44</v>
      </c>
      <c r="Q545" t="s">
        <v>44</v>
      </c>
      <c r="R545" t="s">
        <v>44</v>
      </c>
      <c r="S545">
        <f t="shared" si="8"/>
        <v>0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>
        <v>3</v>
      </c>
      <c r="Z545">
        <v>3</v>
      </c>
      <c r="AA545">
        <v>3</v>
      </c>
      <c r="AB545">
        <v>1</v>
      </c>
      <c r="AC545">
        <v>3</v>
      </c>
      <c r="AD545">
        <v>5</v>
      </c>
      <c r="AE545">
        <v>2</v>
      </c>
      <c r="AF545">
        <v>9</v>
      </c>
      <c r="AG545">
        <v>9</v>
      </c>
      <c r="AH545">
        <v>8</v>
      </c>
    </row>
    <row r="546" spans="1:34" x14ac:dyDescent="0.2">
      <c r="A546" t="s">
        <v>54</v>
      </c>
      <c r="B546" t="s">
        <v>51</v>
      </c>
      <c r="C546">
        <v>17</v>
      </c>
      <c r="D546" t="s">
        <v>53</v>
      </c>
      <c r="E546" t="s">
        <v>48</v>
      </c>
      <c r="F546" t="s">
        <v>45</v>
      </c>
      <c r="G546">
        <v>1</v>
      </c>
      <c r="H546">
        <v>3</v>
      </c>
      <c r="I546" t="s">
        <v>46</v>
      </c>
      <c r="J546" t="s">
        <v>46</v>
      </c>
      <c r="K546" t="s">
        <v>41</v>
      </c>
      <c r="L546" t="s">
        <v>47</v>
      </c>
      <c r="M546">
        <v>2</v>
      </c>
      <c r="N546">
        <v>1</v>
      </c>
      <c r="O546">
        <v>0</v>
      </c>
      <c r="P546" t="s">
        <v>44</v>
      </c>
      <c r="Q546" t="s">
        <v>44</v>
      </c>
      <c r="R546" t="s">
        <v>44</v>
      </c>
      <c r="S546">
        <f t="shared" si="8"/>
        <v>0</v>
      </c>
      <c r="T546" t="s">
        <v>43</v>
      </c>
      <c r="U546" t="s">
        <v>43</v>
      </c>
      <c r="V546" t="s">
        <v>43</v>
      </c>
      <c r="W546" t="s">
        <v>44</v>
      </c>
      <c r="X546" t="s">
        <v>43</v>
      </c>
      <c r="Y546">
        <v>5</v>
      </c>
      <c r="Z546">
        <v>1</v>
      </c>
      <c r="AA546">
        <v>2</v>
      </c>
      <c r="AB546">
        <v>3</v>
      </c>
      <c r="AC546">
        <v>3</v>
      </c>
      <c r="AD546">
        <v>5</v>
      </c>
      <c r="AE546">
        <v>2</v>
      </c>
      <c r="AF546">
        <v>12</v>
      </c>
      <c r="AG546">
        <v>11</v>
      </c>
      <c r="AH546">
        <v>12</v>
      </c>
    </row>
    <row r="547" spans="1:34" x14ac:dyDescent="0.2">
      <c r="A547" t="s">
        <v>54</v>
      </c>
      <c r="B547" t="s">
        <v>51</v>
      </c>
      <c r="C547">
        <v>17</v>
      </c>
      <c r="D547" t="s">
        <v>36</v>
      </c>
      <c r="E547" t="s">
        <v>37</v>
      </c>
      <c r="F547" t="s">
        <v>45</v>
      </c>
      <c r="G547">
        <v>3</v>
      </c>
      <c r="H547">
        <v>4</v>
      </c>
      <c r="I547" t="s">
        <v>49</v>
      </c>
      <c r="J547" t="s">
        <v>46</v>
      </c>
      <c r="K547" t="s">
        <v>46</v>
      </c>
      <c r="L547" t="s">
        <v>42</v>
      </c>
      <c r="M547">
        <v>1</v>
      </c>
      <c r="N547">
        <v>2</v>
      </c>
      <c r="O547">
        <v>1</v>
      </c>
      <c r="P547" t="s">
        <v>44</v>
      </c>
      <c r="Q547" t="s">
        <v>43</v>
      </c>
      <c r="R547" t="s">
        <v>44</v>
      </c>
      <c r="S547">
        <f t="shared" si="8"/>
        <v>0</v>
      </c>
      <c r="T547" t="s">
        <v>43</v>
      </c>
      <c r="U547" t="s">
        <v>44</v>
      </c>
      <c r="V547" t="s">
        <v>43</v>
      </c>
      <c r="W547" t="s">
        <v>43</v>
      </c>
      <c r="X547" t="s">
        <v>43</v>
      </c>
      <c r="Y547">
        <v>5</v>
      </c>
      <c r="Z547">
        <v>4</v>
      </c>
      <c r="AA547">
        <v>4</v>
      </c>
      <c r="AB547">
        <v>3</v>
      </c>
      <c r="AC547">
        <v>4</v>
      </c>
      <c r="AD547">
        <v>5</v>
      </c>
      <c r="AE547">
        <v>8</v>
      </c>
      <c r="AF547">
        <v>8</v>
      </c>
      <c r="AG547">
        <v>9</v>
      </c>
      <c r="AH547">
        <v>8</v>
      </c>
    </row>
    <row r="548" spans="1:34" x14ac:dyDescent="0.2">
      <c r="A548" t="s">
        <v>54</v>
      </c>
      <c r="B548" t="s">
        <v>35</v>
      </c>
      <c r="C548">
        <v>17</v>
      </c>
      <c r="D548" t="s">
        <v>36</v>
      </c>
      <c r="E548" t="s">
        <v>37</v>
      </c>
      <c r="F548" t="s">
        <v>45</v>
      </c>
      <c r="G548">
        <v>4</v>
      </c>
      <c r="H548">
        <v>4</v>
      </c>
      <c r="I548" t="s">
        <v>29</v>
      </c>
      <c r="J548" t="s">
        <v>29</v>
      </c>
      <c r="K548" t="s">
        <v>41</v>
      </c>
      <c r="L548" t="s">
        <v>47</v>
      </c>
      <c r="M548">
        <v>1</v>
      </c>
      <c r="N548">
        <v>2</v>
      </c>
      <c r="O548">
        <v>0</v>
      </c>
      <c r="P548" t="s">
        <v>44</v>
      </c>
      <c r="Q548" t="s">
        <v>43</v>
      </c>
      <c r="R548" t="s">
        <v>44</v>
      </c>
      <c r="S548">
        <f t="shared" si="8"/>
        <v>0</v>
      </c>
      <c r="T548" t="s">
        <v>44</v>
      </c>
      <c r="U548" t="s">
        <v>43</v>
      </c>
      <c r="V548" t="s">
        <v>43</v>
      </c>
      <c r="W548" t="s">
        <v>43</v>
      </c>
      <c r="X548" t="s">
        <v>44</v>
      </c>
      <c r="Y548">
        <v>5</v>
      </c>
      <c r="Z548">
        <v>2</v>
      </c>
      <c r="AA548">
        <v>5</v>
      </c>
      <c r="AB548">
        <v>1</v>
      </c>
      <c r="AC548">
        <v>1</v>
      </c>
      <c r="AD548">
        <v>5</v>
      </c>
      <c r="AE548">
        <v>0</v>
      </c>
      <c r="AF548">
        <v>13</v>
      </c>
      <c r="AG548">
        <v>15</v>
      </c>
      <c r="AH548">
        <v>16</v>
      </c>
    </row>
    <row r="549" spans="1:34" x14ac:dyDescent="0.2">
      <c r="A549" t="s">
        <v>54</v>
      </c>
      <c r="B549" t="s">
        <v>51</v>
      </c>
      <c r="C549">
        <v>16</v>
      </c>
      <c r="D549" t="s">
        <v>53</v>
      </c>
      <c r="E549" t="s">
        <v>48</v>
      </c>
      <c r="F549" t="s">
        <v>45</v>
      </c>
      <c r="G549">
        <v>4</v>
      </c>
      <c r="H549">
        <v>1</v>
      </c>
      <c r="I549" t="s">
        <v>46</v>
      </c>
      <c r="J549" t="s">
        <v>39</v>
      </c>
      <c r="K549" t="s">
        <v>46</v>
      </c>
      <c r="L549" t="s">
        <v>47</v>
      </c>
      <c r="M549">
        <v>1</v>
      </c>
      <c r="N549">
        <v>1</v>
      </c>
      <c r="O549">
        <v>0</v>
      </c>
      <c r="P549" t="s">
        <v>44</v>
      </c>
      <c r="Q549" t="s">
        <v>44</v>
      </c>
      <c r="R549" t="s">
        <v>44</v>
      </c>
      <c r="S549">
        <f t="shared" si="8"/>
        <v>0</v>
      </c>
      <c r="T549" t="s">
        <v>44</v>
      </c>
      <c r="U549" t="s">
        <v>43</v>
      </c>
      <c r="V549" t="s">
        <v>43</v>
      </c>
      <c r="W549" t="s">
        <v>43</v>
      </c>
      <c r="X549" t="s">
        <v>44</v>
      </c>
      <c r="Y549">
        <v>4</v>
      </c>
      <c r="Z549">
        <v>1</v>
      </c>
      <c r="AA549">
        <v>2</v>
      </c>
      <c r="AB549">
        <v>2</v>
      </c>
      <c r="AC549">
        <v>1</v>
      </c>
      <c r="AD549">
        <v>2</v>
      </c>
      <c r="AE549">
        <v>0</v>
      </c>
      <c r="AF549">
        <v>10</v>
      </c>
      <c r="AG549">
        <v>11</v>
      </c>
      <c r="AH549">
        <v>11</v>
      </c>
    </row>
    <row r="550" spans="1:34" x14ac:dyDescent="0.2">
      <c r="A550" t="s">
        <v>54</v>
      </c>
      <c r="B550" t="s">
        <v>35</v>
      </c>
      <c r="C550">
        <v>17</v>
      </c>
      <c r="D550" t="s">
        <v>36</v>
      </c>
      <c r="E550" t="s">
        <v>37</v>
      </c>
      <c r="F550" t="s">
        <v>38</v>
      </c>
      <c r="G550">
        <v>1</v>
      </c>
      <c r="H550">
        <v>1</v>
      </c>
      <c r="I550" t="s">
        <v>39</v>
      </c>
      <c r="J550" t="s">
        <v>39</v>
      </c>
      <c r="K550" t="s">
        <v>46</v>
      </c>
      <c r="L550" t="s">
        <v>42</v>
      </c>
      <c r="M550">
        <v>1</v>
      </c>
      <c r="N550">
        <v>2</v>
      </c>
      <c r="O550">
        <v>0</v>
      </c>
      <c r="P550" t="s">
        <v>44</v>
      </c>
      <c r="Q550" t="s">
        <v>44</v>
      </c>
      <c r="R550" t="s">
        <v>44</v>
      </c>
      <c r="S550">
        <f t="shared" si="8"/>
        <v>0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>
        <v>4</v>
      </c>
      <c r="Z550">
        <v>5</v>
      </c>
      <c r="AA550">
        <v>5</v>
      </c>
      <c r="AB550">
        <v>1</v>
      </c>
      <c r="AC550">
        <v>2</v>
      </c>
      <c r="AD550">
        <v>3</v>
      </c>
      <c r="AE550">
        <v>2</v>
      </c>
      <c r="AF550">
        <v>11</v>
      </c>
      <c r="AG550">
        <v>10</v>
      </c>
      <c r="AH550">
        <v>11</v>
      </c>
    </row>
    <row r="551" spans="1:34" x14ac:dyDescent="0.2">
      <c r="A551" t="s">
        <v>54</v>
      </c>
      <c r="B551" t="s">
        <v>35</v>
      </c>
      <c r="C551">
        <v>17</v>
      </c>
      <c r="D551" t="s">
        <v>53</v>
      </c>
      <c r="E551" t="s">
        <v>37</v>
      </c>
      <c r="F551" t="s">
        <v>45</v>
      </c>
      <c r="G551">
        <v>4</v>
      </c>
      <c r="H551">
        <v>2</v>
      </c>
      <c r="I551" t="s">
        <v>46</v>
      </c>
      <c r="J551" t="s">
        <v>46</v>
      </c>
      <c r="K551" t="s">
        <v>41</v>
      </c>
      <c r="L551" t="s">
        <v>42</v>
      </c>
      <c r="M551">
        <v>2</v>
      </c>
      <c r="N551">
        <v>2</v>
      </c>
      <c r="O551">
        <v>0</v>
      </c>
      <c r="P551" t="s">
        <v>43</v>
      </c>
      <c r="Q551" t="s">
        <v>43</v>
      </c>
      <c r="R551" t="s">
        <v>44</v>
      </c>
      <c r="S551">
        <f t="shared" si="8"/>
        <v>0</v>
      </c>
      <c r="T551" t="s">
        <v>44</v>
      </c>
      <c r="U551" t="s">
        <v>44</v>
      </c>
      <c r="V551" t="s">
        <v>43</v>
      </c>
      <c r="W551" t="s">
        <v>43</v>
      </c>
      <c r="X551" t="s">
        <v>44</v>
      </c>
      <c r="Y551">
        <v>4</v>
      </c>
      <c r="Z551">
        <v>3</v>
      </c>
      <c r="AA551">
        <v>3</v>
      </c>
      <c r="AB551">
        <v>2</v>
      </c>
      <c r="AC551">
        <v>3</v>
      </c>
      <c r="AD551">
        <v>5</v>
      </c>
      <c r="AE551">
        <v>0</v>
      </c>
      <c r="AF551">
        <v>17</v>
      </c>
      <c r="AG551">
        <v>18</v>
      </c>
      <c r="AH551">
        <v>18</v>
      </c>
    </row>
    <row r="552" spans="1:34" x14ac:dyDescent="0.2">
      <c r="A552" t="s">
        <v>54</v>
      </c>
      <c r="B552" t="s">
        <v>51</v>
      </c>
      <c r="C552">
        <v>16</v>
      </c>
      <c r="D552" t="s">
        <v>36</v>
      </c>
      <c r="E552" t="s">
        <v>48</v>
      </c>
      <c r="F552" t="s">
        <v>38</v>
      </c>
      <c r="G552">
        <v>2</v>
      </c>
      <c r="H552">
        <v>2</v>
      </c>
      <c r="I552" t="s">
        <v>46</v>
      </c>
      <c r="J552" t="s">
        <v>49</v>
      </c>
      <c r="K552" t="s">
        <v>41</v>
      </c>
      <c r="L552" t="s">
        <v>47</v>
      </c>
      <c r="M552">
        <v>2</v>
      </c>
      <c r="N552">
        <v>2</v>
      </c>
      <c r="O552">
        <v>0</v>
      </c>
      <c r="P552" t="s">
        <v>44</v>
      </c>
      <c r="Q552" t="s">
        <v>43</v>
      </c>
      <c r="R552" t="s">
        <v>44</v>
      </c>
      <c r="S552">
        <f t="shared" si="8"/>
        <v>0</v>
      </c>
      <c r="T552" t="s">
        <v>44</v>
      </c>
      <c r="U552" t="s">
        <v>44</v>
      </c>
      <c r="V552" t="s">
        <v>43</v>
      </c>
      <c r="W552" t="s">
        <v>43</v>
      </c>
      <c r="X552" t="s">
        <v>43</v>
      </c>
      <c r="Y552">
        <v>4</v>
      </c>
      <c r="Z552">
        <v>1</v>
      </c>
      <c r="AA552">
        <v>2</v>
      </c>
      <c r="AB552">
        <v>2</v>
      </c>
      <c r="AC552">
        <v>2</v>
      </c>
      <c r="AD552">
        <v>5</v>
      </c>
      <c r="AE552">
        <v>0</v>
      </c>
      <c r="AF552">
        <v>12</v>
      </c>
      <c r="AG552">
        <v>13</v>
      </c>
      <c r="AH552">
        <v>13</v>
      </c>
    </row>
    <row r="553" spans="1:34" x14ac:dyDescent="0.2">
      <c r="A553" t="s">
        <v>54</v>
      </c>
      <c r="B553" t="s">
        <v>51</v>
      </c>
      <c r="C553">
        <v>17</v>
      </c>
      <c r="D553" t="s">
        <v>36</v>
      </c>
      <c r="E553" t="s">
        <v>37</v>
      </c>
      <c r="F553" t="s">
        <v>45</v>
      </c>
      <c r="G553">
        <v>3</v>
      </c>
      <c r="H553">
        <v>2</v>
      </c>
      <c r="I553" t="s">
        <v>46</v>
      </c>
      <c r="J553" t="s">
        <v>46</v>
      </c>
      <c r="K553" t="s">
        <v>46</v>
      </c>
      <c r="L553" t="s">
        <v>47</v>
      </c>
      <c r="M553">
        <v>2</v>
      </c>
      <c r="N553">
        <v>2</v>
      </c>
      <c r="O553">
        <v>0</v>
      </c>
      <c r="P553" t="s">
        <v>44</v>
      </c>
      <c r="Q553" t="s">
        <v>43</v>
      </c>
      <c r="R553" t="s">
        <v>43</v>
      </c>
      <c r="S553">
        <f t="shared" si="8"/>
        <v>1</v>
      </c>
      <c r="T553" t="s">
        <v>44</v>
      </c>
      <c r="U553" t="s">
        <v>43</v>
      </c>
      <c r="V553" t="s">
        <v>43</v>
      </c>
      <c r="W553" t="s">
        <v>43</v>
      </c>
      <c r="X553" t="s">
        <v>44</v>
      </c>
      <c r="Y553">
        <v>4</v>
      </c>
      <c r="Z553">
        <v>1</v>
      </c>
      <c r="AA553">
        <v>2</v>
      </c>
      <c r="AB553">
        <v>2</v>
      </c>
      <c r="AC553">
        <v>2</v>
      </c>
      <c r="AD553">
        <v>1</v>
      </c>
      <c r="AE553">
        <v>0</v>
      </c>
      <c r="AF553">
        <v>13</v>
      </c>
      <c r="AG553">
        <v>14</v>
      </c>
      <c r="AH553">
        <v>13</v>
      </c>
    </row>
    <row r="554" spans="1:34" x14ac:dyDescent="0.2">
      <c r="A554" t="s">
        <v>54</v>
      </c>
      <c r="B554" t="s">
        <v>51</v>
      </c>
      <c r="C554">
        <v>19</v>
      </c>
      <c r="D554" t="s">
        <v>36</v>
      </c>
      <c r="E554" t="s">
        <v>37</v>
      </c>
      <c r="F554" t="s">
        <v>45</v>
      </c>
      <c r="G554">
        <v>1</v>
      </c>
      <c r="H554">
        <v>1</v>
      </c>
      <c r="I554" t="s">
        <v>46</v>
      </c>
      <c r="J554" t="s">
        <v>46</v>
      </c>
      <c r="K554" t="s">
        <v>46</v>
      </c>
      <c r="L554" t="s">
        <v>42</v>
      </c>
      <c r="M554">
        <v>1</v>
      </c>
      <c r="N554">
        <v>2</v>
      </c>
      <c r="O554">
        <v>2</v>
      </c>
      <c r="P554" t="s">
        <v>44</v>
      </c>
      <c r="Q554" t="s">
        <v>43</v>
      </c>
      <c r="R554" t="s">
        <v>44</v>
      </c>
      <c r="S554">
        <f t="shared" si="8"/>
        <v>0</v>
      </c>
      <c r="T554" t="s">
        <v>43</v>
      </c>
      <c r="U554" t="s">
        <v>43</v>
      </c>
      <c r="V554" t="s">
        <v>44</v>
      </c>
      <c r="W554" t="s">
        <v>43</v>
      </c>
      <c r="X554" t="s">
        <v>44</v>
      </c>
      <c r="Y554">
        <v>4</v>
      </c>
      <c r="Z554">
        <v>4</v>
      </c>
      <c r="AA554">
        <v>3</v>
      </c>
      <c r="AB554">
        <v>3</v>
      </c>
      <c r="AC554">
        <v>4</v>
      </c>
      <c r="AD554">
        <v>4</v>
      </c>
      <c r="AE554">
        <v>2</v>
      </c>
      <c r="AF554">
        <v>9</v>
      </c>
      <c r="AG554">
        <v>9</v>
      </c>
      <c r="AH554">
        <v>10</v>
      </c>
    </row>
    <row r="555" spans="1:34" x14ac:dyDescent="0.2">
      <c r="A555" t="s">
        <v>54</v>
      </c>
      <c r="B555" t="s">
        <v>51</v>
      </c>
      <c r="C555">
        <v>17</v>
      </c>
      <c r="D555" t="s">
        <v>36</v>
      </c>
      <c r="E555" t="s">
        <v>48</v>
      </c>
      <c r="F555" t="s">
        <v>38</v>
      </c>
      <c r="G555">
        <v>1</v>
      </c>
      <c r="H555">
        <v>0</v>
      </c>
      <c r="I555" t="s">
        <v>46</v>
      </c>
      <c r="J555" t="s">
        <v>46</v>
      </c>
      <c r="K555" t="s">
        <v>50</v>
      </c>
      <c r="L555" t="s">
        <v>42</v>
      </c>
      <c r="M555">
        <v>1</v>
      </c>
      <c r="N555">
        <v>1</v>
      </c>
      <c r="O555">
        <v>0</v>
      </c>
      <c r="P555" t="s">
        <v>44</v>
      </c>
      <c r="Q555" t="s">
        <v>44</v>
      </c>
      <c r="R555" t="s">
        <v>44</v>
      </c>
      <c r="S555">
        <f t="shared" si="8"/>
        <v>0</v>
      </c>
      <c r="T555" t="s">
        <v>44</v>
      </c>
      <c r="U555" t="s">
        <v>43</v>
      </c>
      <c r="V555" t="s">
        <v>43</v>
      </c>
      <c r="W555" t="s">
        <v>44</v>
      </c>
      <c r="X555" t="s">
        <v>43</v>
      </c>
      <c r="Y555">
        <v>4</v>
      </c>
      <c r="Z555">
        <v>1</v>
      </c>
      <c r="AA555">
        <v>2</v>
      </c>
      <c r="AB555">
        <v>1</v>
      </c>
      <c r="AC555">
        <v>1</v>
      </c>
      <c r="AD555">
        <v>5</v>
      </c>
      <c r="AE555">
        <v>4</v>
      </c>
      <c r="AF555">
        <v>11</v>
      </c>
      <c r="AG555">
        <v>11</v>
      </c>
      <c r="AH555">
        <v>12</v>
      </c>
    </row>
    <row r="556" spans="1:34" x14ac:dyDescent="0.2">
      <c r="A556" t="s">
        <v>54</v>
      </c>
      <c r="B556" t="s">
        <v>35</v>
      </c>
      <c r="C556">
        <v>17</v>
      </c>
      <c r="D556" t="s">
        <v>53</v>
      </c>
      <c r="E556" t="s">
        <v>37</v>
      </c>
      <c r="F556" t="s">
        <v>45</v>
      </c>
      <c r="G556">
        <v>1</v>
      </c>
      <c r="H556">
        <v>1</v>
      </c>
      <c r="I556" t="s">
        <v>39</v>
      </c>
      <c r="J556" t="s">
        <v>39</v>
      </c>
      <c r="K556" t="s">
        <v>41</v>
      </c>
      <c r="L556" t="s">
        <v>47</v>
      </c>
      <c r="M556">
        <v>2</v>
      </c>
      <c r="N556">
        <v>1</v>
      </c>
      <c r="O556">
        <v>0</v>
      </c>
      <c r="P556" t="s">
        <v>44</v>
      </c>
      <c r="Q556" t="s">
        <v>43</v>
      </c>
      <c r="R556" t="s">
        <v>44</v>
      </c>
      <c r="S556">
        <f t="shared" si="8"/>
        <v>0</v>
      </c>
      <c r="T556" t="s">
        <v>43</v>
      </c>
      <c r="U556" t="s">
        <v>43</v>
      </c>
      <c r="V556" t="s">
        <v>44</v>
      </c>
      <c r="W556" t="s">
        <v>43</v>
      </c>
      <c r="X556" t="s">
        <v>43</v>
      </c>
      <c r="Y556">
        <v>3</v>
      </c>
      <c r="Z556">
        <v>5</v>
      </c>
      <c r="AA556">
        <v>5</v>
      </c>
      <c r="AB556">
        <v>2</v>
      </c>
      <c r="AC556">
        <v>2</v>
      </c>
      <c r="AD556">
        <v>4</v>
      </c>
      <c r="AE556">
        <v>3</v>
      </c>
      <c r="AF556">
        <v>10</v>
      </c>
      <c r="AG556">
        <v>11</v>
      </c>
      <c r="AH556">
        <v>10</v>
      </c>
    </row>
    <row r="557" spans="1:34" x14ac:dyDescent="0.2">
      <c r="A557" t="s">
        <v>54</v>
      </c>
      <c r="B557" t="s">
        <v>35</v>
      </c>
      <c r="C557">
        <v>16</v>
      </c>
      <c r="D557" t="s">
        <v>53</v>
      </c>
      <c r="E557" t="s">
        <v>37</v>
      </c>
      <c r="F557" t="s">
        <v>45</v>
      </c>
      <c r="G557">
        <v>1</v>
      </c>
      <c r="H557">
        <v>2</v>
      </c>
      <c r="I557" t="s">
        <v>46</v>
      </c>
      <c r="J557" t="s">
        <v>46</v>
      </c>
      <c r="K557" t="s">
        <v>50</v>
      </c>
      <c r="L557" t="s">
        <v>47</v>
      </c>
      <c r="M557">
        <v>1</v>
      </c>
      <c r="N557">
        <v>3</v>
      </c>
      <c r="O557">
        <v>0</v>
      </c>
      <c r="P557" t="s">
        <v>43</v>
      </c>
      <c r="Q557" t="s">
        <v>43</v>
      </c>
      <c r="R557" t="s">
        <v>44</v>
      </c>
      <c r="S557">
        <f t="shared" si="8"/>
        <v>0</v>
      </c>
      <c r="T557" t="s">
        <v>44</v>
      </c>
      <c r="U557" t="s">
        <v>44</v>
      </c>
      <c r="V557" t="s">
        <v>43</v>
      </c>
      <c r="W557" t="s">
        <v>43</v>
      </c>
      <c r="X557" t="s">
        <v>43</v>
      </c>
      <c r="Y557">
        <v>4</v>
      </c>
      <c r="Z557">
        <v>3</v>
      </c>
      <c r="AA557">
        <v>4</v>
      </c>
      <c r="AB557">
        <v>1</v>
      </c>
      <c r="AC557">
        <v>1</v>
      </c>
      <c r="AD557">
        <v>3</v>
      </c>
      <c r="AE557">
        <v>5</v>
      </c>
      <c r="AF557">
        <v>13</v>
      </c>
      <c r="AG557">
        <v>14</v>
      </c>
      <c r="AH557">
        <v>13</v>
      </c>
    </row>
    <row r="558" spans="1:34" x14ac:dyDescent="0.2">
      <c r="A558" t="s">
        <v>54</v>
      </c>
      <c r="B558" t="s">
        <v>51</v>
      </c>
      <c r="C558">
        <v>16</v>
      </c>
      <c r="D558" t="s">
        <v>53</v>
      </c>
      <c r="E558" t="s">
        <v>48</v>
      </c>
      <c r="F558" t="s">
        <v>45</v>
      </c>
      <c r="G558">
        <v>1</v>
      </c>
      <c r="H558">
        <v>2</v>
      </c>
      <c r="I558" t="s">
        <v>46</v>
      </c>
      <c r="J558" t="s">
        <v>39</v>
      </c>
      <c r="K558" t="s">
        <v>41</v>
      </c>
      <c r="L558" t="s">
        <v>42</v>
      </c>
      <c r="M558">
        <v>1</v>
      </c>
      <c r="N558">
        <v>1</v>
      </c>
      <c r="O558">
        <v>0</v>
      </c>
      <c r="P558" t="s">
        <v>44</v>
      </c>
      <c r="Q558" t="s">
        <v>44</v>
      </c>
      <c r="R558" t="s">
        <v>44</v>
      </c>
      <c r="S558">
        <f t="shared" si="8"/>
        <v>0</v>
      </c>
      <c r="T558" t="s">
        <v>44</v>
      </c>
      <c r="U558" t="s">
        <v>43</v>
      </c>
      <c r="V558" t="s">
        <v>43</v>
      </c>
      <c r="W558" t="s">
        <v>44</v>
      </c>
      <c r="X558" t="s">
        <v>44</v>
      </c>
      <c r="Y558">
        <v>4</v>
      </c>
      <c r="Z558">
        <v>4</v>
      </c>
      <c r="AA558">
        <v>4</v>
      </c>
      <c r="AB558">
        <v>2</v>
      </c>
      <c r="AC558">
        <v>4</v>
      </c>
      <c r="AD558">
        <v>5</v>
      </c>
      <c r="AE558">
        <v>4</v>
      </c>
      <c r="AF558">
        <v>9</v>
      </c>
      <c r="AG558">
        <v>10</v>
      </c>
      <c r="AH558">
        <v>11</v>
      </c>
    </row>
    <row r="559" spans="1:34" x14ac:dyDescent="0.2">
      <c r="A559" t="s">
        <v>54</v>
      </c>
      <c r="B559" t="s">
        <v>35</v>
      </c>
      <c r="C559">
        <v>17</v>
      </c>
      <c r="D559" t="s">
        <v>53</v>
      </c>
      <c r="E559" t="s">
        <v>37</v>
      </c>
      <c r="F559" t="s">
        <v>45</v>
      </c>
      <c r="G559">
        <v>3</v>
      </c>
      <c r="H559">
        <v>1</v>
      </c>
      <c r="I559" t="s">
        <v>46</v>
      </c>
      <c r="J559" t="s">
        <v>46</v>
      </c>
      <c r="K559" t="s">
        <v>41</v>
      </c>
      <c r="L559" t="s">
        <v>42</v>
      </c>
      <c r="M559">
        <v>2</v>
      </c>
      <c r="N559">
        <v>2</v>
      </c>
      <c r="O559">
        <v>3</v>
      </c>
      <c r="P559" t="s">
        <v>44</v>
      </c>
      <c r="Q559" t="s">
        <v>43</v>
      </c>
      <c r="R559" t="s">
        <v>44</v>
      </c>
      <c r="S559">
        <f t="shared" si="8"/>
        <v>0</v>
      </c>
      <c r="T559" t="s">
        <v>43</v>
      </c>
      <c r="U559" t="s">
        <v>44</v>
      </c>
      <c r="V559" t="s">
        <v>43</v>
      </c>
      <c r="W559" t="s">
        <v>43</v>
      </c>
      <c r="X559" t="s">
        <v>43</v>
      </c>
      <c r="Y559">
        <v>5</v>
      </c>
      <c r="Z559">
        <v>4</v>
      </c>
      <c r="AA559">
        <v>4</v>
      </c>
      <c r="AB559">
        <v>1</v>
      </c>
      <c r="AC559">
        <v>1</v>
      </c>
      <c r="AD559">
        <v>5</v>
      </c>
      <c r="AE559">
        <v>2</v>
      </c>
      <c r="AF559">
        <v>7</v>
      </c>
      <c r="AG559">
        <v>9</v>
      </c>
      <c r="AH559">
        <v>10</v>
      </c>
    </row>
    <row r="560" spans="1:34" x14ac:dyDescent="0.2">
      <c r="A560" t="s">
        <v>54</v>
      </c>
      <c r="B560" t="s">
        <v>51</v>
      </c>
      <c r="C560">
        <v>17</v>
      </c>
      <c r="D560" t="s">
        <v>53</v>
      </c>
      <c r="E560" t="s">
        <v>37</v>
      </c>
      <c r="F560" t="s">
        <v>45</v>
      </c>
      <c r="G560">
        <v>2</v>
      </c>
      <c r="H560">
        <v>2</v>
      </c>
      <c r="I560" t="s">
        <v>46</v>
      </c>
      <c r="J560" t="s">
        <v>46</v>
      </c>
      <c r="K560" t="s">
        <v>41</v>
      </c>
      <c r="L560" t="s">
        <v>42</v>
      </c>
      <c r="M560">
        <v>2</v>
      </c>
      <c r="N560">
        <v>1</v>
      </c>
      <c r="O560">
        <v>0</v>
      </c>
      <c r="P560" t="s">
        <v>44</v>
      </c>
      <c r="Q560" t="s">
        <v>44</v>
      </c>
      <c r="R560" t="s">
        <v>44</v>
      </c>
      <c r="S560">
        <f t="shared" si="8"/>
        <v>0</v>
      </c>
      <c r="T560" t="s">
        <v>43</v>
      </c>
      <c r="U560" t="s">
        <v>43</v>
      </c>
      <c r="V560" t="s">
        <v>44</v>
      </c>
      <c r="W560" t="s">
        <v>44</v>
      </c>
      <c r="X560" t="s">
        <v>43</v>
      </c>
      <c r="Y560">
        <v>5</v>
      </c>
      <c r="Z560">
        <v>5</v>
      </c>
      <c r="AA560">
        <v>5</v>
      </c>
      <c r="AB560">
        <v>3</v>
      </c>
      <c r="AC560">
        <v>5</v>
      </c>
      <c r="AD560">
        <v>5</v>
      </c>
      <c r="AE560">
        <v>0</v>
      </c>
      <c r="AF560">
        <v>8</v>
      </c>
      <c r="AG560">
        <v>13</v>
      </c>
      <c r="AH560">
        <v>10</v>
      </c>
    </row>
    <row r="561" spans="1:34" x14ac:dyDescent="0.2">
      <c r="A561" t="s">
        <v>54</v>
      </c>
      <c r="B561" t="s">
        <v>51</v>
      </c>
      <c r="C561">
        <v>18</v>
      </c>
      <c r="D561" t="s">
        <v>53</v>
      </c>
      <c r="E561" t="s">
        <v>37</v>
      </c>
      <c r="F561" t="s">
        <v>45</v>
      </c>
      <c r="G561">
        <v>1</v>
      </c>
      <c r="H561">
        <v>0</v>
      </c>
      <c r="I561" t="s">
        <v>39</v>
      </c>
      <c r="J561" t="s">
        <v>39</v>
      </c>
      <c r="K561" t="s">
        <v>41</v>
      </c>
      <c r="L561" t="s">
        <v>46</v>
      </c>
      <c r="M561">
        <v>3</v>
      </c>
      <c r="N561">
        <v>1</v>
      </c>
      <c r="O561">
        <v>1</v>
      </c>
      <c r="P561" t="s">
        <v>43</v>
      </c>
      <c r="Q561" t="s">
        <v>43</v>
      </c>
      <c r="R561" t="s">
        <v>44</v>
      </c>
      <c r="S561">
        <f t="shared" si="8"/>
        <v>0</v>
      </c>
      <c r="T561" t="s">
        <v>44</v>
      </c>
      <c r="U561" t="s">
        <v>43</v>
      </c>
      <c r="V561" t="s">
        <v>43</v>
      </c>
      <c r="W561" t="s">
        <v>44</v>
      </c>
      <c r="X561" t="s">
        <v>44</v>
      </c>
      <c r="Y561">
        <v>4</v>
      </c>
      <c r="Z561">
        <v>3</v>
      </c>
      <c r="AA561">
        <v>2</v>
      </c>
      <c r="AB561">
        <v>1</v>
      </c>
      <c r="AC561">
        <v>1</v>
      </c>
      <c r="AD561">
        <v>4</v>
      </c>
      <c r="AE561">
        <v>0</v>
      </c>
      <c r="AF561">
        <v>12</v>
      </c>
      <c r="AG561">
        <v>12</v>
      </c>
      <c r="AH561">
        <v>13</v>
      </c>
    </row>
    <row r="562" spans="1:34" x14ac:dyDescent="0.2">
      <c r="A562" t="s">
        <v>54</v>
      </c>
      <c r="B562" t="s">
        <v>51</v>
      </c>
      <c r="C562">
        <v>17</v>
      </c>
      <c r="D562" t="s">
        <v>53</v>
      </c>
      <c r="E562" t="s">
        <v>37</v>
      </c>
      <c r="F562" t="s">
        <v>45</v>
      </c>
      <c r="G562">
        <v>1</v>
      </c>
      <c r="H562">
        <v>1</v>
      </c>
      <c r="I562" t="s">
        <v>46</v>
      </c>
      <c r="J562" t="s">
        <v>49</v>
      </c>
      <c r="K562" t="s">
        <v>41</v>
      </c>
      <c r="L562" t="s">
        <v>42</v>
      </c>
      <c r="M562">
        <v>2</v>
      </c>
      <c r="N562">
        <v>1</v>
      </c>
      <c r="O562">
        <v>0</v>
      </c>
      <c r="P562" t="s">
        <v>44</v>
      </c>
      <c r="Q562" t="s">
        <v>43</v>
      </c>
      <c r="R562" t="s">
        <v>44</v>
      </c>
      <c r="S562">
        <f t="shared" si="8"/>
        <v>0</v>
      </c>
      <c r="T562" t="s">
        <v>43</v>
      </c>
      <c r="U562" t="s">
        <v>44</v>
      </c>
      <c r="V562" t="s">
        <v>43</v>
      </c>
      <c r="W562" t="s">
        <v>43</v>
      </c>
      <c r="X562" t="s">
        <v>43</v>
      </c>
      <c r="Y562">
        <v>4</v>
      </c>
      <c r="Z562">
        <v>5</v>
      </c>
      <c r="AA562">
        <v>5</v>
      </c>
      <c r="AB562">
        <v>1</v>
      </c>
      <c r="AC562">
        <v>3</v>
      </c>
      <c r="AD562">
        <v>2</v>
      </c>
      <c r="AE562">
        <v>0</v>
      </c>
      <c r="AF562">
        <v>10</v>
      </c>
      <c r="AG562">
        <v>9</v>
      </c>
      <c r="AH562">
        <v>10</v>
      </c>
    </row>
    <row r="563" spans="1:34" x14ac:dyDescent="0.2">
      <c r="A563" t="s">
        <v>54</v>
      </c>
      <c r="B563" t="s">
        <v>51</v>
      </c>
      <c r="C563">
        <v>18</v>
      </c>
      <c r="D563" t="s">
        <v>36</v>
      </c>
      <c r="E563" t="s">
        <v>48</v>
      </c>
      <c r="F563" t="s">
        <v>45</v>
      </c>
      <c r="G563">
        <v>1</v>
      </c>
      <c r="H563">
        <v>1</v>
      </c>
      <c r="I563" t="s">
        <v>39</v>
      </c>
      <c r="J563" t="s">
        <v>39</v>
      </c>
      <c r="K563" t="s">
        <v>41</v>
      </c>
      <c r="L563" t="s">
        <v>42</v>
      </c>
      <c r="M563">
        <v>2</v>
      </c>
      <c r="N563">
        <v>2</v>
      </c>
      <c r="O563">
        <v>0</v>
      </c>
      <c r="P563" t="s">
        <v>44</v>
      </c>
      <c r="Q563" t="s">
        <v>43</v>
      </c>
      <c r="R563" t="s">
        <v>44</v>
      </c>
      <c r="S563">
        <f t="shared" si="8"/>
        <v>0</v>
      </c>
      <c r="T563" t="s">
        <v>43</v>
      </c>
      <c r="U563" t="s">
        <v>43</v>
      </c>
      <c r="V563" t="s">
        <v>43</v>
      </c>
      <c r="W563" t="s">
        <v>44</v>
      </c>
      <c r="X563" t="s">
        <v>44</v>
      </c>
      <c r="Y563">
        <v>4</v>
      </c>
      <c r="Z563">
        <v>3</v>
      </c>
      <c r="AA563">
        <v>3</v>
      </c>
      <c r="AB563">
        <v>1</v>
      </c>
      <c r="AC563">
        <v>4</v>
      </c>
      <c r="AD563">
        <v>5</v>
      </c>
      <c r="AE563">
        <v>6</v>
      </c>
      <c r="AF563">
        <v>10</v>
      </c>
      <c r="AG563">
        <v>9</v>
      </c>
      <c r="AH563">
        <v>10</v>
      </c>
    </row>
    <row r="564" spans="1:34" x14ac:dyDescent="0.2">
      <c r="A564" t="s">
        <v>54</v>
      </c>
      <c r="B564" t="s">
        <v>35</v>
      </c>
      <c r="C564">
        <v>16</v>
      </c>
      <c r="D564" t="s">
        <v>53</v>
      </c>
      <c r="E564" t="s">
        <v>48</v>
      </c>
      <c r="F564" t="s">
        <v>45</v>
      </c>
      <c r="G564">
        <v>2</v>
      </c>
      <c r="H564">
        <v>2</v>
      </c>
      <c r="I564" t="s">
        <v>46</v>
      </c>
      <c r="J564" t="s">
        <v>49</v>
      </c>
      <c r="K564" t="s">
        <v>41</v>
      </c>
      <c r="L564" t="s">
        <v>47</v>
      </c>
      <c r="M564">
        <v>1</v>
      </c>
      <c r="N564">
        <v>2</v>
      </c>
      <c r="O564">
        <v>0</v>
      </c>
      <c r="P564" t="s">
        <v>44</v>
      </c>
      <c r="Q564" t="s">
        <v>44</v>
      </c>
      <c r="R564" t="s">
        <v>44</v>
      </c>
      <c r="S564">
        <f t="shared" si="8"/>
        <v>0</v>
      </c>
      <c r="T564" t="s">
        <v>43</v>
      </c>
      <c r="U564" t="s">
        <v>43</v>
      </c>
      <c r="V564" t="s">
        <v>43</v>
      </c>
      <c r="W564" t="s">
        <v>44</v>
      </c>
      <c r="X564" t="s">
        <v>43</v>
      </c>
      <c r="Y564">
        <v>5</v>
      </c>
      <c r="Z564">
        <v>4</v>
      </c>
      <c r="AA564">
        <v>3</v>
      </c>
      <c r="AB564">
        <v>1</v>
      </c>
      <c r="AC564">
        <v>1</v>
      </c>
      <c r="AD564">
        <v>1</v>
      </c>
      <c r="AE564">
        <v>0</v>
      </c>
      <c r="AF564">
        <v>11</v>
      </c>
      <c r="AG564">
        <v>13</v>
      </c>
      <c r="AH564">
        <v>12</v>
      </c>
    </row>
    <row r="565" spans="1:34" x14ac:dyDescent="0.2">
      <c r="A565" t="s">
        <v>54</v>
      </c>
      <c r="B565" t="s">
        <v>51</v>
      </c>
      <c r="C565">
        <v>17</v>
      </c>
      <c r="D565" t="s">
        <v>36</v>
      </c>
      <c r="E565" t="s">
        <v>37</v>
      </c>
      <c r="F565" t="s">
        <v>45</v>
      </c>
      <c r="G565">
        <v>2</v>
      </c>
      <c r="H565">
        <v>2</v>
      </c>
      <c r="I565" t="s">
        <v>46</v>
      </c>
      <c r="J565" t="s">
        <v>46</v>
      </c>
      <c r="K565" t="s">
        <v>41</v>
      </c>
      <c r="L565" t="s">
        <v>42</v>
      </c>
      <c r="M565">
        <v>1</v>
      </c>
      <c r="N565">
        <v>1</v>
      </c>
      <c r="O565">
        <v>1</v>
      </c>
      <c r="P565" t="s">
        <v>44</v>
      </c>
      <c r="Q565" t="s">
        <v>44</v>
      </c>
      <c r="R565" t="s">
        <v>44</v>
      </c>
      <c r="S565">
        <f t="shared" si="8"/>
        <v>0</v>
      </c>
      <c r="T565" t="s">
        <v>43</v>
      </c>
      <c r="U565" t="s">
        <v>43</v>
      </c>
      <c r="V565" t="s">
        <v>43</v>
      </c>
      <c r="W565" t="s">
        <v>44</v>
      </c>
      <c r="X565" t="s">
        <v>43</v>
      </c>
      <c r="Y565">
        <v>1</v>
      </c>
      <c r="Z565">
        <v>2</v>
      </c>
      <c r="AA565">
        <v>1</v>
      </c>
      <c r="AB565">
        <v>2</v>
      </c>
      <c r="AC565">
        <v>3</v>
      </c>
      <c r="AD565">
        <v>5</v>
      </c>
      <c r="AE565">
        <v>0</v>
      </c>
      <c r="AF565">
        <v>7</v>
      </c>
      <c r="AG565">
        <v>0</v>
      </c>
      <c r="AH565">
        <v>0</v>
      </c>
    </row>
    <row r="566" spans="1:34" x14ac:dyDescent="0.2">
      <c r="A566" t="s">
        <v>54</v>
      </c>
      <c r="B566" t="s">
        <v>51</v>
      </c>
      <c r="C566">
        <v>16</v>
      </c>
      <c r="D566" t="s">
        <v>53</v>
      </c>
      <c r="E566" t="s">
        <v>37</v>
      </c>
      <c r="F566" t="s">
        <v>45</v>
      </c>
      <c r="G566">
        <v>3</v>
      </c>
      <c r="H566">
        <v>2</v>
      </c>
      <c r="I566" t="s">
        <v>49</v>
      </c>
      <c r="J566" t="s">
        <v>46</v>
      </c>
      <c r="K566" t="s">
        <v>41</v>
      </c>
      <c r="L566" t="s">
        <v>47</v>
      </c>
      <c r="M566">
        <v>2</v>
      </c>
      <c r="N566">
        <v>1</v>
      </c>
      <c r="O566">
        <v>0</v>
      </c>
      <c r="P566" t="s">
        <v>44</v>
      </c>
      <c r="Q566" t="s">
        <v>44</v>
      </c>
      <c r="R566" t="s">
        <v>44</v>
      </c>
      <c r="S566">
        <f t="shared" si="8"/>
        <v>0</v>
      </c>
      <c r="T566" t="s">
        <v>44</v>
      </c>
      <c r="U566" t="s">
        <v>43</v>
      </c>
      <c r="V566" t="s">
        <v>43</v>
      </c>
      <c r="W566" t="s">
        <v>43</v>
      </c>
      <c r="X566" t="s">
        <v>44</v>
      </c>
      <c r="Y566">
        <v>4</v>
      </c>
      <c r="Z566">
        <v>5</v>
      </c>
      <c r="AA566">
        <v>5</v>
      </c>
      <c r="AB566">
        <v>2</v>
      </c>
      <c r="AC566">
        <v>3</v>
      </c>
      <c r="AD566">
        <v>5</v>
      </c>
      <c r="AE566">
        <v>2</v>
      </c>
      <c r="AF566">
        <v>11</v>
      </c>
      <c r="AG566">
        <v>9</v>
      </c>
      <c r="AH566">
        <v>10</v>
      </c>
    </row>
    <row r="567" spans="1:34" x14ac:dyDescent="0.2">
      <c r="A567" t="s">
        <v>54</v>
      </c>
      <c r="B567" t="s">
        <v>51</v>
      </c>
      <c r="C567">
        <v>16</v>
      </c>
      <c r="D567" t="s">
        <v>53</v>
      </c>
      <c r="E567" t="s">
        <v>48</v>
      </c>
      <c r="F567" t="s">
        <v>45</v>
      </c>
      <c r="G567">
        <v>1</v>
      </c>
      <c r="H567">
        <v>1</v>
      </c>
      <c r="I567" t="s">
        <v>39</v>
      </c>
      <c r="J567" t="s">
        <v>46</v>
      </c>
      <c r="K567" t="s">
        <v>41</v>
      </c>
      <c r="L567" t="s">
        <v>42</v>
      </c>
      <c r="M567">
        <v>2</v>
      </c>
      <c r="N567">
        <v>1</v>
      </c>
      <c r="O567">
        <v>0</v>
      </c>
      <c r="P567" t="s">
        <v>44</v>
      </c>
      <c r="Q567" t="s">
        <v>44</v>
      </c>
      <c r="R567" t="s">
        <v>44</v>
      </c>
      <c r="S567">
        <f t="shared" si="8"/>
        <v>0</v>
      </c>
      <c r="T567" t="s">
        <v>43</v>
      </c>
      <c r="U567" t="s">
        <v>43</v>
      </c>
      <c r="V567" t="s">
        <v>43</v>
      </c>
      <c r="W567" t="s">
        <v>43</v>
      </c>
      <c r="X567" t="s">
        <v>44</v>
      </c>
      <c r="Y567">
        <v>4</v>
      </c>
      <c r="Z567">
        <v>5</v>
      </c>
      <c r="AA567">
        <v>5</v>
      </c>
      <c r="AB567">
        <v>2</v>
      </c>
      <c r="AC567">
        <v>4</v>
      </c>
      <c r="AD567">
        <v>5</v>
      </c>
      <c r="AE567">
        <v>0</v>
      </c>
      <c r="AF567">
        <v>10</v>
      </c>
      <c r="AG567">
        <v>10</v>
      </c>
      <c r="AH567">
        <v>9</v>
      </c>
    </row>
    <row r="568" spans="1:34" x14ac:dyDescent="0.2">
      <c r="A568" t="s">
        <v>54</v>
      </c>
      <c r="B568" t="s">
        <v>51</v>
      </c>
      <c r="C568">
        <v>18</v>
      </c>
      <c r="D568" t="s">
        <v>53</v>
      </c>
      <c r="E568" t="s">
        <v>37</v>
      </c>
      <c r="F568" t="s">
        <v>45</v>
      </c>
      <c r="G568">
        <v>1</v>
      </c>
      <c r="H568">
        <v>1</v>
      </c>
      <c r="I568" t="s">
        <v>49</v>
      </c>
      <c r="J568" t="s">
        <v>46</v>
      </c>
      <c r="K568" t="s">
        <v>41</v>
      </c>
      <c r="L568" t="s">
        <v>46</v>
      </c>
      <c r="M568">
        <v>2</v>
      </c>
      <c r="N568">
        <v>1</v>
      </c>
      <c r="O568">
        <v>1</v>
      </c>
      <c r="P568" t="s">
        <v>44</v>
      </c>
      <c r="Q568" t="s">
        <v>43</v>
      </c>
      <c r="R568" t="s">
        <v>44</v>
      </c>
      <c r="S568">
        <f t="shared" si="8"/>
        <v>0</v>
      </c>
      <c r="T568" t="s">
        <v>44</v>
      </c>
      <c r="U568" t="s">
        <v>43</v>
      </c>
      <c r="V568" t="s">
        <v>44</v>
      </c>
      <c r="W568" t="s">
        <v>43</v>
      </c>
      <c r="X568" t="s">
        <v>43</v>
      </c>
      <c r="Y568">
        <v>5</v>
      </c>
      <c r="Z568">
        <v>3</v>
      </c>
      <c r="AA568">
        <v>3</v>
      </c>
      <c r="AB568">
        <v>2</v>
      </c>
      <c r="AC568">
        <v>3</v>
      </c>
      <c r="AD568">
        <v>5</v>
      </c>
      <c r="AE568">
        <v>2</v>
      </c>
      <c r="AF568">
        <v>9</v>
      </c>
      <c r="AG568">
        <v>7</v>
      </c>
      <c r="AH568">
        <v>9</v>
      </c>
    </row>
    <row r="569" spans="1:34" x14ac:dyDescent="0.2">
      <c r="A569" t="s">
        <v>54</v>
      </c>
      <c r="B569" t="s">
        <v>51</v>
      </c>
      <c r="C569">
        <v>18</v>
      </c>
      <c r="D569" t="s">
        <v>53</v>
      </c>
      <c r="E569" t="s">
        <v>37</v>
      </c>
      <c r="F569" t="s">
        <v>45</v>
      </c>
      <c r="G569">
        <v>3</v>
      </c>
      <c r="H569">
        <v>2</v>
      </c>
      <c r="I569" t="s">
        <v>49</v>
      </c>
      <c r="J569" t="s">
        <v>46</v>
      </c>
      <c r="K569" t="s">
        <v>41</v>
      </c>
      <c r="L569" t="s">
        <v>42</v>
      </c>
      <c r="M569">
        <v>1</v>
      </c>
      <c r="N569">
        <v>1</v>
      </c>
      <c r="O569">
        <v>1</v>
      </c>
      <c r="P569" t="s">
        <v>44</v>
      </c>
      <c r="Q569" t="s">
        <v>44</v>
      </c>
      <c r="R569" t="s">
        <v>44</v>
      </c>
      <c r="S569">
        <f t="shared" si="8"/>
        <v>0</v>
      </c>
      <c r="T569" t="s">
        <v>44</v>
      </c>
      <c r="U569" t="s">
        <v>43</v>
      </c>
      <c r="V569" t="s">
        <v>44</v>
      </c>
      <c r="W569" t="s">
        <v>43</v>
      </c>
      <c r="X569" t="s">
        <v>44</v>
      </c>
      <c r="Y569">
        <v>2</v>
      </c>
      <c r="Z569">
        <v>3</v>
      </c>
      <c r="AA569">
        <v>1</v>
      </c>
      <c r="AB569">
        <v>2</v>
      </c>
      <c r="AC569">
        <v>2</v>
      </c>
      <c r="AD569">
        <v>5</v>
      </c>
      <c r="AE569">
        <v>0</v>
      </c>
      <c r="AF569">
        <v>4</v>
      </c>
      <c r="AG569">
        <v>0</v>
      </c>
      <c r="AH569">
        <v>0</v>
      </c>
    </row>
    <row r="570" spans="1:34" x14ac:dyDescent="0.2">
      <c r="A570" t="s">
        <v>54</v>
      </c>
      <c r="B570" t="s">
        <v>51</v>
      </c>
      <c r="C570">
        <v>19</v>
      </c>
      <c r="D570" t="s">
        <v>36</v>
      </c>
      <c r="E570" t="s">
        <v>37</v>
      </c>
      <c r="F570" t="s">
        <v>45</v>
      </c>
      <c r="G570">
        <v>3</v>
      </c>
      <c r="H570">
        <v>2</v>
      </c>
      <c r="I570" t="s">
        <v>39</v>
      </c>
      <c r="J570" t="s">
        <v>49</v>
      </c>
      <c r="K570" t="s">
        <v>41</v>
      </c>
      <c r="L570" t="s">
        <v>42</v>
      </c>
      <c r="M570">
        <v>2</v>
      </c>
      <c r="N570">
        <v>1</v>
      </c>
      <c r="O570">
        <v>3</v>
      </c>
      <c r="P570" t="s">
        <v>44</v>
      </c>
      <c r="Q570" t="s">
        <v>44</v>
      </c>
      <c r="R570" t="s">
        <v>44</v>
      </c>
      <c r="S570">
        <f t="shared" si="8"/>
        <v>0</v>
      </c>
      <c r="T570" t="s">
        <v>43</v>
      </c>
      <c r="U570" t="s">
        <v>43</v>
      </c>
      <c r="V570" t="s">
        <v>43</v>
      </c>
      <c r="W570" t="s">
        <v>44</v>
      </c>
      <c r="X570" t="s">
        <v>44</v>
      </c>
      <c r="Y570">
        <v>3</v>
      </c>
      <c r="Z570">
        <v>2</v>
      </c>
      <c r="AA570">
        <v>1</v>
      </c>
      <c r="AB570">
        <v>1</v>
      </c>
      <c r="AC570">
        <v>1</v>
      </c>
      <c r="AD570">
        <v>3</v>
      </c>
      <c r="AE570">
        <v>4</v>
      </c>
      <c r="AF570">
        <v>6</v>
      </c>
      <c r="AG570">
        <v>11</v>
      </c>
      <c r="AH570">
        <v>9</v>
      </c>
    </row>
    <row r="571" spans="1:34" x14ac:dyDescent="0.2">
      <c r="A571" t="s">
        <v>54</v>
      </c>
      <c r="B571" t="s">
        <v>51</v>
      </c>
      <c r="C571">
        <v>18</v>
      </c>
      <c r="D571" t="s">
        <v>36</v>
      </c>
      <c r="E571" t="s">
        <v>37</v>
      </c>
      <c r="F571" t="s">
        <v>45</v>
      </c>
      <c r="G571">
        <v>3</v>
      </c>
      <c r="H571">
        <v>3</v>
      </c>
      <c r="I571" t="s">
        <v>39</v>
      </c>
      <c r="J571" t="s">
        <v>39</v>
      </c>
      <c r="K571" t="s">
        <v>41</v>
      </c>
      <c r="L571" t="s">
        <v>42</v>
      </c>
      <c r="M571">
        <v>1</v>
      </c>
      <c r="N571">
        <v>2</v>
      </c>
      <c r="O571">
        <v>2</v>
      </c>
      <c r="P571" t="s">
        <v>44</v>
      </c>
      <c r="Q571" t="s">
        <v>43</v>
      </c>
      <c r="R571" t="s">
        <v>44</v>
      </c>
      <c r="S571">
        <f t="shared" si="8"/>
        <v>0</v>
      </c>
      <c r="T571" t="s">
        <v>43</v>
      </c>
      <c r="U571" t="s">
        <v>43</v>
      </c>
      <c r="V571" t="s">
        <v>44</v>
      </c>
      <c r="W571" t="s">
        <v>43</v>
      </c>
      <c r="X571" t="s">
        <v>44</v>
      </c>
      <c r="Y571">
        <v>4</v>
      </c>
      <c r="Z571">
        <v>4</v>
      </c>
      <c r="AA571">
        <v>5</v>
      </c>
      <c r="AB571">
        <v>1</v>
      </c>
      <c r="AC571">
        <v>3</v>
      </c>
      <c r="AD571">
        <v>3</v>
      </c>
      <c r="AE571">
        <v>9</v>
      </c>
      <c r="AF571">
        <v>4</v>
      </c>
      <c r="AG571">
        <v>8</v>
      </c>
      <c r="AH571">
        <v>8</v>
      </c>
    </row>
    <row r="572" spans="1:34" x14ac:dyDescent="0.2">
      <c r="A572" t="s">
        <v>54</v>
      </c>
      <c r="B572" t="s">
        <v>51</v>
      </c>
      <c r="C572">
        <v>16</v>
      </c>
      <c r="D572" t="s">
        <v>53</v>
      </c>
      <c r="E572" t="s">
        <v>37</v>
      </c>
      <c r="F572" t="s">
        <v>45</v>
      </c>
      <c r="G572">
        <v>2</v>
      </c>
      <c r="H572">
        <v>2</v>
      </c>
      <c r="I572" t="s">
        <v>49</v>
      </c>
      <c r="J572" t="s">
        <v>49</v>
      </c>
      <c r="K572" t="s">
        <v>41</v>
      </c>
      <c r="L572" t="s">
        <v>42</v>
      </c>
      <c r="M572">
        <v>2</v>
      </c>
      <c r="N572">
        <v>1</v>
      </c>
      <c r="O572">
        <v>0</v>
      </c>
      <c r="P572" t="s">
        <v>44</v>
      </c>
      <c r="Q572" t="s">
        <v>43</v>
      </c>
      <c r="R572" t="s">
        <v>44</v>
      </c>
      <c r="S572">
        <f t="shared" si="8"/>
        <v>0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>
        <v>5</v>
      </c>
      <c r="Z572">
        <v>4</v>
      </c>
      <c r="AA572">
        <v>3</v>
      </c>
      <c r="AB572">
        <v>2</v>
      </c>
      <c r="AC572">
        <v>4</v>
      </c>
      <c r="AD572">
        <v>4</v>
      </c>
      <c r="AE572">
        <v>6</v>
      </c>
      <c r="AF572">
        <v>7</v>
      </c>
      <c r="AG572">
        <v>8</v>
      </c>
      <c r="AH572">
        <v>8</v>
      </c>
    </row>
    <row r="573" spans="1:34" x14ac:dyDescent="0.2">
      <c r="A573" t="s">
        <v>54</v>
      </c>
      <c r="B573" t="s">
        <v>51</v>
      </c>
      <c r="C573">
        <v>19</v>
      </c>
      <c r="D573" t="s">
        <v>36</v>
      </c>
      <c r="E573" t="s">
        <v>37</v>
      </c>
      <c r="F573" t="s">
        <v>45</v>
      </c>
      <c r="G573">
        <v>2</v>
      </c>
      <c r="H573">
        <v>1</v>
      </c>
      <c r="I573" t="s">
        <v>39</v>
      </c>
      <c r="J573" t="s">
        <v>46</v>
      </c>
      <c r="K573" t="s">
        <v>41</v>
      </c>
      <c r="L573" t="s">
        <v>46</v>
      </c>
      <c r="M573">
        <v>2</v>
      </c>
      <c r="N573">
        <v>1</v>
      </c>
      <c r="O573">
        <v>3</v>
      </c>
      <c r="P573" t="s">
        <v>44</v>
      </c>
      <c r="Q573" t="s">
        <v>44</v>
      </c>
      <c r="R573" t="s">
        <v>44</v>
      </c>
      <c r="S573">
        <f t="shared" si="8"/>
        <v>0</v>
      </c>
      <c r="T573" t="s">
        <v>43</v>
      </c>
      <c r="U573" t="s">
        <v>44</v>
      </c>
      <c r="V573" t="s">
        <v>44</v>
      </c>
      <c r="W573" t="s">
        <v>43</v>
      </c>
      <c r="X573" t="s">
        <v>43</v>
      </c>
      <c r="Y573">
        <v>4</v>
      </c>
      <c r="Z573">
        <v>4</v>
      </c>
      <c r="AA573">
        <v>3</v>
      </c>
      <c r="AB573">
        <v>1</v>
      </c>
      <c r="AC573">
        <v>3</v>
      </c>
      <c r="AD573">
        <v>5</v>
      </c>
      <c r="AE573">
        <v>4</v>
      </c>
      <c r="AF573">
        <v>8</v>
      </c>
      <c r="AG573">
        <v>9</v>
      </c>
      <c r="AH573">
        <v>9</v>
      </c>
    </row>
    <row r="574" spans="1:34" x14ac:dyDescent="0.2">
      <c r="A574" t="s">
        <v>54</v>
      </c>
      <c r="B574" t="s">
        <v>35</v>
      </c>
      <c r="C574">
        <v>16</v>
      </c>
      <c r="D574" t="s">
        <v>36</v>
      </c>
      <c r="E574" t="s">
        <v>37</v>
      </c>
      <c r="F574" t="s">
        <v>38</v>
      </c>
      <c r="G574">
        <v>3</v>
      </c>
      <c r="H574">
        <v>2</v>
      </c>
      <c r="I574" t="s">
        <v>49</v>
      </c>
      <c r="J574" t="s">
        <v>39</v>
      </c>
      <c r="K574" t="s">
        <v>41</v>
      </c>
      <c r="L574" t="s">
        <v>42</v>
      </c>
      <c r="M574">
        <v>2</v>
      </c>
      <c r="N574">
        <v>2</v>
      </c>
      <c r="O574">
        <v>2</v>
      </c>
      <c r="P574" t="s">
        <v>44</v>
      </c>
      <c r="Q574" t="s">
        <v>43</v>
      </c>
      <c r="R574" t="s">
        <v>44</v>
      </c>
      <c r="S574">
        <f t="shared" si="8"/>
        <v>0</v>
      </c>
      <c r="T574" t="s">
        <v>43</v>
      </c>
      <c r="U574" t="s">
        <v>43</v>
      </c>
      <c r="V574" t="s">
        <v>43</v>
      </c>
      <c r="W574" t="s">
        <v>44</v>
      </c>
      <c r="X574" t="s">
        <v>43</v>
      </c>
      <c r="Y574">
        <v>2</v>
      </c>
      <c r="Z574">
        <v>5</v>
      </c>
      <c r="AA574">
        <v>5</v>
      </c>
      <c r="AB574">
        <v>1</v>
      </c>
      <c r="AC574">
        <v>1</v>
      </c>
      <c r="AD574">
        <v>1</v>
      </c>
      <c r="AE574">
        <v>8</v>
      </c>
      <c r="AF574">
        <v>5</v>
      </c>
      <c r="AG574">
        <v>5</v>
      </c>
      <c r="AH574">
        <v>7</v>
      </c>
    </row>
    <row r="575" spans="1:34" x14ac:dyDescent="0.2">
      <c r="A575" t="s">
        <v>54</v>
      </c>
      <c r="B575" t="s">
        <v>35</v>
      </c>
      <c r="C575">
        <v>17</v>
      </c>
      <c r="D575" t="s">
        <v>36</v>
      </c>
      <c r="E575" t="s">
        <v>37</v>
      </c>
      <c r="F575" t="s">
        <v>45</v>
      </c>
      <c r="G575">
        <v>1</v>
      </c>
      <c r="H575">
        <v>1</v>
      </c>
      <c r="I575" t="s">
        <v>46</v>
      </c>
      <c r="J575" t="s">
        <v>39</v>
      </c>
      <c r="K575" t="s">
        <v>41</v>
      </c>
      <c r="L575" t="s">
        <v>42</v>
      </c>
      <c r="M575">
        <v>1</v>
      </c>
      <c r="N575">
        <v>1</v>
      </c>
      <c r="O575">
        <v>0</v>
      </c>
      <c r="P575" t="s">
        <v>44</v>
      </c>
      <c r="Q575" t="s">
        <v>43</v>
      </c>
      <c r="R575" t="s">
        <v>44</v>
      </c>
      <c r="S575">
        <f t="shared" si="8"/>
        <v>0</v>
      </c>
      <c r="T575" t="s">
        <v>43</v>
      </c>
      <c r="U575" t="s">
        <v>43</v>
      </c>
      <c r="V575" t="s">
        <v>43</v>
      </c>
      <c r="W575" t="s">
        <v>44</v>
      </c>
      <c r="X575" t="s">
        <v>44</v>
      </c>
      <c r="Y575">
        <v>4</v>
      </c>
      <c r="Z575">
        <v>3</v>
      </c>
      <c r="AA575">
        <v>2</v>
      </c>
      <c r="AB575">
        <v>1</v>
      </c>
      <c r="AC575">
        <v>2</v>
      </c>
      <c r="AD575">
        <v>5</v>
      </c>
      <c r="AE575">
        <v>9</v>
      </c>
      <c r="AF575">
        <v>7</v>
      </c>
      <c r="AG575">
        <v>9</v>
      </c>
      <c r="AH575">
        <v>10</v>
      </c>
    </row>
    <row r="576" spans="1:34" x14ac:dyDescent="0.2">
      <c r="A576" t="s">
        <v>54</v>
      </c>
      <c r="B576" t="s">
        <v>51</v>
      </c>
      <c r="C576">
        <v>20</v>
      </c>
      <c r="D576" t="s">
        <v>53</v>
      </c>
      <c r="E576" t="s">
        <v>37</v>
      </c>
      <c r="F576" t="s">
        <v>45</v>
      </c>
      <c r="G576">
        <v>1</v>
      </c>
      <c r="H576">
        <v>1</v>
      </c>
      <c r="I576" t="s">
        <v>46</v>
      </c>
      <c r="J576" t="s">
        <v>46</v>
      </c>
      <c r="K576" t="s">
        <v>41</v>
      </c>
      <c r="L576" t="s">
        <v>46</v>
      </c>
      <c r="M576">
        <v>2</v>
      </c>
      <c r="N576">
        <v>1</v>
      </c>
      <c r="O576">
        <v>1</v>
      </c>
      <c r="P576" t="s">
        <v>44</v>
      </c>
      <c r="Q576" t="s">
        <v>43</v>
      </c>
      <c r="R576" t="s">
        <v>44</v>
      </c>
      <c r="S576">
        <f t="shared" si="8"/>
        <v>0</v>
      </c>
      <c r="T576" t="s">
        <v>44</v>
      </c>
      <c r="U576" t="s">
        <v>43</v>
      </c>
      <c r="V576" t="s">
        <v>44</v>
      </c>
      <c r="W576" t="s">
        <v>43</v>
      </c>
      <c r="X576" t="s">
        <v>43</v>
      </c>
      <c r="Y576">
        <v>4</v>
      </c>
      <c r="Z576">
        <v>4</v>
      </c>
      <c r="AA576">
        <v>3</v>
      </c>
      <c r="AB576">
        <v>2</v>
      </c>
      <c r="AC576">
        <v>4</v>
      </c>
      <c r="AD576">
        <v>4</v>
      </c>
      <c r="AE576">
        <v>12</v>
      </c>
      <c r="AF576">
        <v>8</v>
      </c>
      <c r="AG576">
        <v>11</v>
      </c>
      <c r="AH576">
        <v>10</v>
      </c>
    </row>
    <row r="577" spans="1:34" x14ac:dyDescent="0.2">
      <c r="A577" t="s">
        <v>54</v>
      </c>
      <c r="B577" t="s">
        <v>35</v>
      </c>
      <c r="C577">
        <v>18</v>
      </c>
      <c r="D577" t="s">
        <v>53</v>
      </c>
      <c r="E577" t="s">
        <v>37</v>
      </c>
      <c r="F577" t="s">
        <v>38</v>
      </c>
      <c r="G577">
        <v>4</v>
      </c>
      <c r="H577">
        <v>3</v>
      </c>
      <c r="I577" t="s">
        <v>49</v>
      </c>
      <c r="J577" t="s">
        <v>49</v>
      </c>
      <c r="K577" t="s">
        <v>41</v>
      </c>
      <c r="L577" t="s">
        <v>42</v>
      </c>
      <c r="M577">
        <v>1</v>
      </c>
      <c r="N577">
        <v>1</v>
      </c>
      <c r="O577">
        <v>0</v>
      </c>
      <c r="P577" t="s">
        <v>44</v>
      </c>
      <c r="Q577" t="s">
        <v>43</v>
      </c>
      <c r="R577" t="s">
        <v>44</v>
      </c>
      <c r="S577">
        <f t="shared" si="8"/>
        <v>0</v>
      </c>
      <c r="T577" t="s">
        <v>44</v>
      </c>
      <c r="U577" t="s">
        <v>43</v>
      </c>
      <c r="V577" t="s">
        <v>43</v>
      </c>
      <c r="W577" t="s">
        <v>43</v>
      </c>
      <c r="X577" t="s">
        <v>44</v>
      </c>
      <c r="Y577">
        <v>5</v>
      </c>
      <c r="Z577">
        <v>4</v>
      </c>
      <c r="AA577">
        <v>4</v>
      </c>
      <c r="AB577">
        <v>3</v>
      </c>
      <c r="AC577">
        <v>4</v>
      </c>
      <c r="AD577">
        <v>2</v>
      </c>
      <c r="AE577">
        <v>8</v>
      </c>
      <c r="AF577">
        <v>10</v>
      </c>
      <c r="AG577">
        <v>11</v>
      </c>
      <c r="AH577">
        <v>10</v>
      </c>
    </row>
    <row r="578" spans="1:34" x14ac:dyDescent="0.2">
      <c r="A578" t="s">
        <v>54</v>
      </c>
      <c r="B578" t="s">
        <v>51</v>
      </c>
      <c r="C578">
        <v>18</v>
      </c>
      <c r="D578" t="s">
        <v>53</v>
      </c>
      <c r="E578" t="s">
        <v>37</v>
      </c>
      <c r="F578" t="s">
        <v>45</v>
      </c>
      <c r="G578">
        <v>3</v>
      </c>
      <c r="H578">
        <v>2</v>
      </c>
      <c r="I578" t="s">
        <v>46</v>
      </c>
      <c r="J578" t="s">
        <v>46</v>
      </c>
      <c r="K578" t="s">
        <v>41</v>
      </c>
      <c r="L578" t="s">
        <v>42</v>
      </c>
      <c r="M578">
        <v>2</v>
      </c>
      <c r="N578">
        <v>1</v>
      </c>
      <c r="O578">
        <v>0</v>
      </c>
      <c r="P578" t="s">
        <v>44</v>
      </c>
      <c r="Q578" t="s">
        <v>43</v>
      </c>
      <c r="R578" t="s">
        <v>44</v>
      </c>
      <c r="S578">
        <f t="shared" si="8"/>
        <v>0</v>
      </c>
      <c r="T578" t="s">
        <v>44</v>
      </c>
      <c r="U578" t="s">
        <v>44</v>
      </c>
      <c r="V578" t="s">
        <v>43</v>
      </c>
      <c r="W578" t="s">
        <v>43</v>
      </c>
      <c r="X578" t="s">
        <v>44</v>
      </c>
      <c r="Y578">
        <v>2</v>
      </c>
      <c r="Z578">
        <v>5</v>
      </c>
      <c r="AA578">
        <v>5</v>
      </c>
      <c r="AB578">
        <v>5</v>
      </c>
      <c r="AC578">
        <v>5</v>
      </c>
      <c r="AD578">
        <v>5</v>
      </c>
      <c r="AE578">
        <v>8</v>
      </c>
      <c r="AF578">
        <v>9</v>
      </c>
      <c r="AG578">
        <v>10</v>
      </c>
      <c r="AH578">
        <v>11</v>
      </c>
    </row>
    <row r="579" spans="1:34" x14ac:dyDescent="0.2">
      <c r="A579" t="s">
        <v>54</v>
      </c>
      <c r="B579" t="s">
        <v>51</v>
      </c>
      <c r="C579">
        <v>19</v>
      </c>
      <c r="D579" t="s">
        <v>53</v>
      </c>
      <c r="E579" t="s">
        <v>37</v>
      </c>
      <c r="F579" t="s">
        <v>45</v>
      </c>
      <c r="G579">
        <v>1</v>
      </c>
      <c r="H579">
        <v>1</v>
      </c>
      <c r="I579" t="s">
        <v>46</v>
      </c>
      <c r="J579" t="s">
        <v>49</v>
      </c>
      <c r="K579" t="s">
        <v>50</v>
      </c>
      <c r="L579" t="s">
        <v>46</v>
      </c>
      <c r="M579">
        <v>3</v>
      </c>
      <c r="N579">
        <v>2</v>
      </c>
      <c r="O579">
        <v>1</v>
      </c>
      <c r="P579" t="s">
        <v>44</v>
      </c>
      <c r="Q579" t="s">
        <v>44</v>
      </c>
      <c r="R579" t="s">
        <v>44</v>
      </c>
      <c r="S579">
        <f t="shared" ref="S579:S642" si="9">IF(R579="yes",1,0)</f>
        <v>0</v>
      </c>
      <c r="T579" t="s">
        <v>44</v>
      </c>
      <c r="U579" t="s">
        <v>43</v>
      </c>
      <c r="V579" t="s">
        <v>43</v>
      </c>
      <c r="W579" t="s">
        <v>43</v>
      </c>
      <c r="X579" t="s">
        <v>44</v>
      </c>
      <c r="Y579">
        <v>5</v>
      </c>
      <c r="Z579">
        <v>4</v>
      </c>
      <c r="AA579">
        <v>4</v>
      </c>
      <c r="AB579">
        <v>3</v>
      </c>
      <c r="AC579">
        <v>3</v>
      </c>
      <c r="AD579">
        <v>2</v>
      </c>
      <c r="AE579">
        <v>8</v>
      </c>
      <c r="AF579">
        <v>10</v>
      </c>
      <c r="AG579">
        <v>9</v>
      </c>
      <c r="AH579">
        <v>11</v>
      </c>
    </row>
    <row r="580" spans="1:34" x14ac:dyDescent="0.2">
      <c r="A580" t="s">
        <v>54</v>
      </c>
      <c r="B580" t="s">
        <v>51</v>
      </c>
      <c r="C580">
        <v>17</v>
      </c>
      <c r="D580" t="s">
        <v>36</v>
      </c>
      <c r="E580" t="s">
        <v>37</v>
      </c>
      <c r="F580" t="s">
        <v>45</v>
      </c>
      <c r="G580">
        <v>3</v>
      </c>
      <c r="H580">
        <v>3</v>
      </c>
      <c r="I580" t="s">
        <v>29</v>
      </c>
      <c r="J580" t="s">
        <v>46</v>
      </c>
      <c r="K580" t="s">
        <v>41</v>
      </c>
      <c r="L580" t="s">
        <v>42</v>
      </c>
      <c r="M580">
        <v>2</v>
      </c>
      <c r="N580">
        <v>2</v>
      </c>
      <c r="O580">
        <v>1</v>
      </c>
      <c r="P580" t="s">
        <v>44</v>
      </c>
      <c r="Q580" t="s">
        <v>43</v>
      </c>
      <c r="R580" t="s">
        <v>44</v>
      </c>
      <c r="S580">
        <f t="shared" si="9"/>
        <v>0</v>
      </c>
      <c r="T580" t="s">
        <v>44</v>
      </c>
      <c r="U580" t="s">
        <v>43</v>
      </c>
      <c r="V580" t="s">
        <v>43</v>
      </c>
      <c r="W580" t="s">
        <v>43</v>
      </c>
      <c r="X580" t="s">
        <v>44</v>
      </c>
      <c r="Y580">
        <v>4</v>
      </c>
      <c r="Z580">
        <v>5</v>
      </c>
      <c r="AA580">
        <v>4</v>
      </c>
      <c r="AB580">
        <v>2</v>
      </c>
      <c r="AC580">
        <v>3</v>
      </c>
      <c r="AD580">
        <v>3</v>
      </c>
      <c r="AE580">
        <v>4</v>
      </c>
      <c r="AF580">
        <v>8</v>
      </c>
      <c r="AG580">
        <v>9</v>
      </c>
      <c r="AH580">
        <v>10</v>
      </c>
    </row>
    <row r="581" spans="1:34" x14ac:dyDescent="0.2">
      <c r="A581" t="s">
        <v>54</v>
      </c>
      <c r="B581" t="s">
        <v>51</v>
      </c>
      <c r="C581">
        <v>18</v>
      </c>
      <c r="D581" t="s">
        <v>36</v>
      </c>
      <c r="E581" t="s">
        <v>48</v>
      </c>
      <c r="F581" t="s">
        <v>45</v>
      </c>
      <c r="G581">
        <v>1</v>
      </c>
      <c r="H581">
        <v>3</v>
      </c>
      <c r="I581" t="s">
        <v>39</v>
      </c>
      <c r="J581" t="s">
        <v>49</v>
      </c>
      <c r="K581" t="s">
        <v>41</v>
      </c>
      <c r="L581" t="s">
        <v>42</v>
      </c>
      <c r="M581">
        <v>1</v>
      </c>
      <c r="N581">
        <v>1</v>
      </c>
      <c r="O581">
        <v>0</v>
      </c>
      <c r="P581" t="s">
        <v>44</v>
      </c>
      <c r="Q581" t="s">
        <v>44</v>
      </c>
      <c r="R581" t="s">
        <v>44</v>
      </c>
      <c r="S581">
        <f t="shared" si="9"/>
        <v>0</v>
      </c>
      <c r="T581" t="s">
        <v>44</v>
      </c>
      <c r="U581" t="s">
        <v>43</v>
      </c>
      <c r="V581" t="s">
        <v>44</v>
      </c>
      <c r="W581" t="s">
        <v>43</v>
      </c>
      <c r="X581" t="s">
        <v>43</v>
      </c>
      <c r="Y581">
        <v>4</v>
      </c>
      <c r="Z581">
        <v>3</v>
      </c>
      <c r="AA581">
        <v>3</v>
      </c>
      <c r="AB581">
        <v>2</v>
      </c>
      <c r="AC581">
        <v>3</v>
      </c>
      <c r="AD581">
        <v>3</v>
      </c>
      <c r="AE581">
        <v>0</v>
      </c>
      <c r="AF581">
        <v>9</v>
      </c>
      <c r="AG581">
        <v>10</v>
      </c>
      <c r="AH581">
        <v>9</v>
      </c>
    </row>
    <row r="582" spans="1:34" x14ac:dyDescent="0.2">
      <c r="A582" t="s">
        <v>54</v>
      </c>
      <c r="B582" t="s">
        <v>51</v>
      </c>
      <c r="C582">
        <v>19</v>
      </c>
      <c r="D582" t="s">
        <v>53</v>
      </c>
      <c r="E582" t="s">
        <v>37</v>
      </c>
      <c r="F582" t="s">
        <v>45</v>
      </c>
      <c r="G582">
        <v>1</v>
      </c>
      <c r="H582">
        <v>1</v>
      </c>
      <c r="I582" t="s">
        <v>46</v>
      </c>
      <c r="J582" t="s">
        <v>46</v>
      </c>
      <c r="K582" t="s">
        <v>50</v>
      </c>
      <c r="L582" t="s">
        <v>46</v>
      </c>
      <c r="M582">
        <v>3</v>
      </c>
      <c r="N582">
        <v>1</v>
      </c>
      <c r="O582">
        <v>1</v>
      </c>
      <c r="P582" t="s">
        <v>44</v>
      </c>
      <c r="Q582" t="s">
        <v>43</v>
      </c>
      <c r="R582" t="s">
        <v>44</v>
      </c>
      <c r="S582">
        <f t="shared" si="9"/>
        <v>0</v>
      </c>
      <c r="T582" t="s">
        <v>44</v>
      </c>
      <c r="U582" t="s">
        <v>43</v>
      </c>
      <c r="V582" t="s">
        <v>43</v>
      </c>
      <c r="W582" t="s">
        <v>43</v>
      </c>
      <c r="X582" t="s">
        <v>44</v>
      </c>
      <c r="Y582">
        <v>4</v>
      </c>
      <c r="Z582">
        <v>4</v>
      </c>
      <c r="AA582">
        <v>4</v>
      </c>
      <c r="AB582">
        <v>3</v>
      </c>
      <c r="AC582">
        <v>3</v>
      </c>
      <c r="AD582">
        <v>5</v>
      </c>
      <c r="AE582">
        <v>4</v>
      </c>
      <c r="AF582">
        <v>8</v>
      </c>
      <c r="AG582">
        <v>9</v>
      </c>
      <c r="AH582">
        <v>10</v>
      </c>
    </row>
    <row r="583" spans="1:34" x14ac:dyDescent="0.2">
      <c r="A583" t="s">
        <v>54</v>
      </c>
      <c r="B583" t="s">
        <v>35</v>
      </c>
      <c r="C583">
        <v>18</v>
      </c>
      <c r="D583" t="s">
        <v>36</v>
      </c>
      <c r="E583" t="s">
        <v>37</v>
      </c>
      <c r="F583" t="s">
        <v>38</v>
      </c>
      <c r="G583">
        <v>1</v>
      </c>
      <c r="H583">
        <v>2</v>
      </c>
      <c r="I583" t="s">
        <v>39</v>
      </c>
      <c r="J583" t="s">
        <v>46</v>
      </c>
      <c r="K583" t="s">
        <v>41</v>
      </c>
      <c r="L583" t="s">
        <v>42</v>
      </c>
      <c r="M583">
        <v>2</v>
      </c>
      <c r="N583">
        <v>2</v>
      </c>
      <c r="O583">
        <v>2</v>
      </c>
      <c r="P583" t="s">
        <v>44</v>
      </c>
      <c r="Q583" t="s">
        <v>43</v>
      </c>
      <c r="R583" t="s">
        <v>44</v>
      </c>
      <c r="S583">
        <f t="shared" si="9"/>
        <v>0</v>
      </c>
      <c r="T583" t="s">
        <v>44</v>
      </c>
      <c r="U583" t="s">
        <v>43</v>
      </c>
      <c r="V583" t="s">
        <v>43</v>
      </c>
      <c r="W583" t="s">
        <v>44</v>
      </c>
      <c r="X583" t="s">
        <v>44</v>
      </c>
      <c r="Y583">
        <v>4</v>
      </c>
      <c r="Z583">
        <v>3</v>
      </c>
      <c r="AA583">
        <v>3</v>
      </c>
      <c r="AB583">
        <v>1</v>
      </c>
      <c r="AC583">
        <v>1</v>
      </c>
      <c r="AD583">
        <v>5</v>
      </c>
      <c r="AE583">
        <v>2</v>
      </c>
      <c r="AF583">
        <v>6</v>
      </c>
      <c r="AG583">
        <v>8</v>
      </c>
      <c r="AH583">
        <v>8</v>
      </c>
    </row>
    <row r="584" spans="1:34" x14ac:dyDescent="0.2">
      <c r="A584" t="s">
        <v>54</v>
      </c>
      <c r="B584" t="s">
        <v>35</v>
      </c>
      <c r="C584">
        <v>19</v>
      </c>
      <c r="D584" t="s">
        <v>36</v>
      </c>
      <c r="E584" t="s">
        <v>48</v>
      </c>
      <c r="F584" t="s">
        <v>38</v>
      </c>
      <c r="G584">
        <v>1</v>
      </c>
      <c r="H584">
        <v>1</v>
      </c>
      <c r="I584" t="s">
        <v>39</v>
      </c>
      <c r="J584" t="s">
        <v>46</v>
      </c>
      <c r="K584" t="s">
        <v>41</v>
      </c>
      <c r="L584" t="s">
        <v>42</v>
      </c>
      <c r="M584">
        <v>1</v>
      </c>
      <c r="N584">
        <v>1</v>
      </c>
      <c r="O584">
        <v>0</v>
      </c>
      <c r="P584" t="s">
        <v>44</v>
      </c>
      <c r="Q584" t="s">
        <v>43</v>
      </c>
      <c r="R584" t="s">
        <v>44</v>
      </c>
      <c r="S584">
        <f t="shared" si="9"/>
        <v>0</v>
      </c>
      <c r="T584" t="s">
        <v>44</v>
      </c>
      <c r="U584" t="s">
        <v>43</v>
      </c>
      <c r="V584" t="s">
        <v>44</v>
      </c>
      <c r="W584" t="s">
        <v>44</v>
      </c>
      <c r="X584" t="s">
        <v>44</v>
      </c>
      <c r="Y584">
        <v>1</v>
      </c>
      <c r="Z584">
        <v>4</v>
      </c>
      <c r="AA584">
        <v>4</v>
      </c>
      <c r="AB584">
        <v>1</v>
      </c>
      <c r="AC584">
        <v>1</v>
      </c>
      <c r="AD584">
        <v>5</v>
      </c>
      <c r="AE584">
        <v>0</v>
      </c>
      <c r="AF584">
        <v>6</v>
      </c>
      <c r="AG584">
        <v>8</v>
      </c>
      <c r="AH584">
        <v>7</v>
      </c>
    </row>
    <row r="585" spans="1:34" x14ac:dyDescent="0.2">
      <c r="A585" t="s">
        <v>54</v>
      </c>
      <c r="B585" t="s">
        <v>35</v>
      </c>
      <c r="C585">
        <v>18</v>
      </c>
      <c r="D585" t="s">
        <v>53</v>
      </c>
      <c r="E585" t="s">
        <v>37</v>
      </c>
      <c r="F585" t="s">
        <v>45</v>
      </c>
      <c r="G585">
        <v>2</v>
      </c>
      <c r="H585">
        <v>2</v>
      </c>
      <c r="I585" t="s">
        <v>46</v>
      </c>
      <c r="J585" t="s">
        <v>46</v>
      </c>
      <c r="K585" t="s">
        <v>46</v>
      </c>
      <c r="L585" t="s">
        <v>42</v>
      </c>
      <c r="M585">
        <v>2</v>
      </c>
      <c r="N585">
        <v>1</v>
      </c>
      <c r="O585">
        <v>1</v>
      </c>
      <c r="P585" t="s">
        <v>44</v>
      </c>
      <c r="Q585" t="s">
        <v>44</v>
      </c>
      <c r="R585" t="s">
        <v>44</v>
      </c>
      <c r="S585">
        <f t="shared" si="9"/>
        <v>0</v>
      </c>
      <c r="T585" t="s">
        <v>44</v>
      </c>
      <c r="U585" t="s">
        <v>43</v>
      </c>
      <c r="V585" t="s">
        <v>44</v>
      </c>
      <c r="W585" t="s">
        <v>43</v>
      </c>
      <c r="X585" t="s">
        <v>43</v>
      </c>
      <c r="Y585">
        <v>5</v>
      </c>
      <c r="Z585">
        <v>5</v>
      </c>
      <c r="AA585">
        <v>5</v>
      </c>
      <c r="AB585">
        <v>1</v>
      </c>
      <c r="AC585">
        <v>1</v>
      </c>
      <c r="AD585">
        <v>3</v>
      </c>
      <c r="AE585">
        <v>0</v>
      </c>
      <c r="AF585">
        <v>8</v>
      </c>
      <c r="AG585">
        <v>6</v>
      </c>
      <c r="AH585">
        <v>0</v>
      </c>
    </row>
    <row r="586" spans="1:34" x14ac:dyDescent="0.2">
      <c r="A586" t="s">
        <v>54</v>
      </c>
      <c r="B586" t="s">
        <v>35</v>
      </c>
      <c r="C586">
        <v>17</v>
      </c>
      <c r="D586" t="s">
        <v>53</v>
      </c>
      <c r="E586" t="s">
        <v>37</v>
      </c>
      <c r="F586" t="s">
        <v>45</v>
      </c>
      <c r="G586">
        <v>0</v>
      </c>
      <c r="H586">
        <v>0</v>
      </c>
      <c r="I586" t="s">
        <v>39</v>
      </c>
      <c r="J586" t="s">
        <v>46</v>
      </c>
      <c r="K586" t="s">
        <v>41</v>
      </c>
      <c r="L586" t="s">
        <v>42</v>
      </c>
      <c r="M586">
        <v>2</v>
      </c>
      <c r="N586">
        <v>1</v>
      </c>
      <c r="O586">
        <v>0</v>
      </c>
      <c r="P586" t="s">
        <v>44</v>
      </c>
      <c r="Q586" t="s">
        <v>43</v>
      </c>
      <c r="R586" t="s">
        <v>44</v>
      </c>
      <c r="S586">
        <f t="shared" si="9"/>
        <v>0</v>
      </c>
      <c r="T586" t="s">
        <v>44</v>
      </c>
      <c r="U586" t="s">
        <v>43</v>
      </c>
      <c r="V586" t="s">
        <v>43</v>
      </c>
      <c r="W586" t="s">
        <v>43</v>
      </c>
      <c r="X586" t="s">
        <v>44</v>
      </c>
      <c r="Y586">
        <v>4</v>
      </c>
      <c r="Z586">
        <v>4</v>
      </c>
      <c r="AA586">
        <v>3</v>
      </c>
      <c r="AB586">
        <v>1</v>
      </c>
      <c r="AC586">
        <v>1</v>
      </c>
      <c r="AD586">
        <v>5</v>
      </c>
      <c r="AE586">
        <v>0</v>
      </c>
      <c r="AF586">
        <v>10</v>
      </c>
      <c r="AG586">
        <v>11</v>
      </c>
      <c r="AH586">
        <v>11</v>
      </c>
    </row>
    <row r="587" spans="1:34" x14ac:dyDescent="0.2">
      <c r="A587" t="s">
        <v>54</v>
      </c>
      <c r="B587" t="s">
        <v>35</v>
      </c>
      <c r="C587">
        <v>17</v>
      </c>
      <c r="D587" t="s">
        <v>53</v>
      </c>
      <c r="E587" t="s">
        <v>48</v>
      </c>
      <c r="F587" t="s">
        <v>38</v>
      </c>
      <c r="G587">
        <v>3</v>
      </c>
      <c r="H587">
        <v>1</v>
      </c>
      <c r="I587" t="s">
        <v>46</v>
      </c>
      <c r="J587" t="s">
        <v>39</v>
      </c>
      <c r="K587" t="s">
        <v>41</v>
      </c>
      <c r="L587" t="s">
        <v>46</v>
      </c>
      <c r="M587">
        <v>2</v>
      </c>
      <c r="N587">
        <v>3</v>
      </c>
      <c r="O587">
        <v>0</v>
      </c>
      <c r="P587" t="s">
        <v>44</v>
      </c>
      <c r="Q587" t="s">
        <v>43</v>
      </c>
      <c r="R587" t="s">
        <v>43</v>
      </c>
      <c r="S587">
        <f t="shared" si="9"/>
        <v>1</v>
      </c>
      <c r="T587" t="s">
        <v>44</v>
      </c>
      <c r="U587" t="s">
        <v>43</v>
      </c>
      <c r="V587" t="s">
        <v>44</v>
      </c>
      <c r="W587" t="s">
        <v>44</v>
      </c>
      <c r="X587" t="s">
        <v>44</v>
      </c>
      <c r="Y587">
        <v>4</v>
      </c>
      <c r="Z587">
        <v>2</v>
      </c>
      <c r="AA587">
        <v>3</v>
      </c>
      <c r="AB587">
        <v>2</v>
      </c>
      <c r="AC587">
        <v>2</v>
      </c>
      <c r="AD587">
        <v>3</v>
      </c>
      <c r="AE587">
        <v>5</v>
      </c>
      <c r="AF587">
        <v>8</v>
      </c>
      <c r="AG587">
        <v>7</v>
      </c>
      <c r="AH587">
        <v>8</v>
      </c>
    </row>
    <row r="588" spans="1:34" x14ac:dyDescent="0.2">
      <c r="A588" t="s">
        <v>54</v>
      </c>
      <c r="B588" t="s">
        <v>35</v>
      </c>
      <c r="C588">
        <v>17</v>
      </c>
      <c r="D588" t="s">
        <v>36</v>
      </c>
      <c r="E588" t="s">
        <v>37</v>
      </c>
      <c r="F588" t="s">
        <v>45</v>
      </c>
      <c r="G588">
        <v>4</v>
      </c>
      <c r="H588">
        <v>2</v>
      </c>
      <c r="I588" t="s">
        <v>40</v>
      </c>
      <c r="J588" t="s">
        <v>49</v>
      </c>
      <c r="K588" t="s">
        <v>50</v>
      </c>
      <c r="L588" t="s">
        <v>42</v>
      </c>
      <c r="M588">
        <v>1</v>
      </c>
      <c r="N588">
        <v>2</v>
      </c>
      <c r="O588">
        <v>0</v>
      </c>
      <c r="P588" t="s">
        <v>43</v>
      </c>
      <c r="Q588" t="s">
        <v>43</v>
      </c>
      <c r="R588" t="s">
        <v>44</v>
      </c>
      <c r="S588">
        <f t="shared" si="9"/>
        <v>0</v>
      </c>
      <c r="T588" t="s">
        <v>43</v>
      </c>
      <c r="U588" t="s">
        <v>43</v>
      </c>
      <c r="V588" t="s">
        <v>43</v>
      </c>
      <c r="W588" t="s">
        <v>43</v>
      </c>
      <c r="X588" t="s">
        <v>44</v>
      </c>
      <c r="Y588">
        <v>5</v>
      </c>
      <c r="Z588">
        <v>5</v>
      </c>
      <c r="AA588">
        <v>5</v>
      </c>
      <c r="AB588">
        <v>1</v>
      </c>
      <c r="AC588">
        <v>3</v>
      </c>
      <c r="AD588">
        <v>5</v>
      </c>
      <c r="AE588">
        <v>0</v>
      </c>
      <c r="AF588">
        <v>8</v>
      </c>
      <c r="AG588">
        <v>8</v>
      </c>
      <c r="AH588">
        <v>0</v>
      </c>
    </row>
    <row r="589" spans="1:34" x14ac:dyDescent="0.2">
      <c r="A589" t="s">
        <v>54</v>
      </c>
      <c r="B589" t="s">
        <v>35</v>
      </c>
      <c r="C589">
        <v>18</v>
      </c>
      <c r="D589" t="s">
        <v>53</v>
      </c>
      <c r="E589" t="s">
        <v>48</v>
      </c>
      <c r="F589" t="s">
        <v>45</v>
      </c>
      <c r="G589">
        <v>2</v>
      </c>
      <c r="H589">
        <v>2</v>
      </c>
      <c r="I589" t="s">
        <v>49</v>
      </c>
      <c r="J589" t="s">
        <v>49</v>
      </c>
      <c r="K589" t="s">
        <v>41</v>
      </c>
      <c r="L589" t="s">
        <v>42</v>
      </c>
      <c r="M589">
        <v>1</v>
      </c>
      <c r="N589">
        <v>2</v>
      </c>
      <c r="O589">
        <v>1</v>
      </c>
      <c r="P589" t="s">
        <v>44</v>
      </c>
      <c r="Q589" t="s">
        <v>43</v>
      </c>
      <c r="R589" t="s">
        <v>44</v>
      </c>
      <c r="S589">
        <f t="shared" si="9"/>
        <v>0</v>
      </c>
      <c r="T589" t="s">
        <v>43</v>
      </c>
      <c r="U589" t="s">
        <v>43</v>
      </c>
      <c r="V589" t="s">
        <v>43</v>
      </c>
      <c r="W589" t="s">
        <v>43</v>
      </c>
      <c r="X589" t="s">
        <v>44</v>
      </c>
      <c r="Y589">
        <v>2</v>
      </c>
      <c r="Z589">
        <v>3</v>
      </c>
      <c r="AA589">
        <v>3</v>
      </c>
      <c r="AB589">
        <v>1</v>
      </c>
      <c r="AC589">
        <v>2</v>
      </c>
      <c r="AD589">
        <v>4</v>
      </c>
      <c r="AE589">
        <v>3</v>
      </c>
      <c r="AF589">
        <v>7</v>
      </c>
      <c r="AG589">
        <v>6</v>
      </c>
      <c r="AH589">
        <v>8</v>
      </c>
    </row>
    <row r="590" spans="1:34" x14ac:dyDescent="0.2">
      <c r="A590" t="s">
        <v>54</v>
      </c>
      <c r="B590" t="s">
        <v>35</v>
      </c>
      <c r="C590">
        <v>17</v>
      </c>
      <c r="D590" t="s">
        <v>36</v>
      </c>
      <c r="E590" t="s">
        <v>37</v>
      </c>
      <c r="F590" t="s">
        <v>45</v>
      </c>
      <c r="G590">
        <v>4</v>
      </c>
      <c r="H590">
        <v>1</v>
      </c>
      <c r="I590" t="s">
        <v>29</v>
      </c>
      <c r="J590" t="s">
        <v>39</v>
      </c>
      <c r="K590" t="s">
        <v>41</v>
      </c>
      <c r="L590" t="s">
        <v>42</v>
      </c>
      <c r="M590">
        <v>1</v>
      </c>
      <c r="N590">
        <v>1</v>
      </c>
      <c r="O590">
        <v>0</v>
      </c>
      <c r="P590" t="s">
        <v>44</v>
      </c>
      <c r="Q590" t="s">
        <v>43</v>
      </c>
      <c r="R590" t="s">
        <v>44</v>
      </c>
      <c r="S590">
        <f t="shared" si="9"/>
        <v>0</v>
      </c>
      <c r="T590" t="s">
        <v>44</v>
      </c>
      <c r="U590" t="s">
        <v>43</v>
      </c>
      <c r="V590" t="s">
        <v>43</v>
      </c>
      <c r="W590" t="s">
        <v>44</v>
      </c>
      <c r="X590" t="s">
        <v>43</v>
      </c>
      <c r="Y590">
        <v>3</v>
      </c>
      <c r="Z590">
        <v>2</v>
      </c>
      <c r="AA590">
        <v>2</v>
      </c>
      <c r="AB590">
        <v>1</v>
      </c>
      <c r="AC590">
        <v>1</v>
      </c>
      <c r="AD590">
        <v>5</v>
      </c>
      <c r="AE590">
        <v>0</v>
      </c>
      <c r="AF590">
        <v>8</v>
      </c>
      <c r="AG590">
        <v>10</v>
      </c>
      <c r="AH590">
        <v>9</v>
      </c>
    </row>
    <row r="591" spans="1:34" x14ac:dyDescent="0.2">
      <c r="A591" t="s">
        <v>54</v>
      </c>
      <c r="B591" t="s">
        <v>35</v>
      </c>
      <c r="C591">
        <v>17</v>
      </c>
      <c r="D591" t="s">
        <v>36</v>
      </c>
      <c r="E591" t="s">
        <v>48</v>
      </c>
      <c r="F591" t="s">
        <v>45</v>
      </c>
      <c r="G591">
        <v>1</v>
      </c>
      <c r="H591">
        <v>2</v>
      </c>
      <c r="I591" t="s">
        <v>39</v>
      </c>
      <c r="J591" t="s">
        <v>46</v>
      </c>
      <c r="K591" t="s">
        <v>41</v>
      </c>
      <c r="L591" t="s">
        <v>47</v>
      </c>
      <c r="M591">
        <v>1</v>
      </c>
      <c r="N591">
        <v>1</v>
      </c>
      <c r="O591">
        <v>0</v>
      </c>
      <c r="P591" t="s">
        <v>44</v>
      </c>
      <c r="Q591" t="s">
        <v>44</v>
      </c>
      <c r="R591" t="s">
        <v>44</v>
      </c>
      <c r="S591">
        <f t="shared" si="9"/>
        <v>0</v>
      </c>
      <c r="T591" t="s">
        <v>44</v>
      </c>
      <c r="U591" t="s">
        <v>43</v>
      </c>
      <c r="V591" t="s">
        <v>43</v>
      </c>
      <c r="W591" t="s">
        <v>43</v>
      </c>
      <c r="X591" t="s">
        <v>44</v>
      </c>
      <c r="Y591">
        <v>5</v>
      </c>
      <c r="Z591">
        <v>5</v>
      </c>
      <c r="AA591">
        <v>1</v>
      </c>
      <c r="AB591">
        <v>1</v>
      </c>
      <c r="AC591">
        <v>1</v>
      </c>
      <c r="AD591">
        <v>3</v>
      </c>
      <c r="AE591">
        <v>0</v>
      </c>
      <c r="AF591">
        <v>7</v>
      </c>
      <c r="AG591">
        <v>10</v>
      </c>
      <c r="AH591">
        <v>10</v>
      </c>
    </row>
    <row r="592" spans="1:34" x14ac:dyDescent="0.2">
      <c r="A592" t="s">
        <v>54</v>
      </c>
      <c r="B592" t="s">
        <v>35</v>
      </c>
      <c r="C592">
        <v>18</v>
      </c>
      <c r="D592" t="s">
        <v>36</v>
      </c>
      <c r="E592" t="s">
        <v>37</v>
      </c>
      <c r="F592" t="s">
        <v>45</v>
      </c>
      <c r="G592">
        <v>1</v>
      </c>
      <c r="H592">
        <v>1</v>
      </c>
      <c r="I592" t="s">
        <v>46</v>
      </c>
      <c r="J592" t="s">
        <v>46</v>
      </c>
      <c r="K592" t="s">
        <v>41</v>
      </c>
      <c r="L592" t="s">
        <v>42</v>
      </c>
      <c r="M592">
        <v>3</v>
      </c>
      <c r="N592">
        <v>2</v>
      </c>
      <c r="O592">
        <v>2</v>
      </c>
      <c r="P592" t="s">
        <v>44</v>
      </c>
      <c r="Q592" t="s">
        <v>44</v>
      </c>
      <c r="R592" t="s">
        <v>44</v>
      </c>
      <c r="S592">
        <f t="shared" si="9"/>
        <v>0</v>
      </c>
      <c r="T592" t="s">
        <v>43</v>
      </c>
      <c r="U592" t="s">
        <v>43</v>
      </c>
      <c r="V592" t="s">
        <v>43</v>
      </c>
      <c r="W592" t="s">
        <v>44</v>
      </c>
      <c r="X592" t="s">
        <v>43</v>
      </c>
      <c r="Y592">
        <v>3</v>
      </c>
      <c r="Z592">
        <v>4</v>
      </c>
      <c r="AA592">
        <v>4</v>
      </c>
      <c r="AB592">
        <v>2</v>
      </c>
      <c r="AC592">
        <v>2</v>
      </c>
      <c r="AD592">
        <v>5</v>
      </c>
      <c r="AE592">
        <v>3</v>
      </c>
      <c r="AF592">
        <v>7</v>
      </c>
      <c r="AG592">
        <v>8</v>
      </c>
      <c r="AH592">
        <v>7</v>
      </c>
    </row>
    <row r="593" spans="1:34" x14ac:dyDescent="0.2">
      <c r="A593" t="s">
        <v>54</v>
      </c>
      <c r="B593" t="s">
        <v>35</v>
      </c>
      <c r="C593">
        <v>18</v>
      </c>
      <c r="D593" t="s">
        <v>36</v>
      </c>
      <c r="E593" t="s">
        <v>37</v>
      </c>
      <c r="F593" t="s">
        <v>45</v>
      </c>
      <c r="G593">
        <v>2</v>
      </c>
      <c r="H593">
        <v>2</v>
      </c>
      <c r="I593" t="s">
        <v>49</v>
      </c>
      <c r="J593" t="s">
        <v>39</v>
      </c>
      <c r="K593" t="s">
        <v>52</v>
      </c>
      <c r="L593" t="s">
        <v>47</v>
      </c>
      <c r="M593">
        <v>2</v>
      </c>
      <c r="N593">
        <v>2</v>
      </c>
      <c r="O593">
        <v>0</v>
      </c>
      <c r="P593" t="s">
        <v>44</v>
      </c>
      <c r="Q593" t="s">
        <v>44</v>
      </c>
      <c r="R593" t="s">
        <v>44</v>
      </c>
      <c r="S593">
        <f t="shared" si="9"/>
        <v>0</v>
      </c>
      <c r="T593" t="s">
        <v>43</v>
      </c>
      <c r="U593" t="s">
        <v>44</v>
      </c>
      <c r="V593" t="s">
        <v>43</v>
      </c>
      <c r="W593" t="s">
        <v>43</v>
      </c>
      <c r="X593" t="s">
        <v>44</v>
      </c>
      <c r="Y593">
        <v>4</v>
      </c>
      <c r="Z593">
        <v>3</v>
      </c>
      <c r="AA593">
        <v>5</v>
      </c>
      <c r="AB593">
        <v>1</v>
      </c>
      <c r="AC593">
        <v>1</v>
      </c>
      <c r="AD593">
        <v>1</v>
      </c>
      <c r="AE593">
        <v>2</v>
      </c>
      <c r="AF593">
        <v>12</v>
      </c>
      <c r="AG593">
        <v>13</v>
      </c>
      <c r="AH593">
        <v>14</v>
      </c>
    </row>
    <row r="594" spans="1:34" x14ac:dyDescent="0.2">
      <c r="A594" t="s">
        <v>54</v>
      </c>
      <c r="B594" t="s">
        <v>35</v>
      </c>
      <c r="C594">
        <v>17</v>
      </c>
      <c r="D594" t="s">
        <v>36</v>
      </c>
      <c r="E594" t="s">
        <v>37</v>
      </c>
      <c r="F594" t="s">
        <v>45</v>
      </c>
      <c r="G594">
        <v>3</v>
      </c>
      <c r="H594">
        <v>3</v>
      </c>
      <c r="I594" t="s">
        <v>49</v>
      </c>
      <c r="J594" t="s">
        <v>49</v>
      </c>
      <c r="K594" t="s">
        <v>41</v>
      </c>
      <c r="L594" t="s">
        <v>42</v>
      </c>
      <c r="M594">
        <v>2</v>
      </c>
      <c r="N594">
        <v>1</v>
      </c>
      <c r="O594">
        <v>0</v>
      </c>
      <c r="P594" t="s">
        <v>44</v>
      </c>
      <c r="Q594" t="s">
        <v>43</v>
      </c>
      <c r="R594" t="s">
        <v>44</v>
      </c>
      <c r="S594">
        <f t="shared" si="9"/>
        <v>0</v>
      </c>
      <c r="T594" t="s">
        <v>44</v>
      </c>
      <c r="U594" t="s">
        <v>43</v>
      </c>
      <c r="V594" t="s">
        <v>43</v>
      </c>
      <c r="W594" t="s">
        <v>43</v>
      </c>
      <c r="X594" t="s">
        <v>44</v>
      </c>
      <c r="Y594">
        <v>4</v>
      </c>
      <c r="Z594">
        <v>4</v>
      </c>
      <c r="AA594">
        <v>3</v>
      </c>
      <c r="AB594">
        <v>1</v>
      </c>
      <c r="AC594">
        <v>1</v>
      </c>
      <c r="AD594">
        <v>4</v>
      </c>
      <c r="AE594">
        <v>0</v>
      </c>
      <c r="AF594">
        <v>11</v>
      </c>
      <c r="AG594">
        <v>12</v>
      </c>
      <c r="AH594">
        <v>13</v>
      </c>
    </row>
    <row r="595" spans="1:34" x14ac:dyDescent="0.2">
      <c r="A595" t="s">
        <v>54</v>
      </c>
      <c r="B595" t="s">
        <v>35</v>
      </c>
      <c r="C595">
        <v>18</v>
      </c>
      <c r="D595" t="s">
        <v>36</v>
      </c>
      <c r="E595" t="s">
        <v>48</v>
      </c>
      <c r="F595" t="s">
        <v>38</v>
      </c>
      <c r="G595">
        <v>1</v>
      </c>
      <c r="H595">
        <v>2</v>
      </c>
      <c r="I595" t="s">
        <v>39</v>
      </c>
      <c r="J595" t="s">
        <v>46</v>
      </c>
      <c r="K595" t="s">
        <v>52</v>
      </c>
      <c r="L595" t="s">
        <v>42</v>
      </c>
      <c r="M595">
        <v>2</v>
      </c>
      <c r="N595">
        <v>2</v>
      </c>
      <c r="O595">
        <v>0</v>
      </c>
      <c r="P595" t="s">
        <v>44</v>
      </c>
      <c r="Q595" t="s">
        <v>44</v>
      </c>
      <c r="R595" t="s">
        <v>44</v>
      </c>
      <c r="S595">
        <f t="shared" si="9"/>
        <v>0</v>
      </c>
      <c r="T595" t="s">
        <v>44</v>
      </c>
      <c r="U595" t="s">
        <v>43</v>
      </c>
      <c r="V595" t="s">
        <v>43</v>
      </c>
      <c r="W595" t="s">
        <v>43</v>
      </c>
      <c r="X595" t="s">
        <v>44</v>
      </c>
      <c r="Y595">
        <v>4</v>
      </c>
      <c r="Z595">
        <v>4</v>
      </c>
      <c r="AA595">
        <v>3</v>
      </c>
      <c r="AB595">
        <v>1</v>
      </c>
      <c r="AC595">
        <v>2</v>
      </c>
      <c r="AD595">
        <v>4</v>
      </c>
      <c r="AE595">
        <v>0</v>
      </c>
      <c r="AF595">
        <v>12</v>
      </c>
      <c r="AG595">
        <v>13</v>
      </c>
      <c r="AH595">
        <v>14</v>
      </c>
    </row>
    <row r="596" spans="1:34" x14ac:dyDescent="0.2">
      <c r="A596" t="s">
        <v>54</v>
      </c>
      <c r="B596" t="s">
        <v>35</v>
      </c>
      <c r="C596">
        <v>18</v>
      </c>
      <c r="D596" t="s">
        <v>36</v>
      </c>
      <c r="E596" t="s">
        <v>37</v>
      </c>
      <c r="F596" t="s">
        <v>45</v>
      </c>
      <c r="G596">
        <v>4</v>
      </c>
      <c r="H596">
        <v>4</v>
      </c>
      <c r="I596" t="s">
        <v>40</v>
      </c>
      <c r="J596" t="s">
        <v>40</v>
      </c>
      <c r="K596" t="s">
        <v>52</v>
      </c>
      <c r="L596" t="s">
        <v>42</v>
      </c>
      <c r="M596">
        <v>2</v>
      </c>
      <c r="N596">
        <v>2</v>
      </c>
      <c r="O596">
        <v>0</v>
      </c>
      <c r="P596" t="s">
        <v>44</v>
      </c>
      <c r="Q596" t="s">
        <v>44</v>
      </c>
      <c r="R596" t="s">
        <v>44</v>
      </c>
      <c r="S596">
        <f t="shared" si="9"/>
        <v>0</v>
      </c>
      <c r="T596" t="s">
        <v>43</v>
      </c>
      <c r="U596" t="s">
        <v>44</v>
      </c>
      <c r="V596" t="s">
        <v>43</v>
      </c>
      <c r="W596" t="s">
        <v>43</v>
      </c>
      <c r="X596" t="s">
        <v>44</v>
      </c>
      <c r="Y596">
        <v>4</v>
      </c>
      <c r="Z596">
        <v>3</v>
      </c>
      <c r="AA596">
        <v>5</v>
      </c>
      <c r="AB596">
        <v>1</v>
      </c>
      <c r="AC596">
        <v>2</v>
      </c>
      <c r="AD596">
        <v>1</v>
      </c>
      <c r="AE596">
        <v>0</v>
      </c>
      <c r="AF596">
        <v>18</v>
      </c>
      <c r="AG596">
        <v>18</v>
      </c>
      <c r="AH596">
        <v>18</v>
      </c>
    </row>
    <row r="597" spans="1:34" x14ac:dyDescent="0.2">
      <c r="A597" t="s">
        <v>54</v>
      </c>
      <c r="B597" t="s">
        <v>51</v>
      </c>
      <c r="C597">
        <v>18</v>
      </c>
      <c r="D597" t="s">
        <v>36</v>
      </c>
      <c r="E597" t="s">
        <v>48</v>
      </c>
      <c r="F597" t="s">
        <v>45</v>
      </c>
      <c r="G597">
        <v>4</v>
      </c>
      <c r="H597">
        <v>4</v>
      </c>
      <c r="I597" t="s">
        <v>49</v>
      </c>
      <c r="J597" t="s">
        <v>46</v>
      </c>
      <c r="K597" t="s">
        <v>52</v>
      </c>
      <c r="L597" t="s">
        <v>42</v>
      </c>
      <c r="M597">
        <v>1</v>
      </c>
      <c r="N597">
        <v>1</v>
      </c>
      <c r="O597">
        <v>0</v>
      </c>
      <c r="P597" t="s">
        <v>44</v>
      </c>
      <c r="Q597" t="s">
        <v>43</v>
      </c>
      <c r="R597" t="s">
        <v>44</v>
      </c>
      <c r="S597">
        <f t="shared" si="9"/>
        <v>0</v>
      </c>
      <c r="T597" t="s">
        <v>43</v>
      </c>
      <c r="U597" t="s">
        <v>43</v>
      </c>
      <c r="V597" t="s">
        <v>43</v>
      </c>
      <c r="W597" t="s">
        <v>43</v>
      </c>
      <c r="X597" t="s">
        <v>44</v>
      </c>
      <c r="Y597">
        <v>5</v>
      </c>
      <c r="Z597">
        <v>4</v>
      </c>
      <c r="AA597">
        <v>5</v>
      </c>
      <c r="AB597">
        <v>1</v>
      </c>
      <c r="AC597">
        <v>1</v>
      </c>
      <c r="AD597">
        <v>5</v>
      </c>
      <c r="AE597">
        <v>3</v>
      </c>
      <c r="AF597">
        <v>17</v>
      </c>
      <c r="AG597">
        <v>17</v>
      </c>
      <c r="AH597">
        <v>17</v>
      </c>
    </row>
    <row r="598" spans="1:34" x14ac:dyDescent="0.2">
      <c r="A598" t="s">
        <v>54</v>
      </c>
      <c r="B598" t="s">
        <v>35</v>
      </c>
      <c r="C598">
        <v>17</v>
      </c>
      <c r="D598" t="s">
        <v>36</v>
      </c>
      <c r="E598" t="s">
        <v>37</v>
      </c>
      <c r="F598" t="s">
        <v>45</v>
      </c>
      <c r="G598">
        <v>4</v>
      </c>
      <c r="H598">
        <v>2</v>
      </c>
      <c r="I598" t="s">
        <v>46</v>
      </c>
      <c r="J598" t="s">
        <v>46</v>
      </c>
      <c r="K598" t="s">
        <v>41</v>
      </c>
      <c r="L598" t="s">
        <v>42</v>
      </c>
      <c r="M598">
        <v>2</v>
      </c>
      <c r="N598">
        <v>2</v>
      </c>
      <c r="O598">
        <v>0</v>
      </c>
      <c r="P598" t="s">
        <v>44</v>
      </c>
      <c r="Q598" t="s">
        <v>43</v>
      </c>
      <c r="R598" t="s">
        <v>44</v>
      </c>
      <c r="S598">
        <f t="shared" si="9"/>
        <v>0</v>
      </c>
      <c r="T598" t="s">
        <v>44</v>
      </c>
      <c r="U598" t="s">
        <v>43</v>
      </c>
      <c r="V598" t="s">
        <v>43</v>
      </c>
      <c r="W598" t="s">
        <v>43</v>
      </c>
      <c r="X598" t="s">
        <v>44</v>
      </c>
      <c r="Y598">
        <v>4</v>
      </c>
      <c r="Z598">
        <v>3</v>
      </c>
      <c r="AA598">
        <v>3</v>
      </c>
      <c r="AB598">
        <v>1</v>
      </c>
      <c r="AC598">
        <v>2</v>
      </c>
      <c r="AD598">
        <v>4</v>
      </c>
      <c r="AE598">
        <v>0</v>
      </c>
      <c r="AF598">
        <v>17</v>
      </c>
      <c r="AG598">
        <v>18</v>
      </c>
      <c r="AH598">
        <v>18</v>
      </c>
    </row>
    <row r="599" spans="1:34" x14ac:dyDescent="0.2">
      <c r="A599" t="s">
        <v>54</v>
      </c>
      <c r="B599" t="s">
        <v>35</v>
      </c>
      <c r="C599">
        <v>18</v>
      </c>
      <c r="D599" t="s">
        <v>53</v>
      </c>
      <c r="E599" t="s">
        <v>37</v>
      </c>
      <c r="F599" t="s">
        <v>45</v>
      </c>
      <c r="G599">
        <v>2</v>
      </c>
      <c r="H599">
        <v>2</v>
      </c>
      <c r="I599" t="s">
        <v>39</v>
      </c>
      <c r="J599" t="s">
        <v>46</v>
      </c>
      <c r="K599" t="s">
        <v>41</v>
      </c>
      <c r="L599" t="s">
        <v>42</v>
      </c>
      <c r="M599">
        <v>3</v>
      </c>
      <c r="N599">
        <v>2</v>
      </c>
      <c r="O599">
        <v>1</v>
      </c>
      <c r="P599" t="s">
        <v>44</v>
      </c>
      <c r="Q599" t="s">
        <v>44</v>
      </c>
      <c r="R599" t="s">
        <v>44</v>
      </c>
      <c r="S599">
        <f t="shared" si="9"/>
        <v>0</v>
      </c>
      <c r="T599" t="s">
        <v>43</v>
      </c>
      <c r="U599" t="s">
        <v>43</v>
      </c>
      <c r="V599" t="s">
        <v>43</v>
      </c>
      <c r="W599" t="s">
        <v>44</v>
      </c>
      <c r="X599" t="s">
        <v>43</v>
      </c>
      <c r="Y599">
        <v>4</v>
      </c>
      <c r="Z599">
        <v>3</v>
      </c>
      <c r="AA599">
        <v>3</v>
      </c>
      <c r="AB599">
        <v>1</v>
      </c>
      <c r="AC599">
        <v>1</v>
      </c>
      <c r="AD599">
        <v>4</v>
      </c>
      <c r="AE599">
        <v>0</v>
      </c>
      <c r="AF599">
        <v>9</v>
      </c>
      <c r="AG599">
        <v>0</v>
      </c>
      <c r="AH599">
        <v>0</v>
      </c>
    </row>
    <row r="600" spans="1:34" x14ac:dyDescent="0.2">
      <c r="A600" t="s">
        <v>54</v>
      </c>
      <c r="B600" t="s">
        <v>51</v>
      </c>
      <c r="C600">
        <v>18</v>
      </c>
      <c r="D600" t="s">
        <v>36</v>
      </c>
      <c r="E600" t="s">
        <v>48</v>
      </c>
      <c r="F600" t="s">
        <v>45</v>
      </c>
      <c r="G600">
        <v>1</v>
      </c>
      <c r="H600">
        <v>2</v>
      </c>
      <c r="I600" t="s">
        <v>39</v>
      </c>
      <c r="J600" t="s">
        <v>49</v>
      </c>
      <c r="K600" t="s">
        <v>50</v>
      </c>
      <c r="L600" t="s">
        <v>42</v>
      </c>
      <c r="M600">
        <v>2</v>
      </c>
      <c r="N600">
        <v>1</v>
      </c>
      <c r="O600">
        <v>0</v>
      </c>
      <c r="P600" t="s">
        <v>44</v>
      </c>
      <c r="Q600" t="s">
        <v>43</v>
      </c>
      <c r="R600" t="s">
        <v>44</v>
      </c>
      <c r="S600">
        <f t="shared" si="9"/>
        <v>0</v>
      </c>
      <c r="T600" t="s">
        <v>44</v>
      </c>
      <c r="U600" t="s">
        <v>44</v>
      </c>
      <c r="V600" t="s">
        <v>43</v>
      </c>
      <c r="W600" t="s">
        <v>44</v>
      </c>
      <c r="X600" t="s">
        <v>44</v>
      </c>
      <c r="Y600">
        <v>4</v>
      </c>
      <c r="Z600">
        <v>1</v>
      </c>
      <c r="AA600">
        <v>4</v>
      </c>
      <c r="AB600">
        <v>5</v>
      </c>
      <c r="AC600">
        <v>5</v>
      </c>
      <c r="AD600">
        <v>1</v>
      </c>
      <c r="AE600">
        <v>8</v>
      </c>
      <c r="AF600">
        <v>10</v>
      </c>
      <c r="AG600">
        <v>11</v>
      </c>
      <c r="AH600">
        <v>11</v>
      </c>
    </row>
    <row r="601" spans="1:34" x14ac:dyDescent="0.2">
      <c r="A601" t="s">
        <v>54</v>
      </c>
      <c r="B601" t="s">
        <v>51</v>
      </c>
      <c r="C601">
        <v>18</v>
      </c>
      <c r="D601" t="s">
        <v>53</v>
      </c>
      <c r="E601" t="s">
        <v>37</v>
      </c>
      <c r="F601" t="s">
        <v>45</v>
      </c>
      <c r="G601">
        <v>4</v>
      </c>
      <c r="H601">
        <v>4</v>
      </c>
      <c r="I601" t="s">
        <v>39</v>
      </c>
      <c r="J601" t="s">
        <v>49</v>
      </c>
      <c r="K601" t="s">
        <v>46</v>
      </c>
      <c r="L601" t="s">
        <v>42</v>
      </c>
      <c r="M601">
        <v>3</v>
      </c>
      <c r="N601">
        <v>1</v>
      </c>
      <c r="O601">
        <v>0</v>
      </c>
      <c r="P601" t="s">
        <v>44</v>
      </c>
      <c r="Q601" t="s">
        <v>43</v>
      </c>
      <c r="R601" t="s">
        <v>43</v>
      </c>
      <c r="S601">
        <f t="shared" si="9"/>
        <v>1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>
        <v>2</v>
      </c>
      <c r="Z601">
        <v>5</v>
      </c>
      <c r="AA601">
        <v>5</v>
      </c>
      <c r="AB601">
        <v>1</v>
      </c>
      <c r="AC601">
        <v>1</v>
      </c>
      <c r="AD601">
        <v>1</v>
      </c>
      <c r="AE601">
        <v>5</v>
      </c>
      <c r="AF601">
        <v>12</v>
      </c>
      <c r="AG601">
        <v>13</v>
      </c>
      <c r="AH601">
        <v>14</v>
      </c>
    </row>
    <row r="602" spans="1:34" x14ac:dyDescent="0.2">
      <c r="A602" t="s">
        <v>54</v>
      </c>
      <c r="B602" t="s">
        <v>51</v>
      </c>
      <c r="C602">
        <v>17</v>
      </c>
      <c r="D602" t="s">
        <v>53</v>
      </c>
      <c r="E602" t="s">
        <v>37</v>
      </c>
      <c r="F602" t="s">
        <v>45</v>
      </c>
      <c r="G602">
        <v>1</v>
      </c>
      <c r="H602">
        <v>1</v>
      </c>
      <c r="I602" t="s">
        <v>46</v>
      </c>
      <c r="J602" t="s">
        <v>49</v>
      </c>
      <c r="K602" t="s">
        <v>46</v>
      </c>
      <c r="L602" t="s">
        <v>47</v>
      </c>
      <c r="M602">
        <v>3</v>
      </c>
      <c r="N602">
        <v>1</v>
      </c>
      <c r="O602">
        <v>0</v>
      </c>
      <c r="P602" t="s">
        <v>44</v>
      </c>
      <c r="Q602" t="s">
        <v>44</v>
      </c>
      <c r="R602" t="s">
        <v>44</v>
      </c>
      <c r="S602">
        <f t="shared" si="9"/>
        <v>0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>
        <v>4</v>
      </c>
      <c r="Z602">
        <v>2</v>
      </c>
      <c r="AA602">
        <v>3</v>
      </c>
      <c r="AB602">
        <v>3</v>
      </c>
      <c r="AC602">
        <v>4</v>
      </c>
      <c r="AD602">
        <v>4</v>
      </c>
      <c r="AE602">
        <v>4</v>
      </c>
      <c r="AF602">
        <v>12</v>
      </c>
      <c r="AG602">
        <v>13</v>
      </c>
      <c r="AH602">
        <v>14</v>
      </c>
    </row>
    <row r="603" spans="1:34" x14ac:dyDescent="0.2">
      <c r="A603" t="s">
        <v>54</v>
      </c>
      <c r="B603" t="s">
        <v>35</v>
      </c>
      <c r="C603">
        <v>18</v>
      </c>
      <c r="D603" t="s">
        <v>36</v>
      </c>
      <c r="E603" t="s">
        <v>37</v>
      </c>
      <c r="F603" t="s">
        <v>45</v>
      </c>
      <c r="G603">
        <v>2</v>
      </c>
      <c r="H603">
        <v>2</v>
      </c>
      <c r="I603" t="s">
        <v>46</v>
      </c>
      <c r="J603" t="s">
        <v>46</v>
      </c>
      <c r="K603" t="s">
        <v>41</v>
      </c>
      <c r="L603" t="s">
        <v>42</v>
      </c>
      <c r="M603">
        <v>2</v>
      </c>
      <c r="N603">
        <v>2</v>
      </c>
      <c r="O603">
        <v>0</v>
      </c>
      <c r="P603" t="s">
        <v>44</v>
      </c>
      <c r="Q603" t="s">
        <v>43</v>
      </c>
      <c r="R603" t="s">
        <v>44</v>
      </c>
      <c r="S603">
        <f t="shared" si="9"/>
        <v>0</v>
      </c>
      <c r="T603" t="s">
        <v>44</v>
      </c>
      <c r="U603" t="s">
        <v>44</v>
      </c>
      <c r="V603" t="s">
        <v>43</v>
      </c>
      <c r="W603" t="s">
        <v>43</v>
      </c>
      <c r="X603" t="s">
        <v>43</v>
      </c>
      <c r="Y603">
        <v>1</v>
      </c>
      <c r="Z603">
        <v>3</v>
      </c>
      <c r="AA603">
        <v>1</v>
      </c>
      <c r="AB603">
        <v>1</v>
      </c>
      <c r="AC603">
        <v>1</v>
      </c>
      <c r="AD603">
        <v>2</v>
      </c>
      <c r="AE603">
        <v>4</v>
      </c>
      <c r="AF603">
        <v>8</v>
      </c>
      <c r="AG603">
        <v>8</v>
      </c>
      <c r="AH603">
        <v>10</v>
      </c>
    </row>
    <row r="604" spans="1:34" x14ac:dyDescent="0.2">
      <c r="A604" t="s">
        <v>54</v>
      </c>
      <c r="B604" t="s">
        <v>35</v>
      </c>
      <c r="C604">
        <v>18</v>
      </c>
      <c r="D604" t="s">
        <v>36</v>
      </c>
      <c r="E604" t="s">
        <v>48</v>
      </c>
      <c r="F604" t="s">
        <v>45</v>
      </c>
      <c r="G604">
        <v>2</v>
      </c>
      <c r="H604">
        <v>2</v>
      </c>
      <c r="I604" t="s">
        <v>49</v>
      </c>
      <c r="J604" t="s">
        <v>49</v>
      </c>
      <c r="K604" t="s">
        <v>41</v>
      </c>
      <c r="L604" t="s">
        <v>47</v>
      </c>
      <c r="M604">
        <v>2</v>
      </c>
      <c r="N604">
        <v>3</v>
      </c>
      <c r="O604">
        <v>0</v>
      </c>
      <c r="P604" t="s">
        <v>44</v>
      </c>
      <c r="Q604" t="s">
        <v>44</v>
      </c>
      <c r="R604" t="s">
        <v>44</v>
      </c>
      <c r="S604">
        <f t="shared" si="9"/>
        <v>0</v>
      </c>
      <c r="T604" t="s">
        <v>44</v>
      </c>
      <c r="U604" t="s">
        <v>43</v>
      </c>
      <c r="V604" t="s">
        <v>43</v>
      </c>
      <c r="W604" t="s">
        <v>43</v>
      </c>
      <c r="X604" t="s">
        <v>43</v>
      </c>
      <c r="Y604">
        <v>5</v>
      </c>
      <c r="Z604">
        <v>4</v>
      </c>
      <c r="AA604">
        <v>5</v>
      </c>
      <c r="AB604">
        <v>1</v>
      </c>
      <c r="AC604">
        <v>4</v>
      </c>
      <c r="AD604">
        <v>3</v>
      </c>
      <c r="AE604">
        <v>0</v>
      </c>
      <c r="AF604">
        <v>11</v>
      </c>
      <c r="AG604">
        <v>12</v>
      </c>
      <c r="AH604">
        <v>13</v>
      </c>
    </row>
    <row r="605" spans="1:34" x14ac:dyDescent="0.2">
      <c r="A605" t="s">
        <v>54</v>
      </c>
      <c r="B605" t="s">
        <v>35</v>
      </c>
      <c r="C605">
        <v>18</v>
      </c>
      <c r="D605" t="s">
        <v>53</v>
      </c>
      <c r="E605" t="s">
        <v>48</v>
      </c>
      <c r="F605" t="s">
        <v>38</v>
      </c>
      <c r="G605">
        <v>4</v>
      </c>
      <c r="H605">
        <v>2</v>
      </c>
      <c r="I605" t="s">
        <v>40</v>
      </c>
      <c r="J605" t="s">
        <v>46</v>
      </c>
      <c r="K605" t="s">
        <v>52</v>
      </c>
      <c r="L605" t="s">
        <v>42</v>
      </c>
      <c r="M605">
        <v>1</v>
      </c>
      <c r="N605">
        <v>2</v>
      </c>
      <c r="O605">
        <v>0</v>
      </c>
      <c r="P605" t="s">
        <v>44</v>
      </c>
      <c r="Q605" t="s">
        <v>44</v>
      </c>
      <c r="R605" t="s">
        <v>44</v>
      </c>
      <c r="S605">
        <f t="shared" si="9"/>
        <v>0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>
        <v>5</v>
      </c>
      <c r="Z605">
        <v>3</v>
      </c>
      <c r="AA605">
        <v>1</v>
      </c>
      <c r="AB605">
        <v>1</v>
      </c>
      <c r="AC605">
        <v>1</v>
      </c>
      <c r="AD605">
        <v>5</v>
      </c>
      <c r="AE605">
        <v>0</v>
      </c>
      <c r="AF605">
        <v>5</v>
      </c>
      <c r="AG605">
        <v>0</v>
      </c>
      <c r="AH605">
        <v>0</v>
      </c>
    </row>
    <row r="606" spans="1:34" x14ac:dyDescent="0.2">
      <c r="A606" t="s">
        <v>54</v>
      </c>
      <c r="B606" t="s">
        <v>35</v>
      </c>
      <c r="C606">
        <v>18</v>
      </c>
      <c r="D606" t="s">
        <v>36</v>
      </c>
      <c r="E606" t="s">
        <v>37</v>
      </c>
      <c r="F606" t="s">
        <v>45</v>
      </c>
      <c r="G606">
        <v>1</v>
      </c>
      <c r="H606">
        <v>1</v>
      </c>
      <c r="I606" t="s">
        <v>39</v>
      </c>
      <c r="J606" t="s">
        <v>49</v>
      </c>
      <c r="K606" t="s">
        <v>41</v>
      </c>
      <c r="L606" t="s">
        <v>42</v>
      </c>
      <c r="M606">
        <v>3</v>
      </c>
      <c r="N606">
        <v>2</v>
      </c>
      <c r="O606">
        <v>1</v>
      </c>
      <c r="P606" t="s">
        <v>44</v>
      </c>
      <c r="Q606" t="s">
        <v>44</v>
      </c>
      <c r="R606" t="s">
        <v>44</v>
      </c>
      <c r="S606">
        <f t="shared" si="9"/>
        <v>0</v>
      </c>
      <c r="T606" t="s">
        <v>44</v>
      </c>
      <c r="U606" t="s">
        <v>43</v>
      </c>
      <c r="V606" t="s">
        <v>44</v>
      </c>
      <c r="W606" t="s">
        <v>44</v>
      </c>
      <c r="X606" t="s">
        <v>44</v>
      </c>
      <c r="Y606">
        <v>4</v>
      </c>
      <c r="Z606">
        <v>4</v>
      </c>
      <c r="AA606">
        <v>2</v>
      </c>
      <c r="AB606">
        <v>1</v>
      </c>
      <c r="AC606">
        <v>2</v>
      </c>
      <c r="AD606">
        <v>2</v>
      </c>
      <c r="AE606">
        <v>2</v>
      </c>
      <c r="AF606">
        <v>9</v>
      </c>
      <c r="AG606">
        <v>10</v>
      </c>
      <c r="AH606">
        <v>10</v>
      </c>
    </row>
    <row r="607" spans="1:34" x14ac:dyDescent="0.2">
      <c r="A607" t="s">
        <v>54</v>
      </c>
      <c r="B607" t="s">
        <v>35</v>
      </c>
      <c r="C607">
        <v>19</v>
      </c>
      <c r="D607" t="s">
        <v>36</v>
      </c>
      <c r="E607" t="s">
        <v>37</v>
      </c>
      <c r="F607" t="s">
        <v>45</v>
      </c>
      <c r="G607">
        <v>1</v>
      </c>
      <c r="H607">
        <v>1</v>
      </c>
      <c r="I607" t="s">
        <v>39</v>
      </c>
      <c r="J607" t="s">
        <v>49</v>
      </c>
      <c r="K607" t="s">
        <v>46</v>
      </c>
      <c r="L607" t="s">
        <v>47</v>
      </c>
      <c r="M607">
        <v>2</v>
      </c>
      <c r="N607">
        <v>1</v>
      </c>
      <c r="O607">
        <v>1</v>
      </c>
      <c r="P607" t="s">
        <v>44</v>
      </c>
      <c r="Q607" t="s">
        <v>44</v>
      </c>
      <c r="R607" t="s">
        <v>44</v>
      </c>
      <c r="S607">
        <f t="shared" si="9"/>
        <v>0</v>
      </c>
      <c r="T607" t="s">
        <v>44</v>
      </c>
      <c r="U607" t="s">
        <v>43</v>
      </c>
      <c r="V607" t="s">
        <v>44</v>
      </c>
      <c r="W607" t="s">
        <v>44</v>
      </c>
      <c r="X607" t="s">
        <v>44</v>
      </c>
      <c r="Y607">
        <v>5</v>
      </c>
      <c r="Z607">
        <v>5</v>
      </c>
      <c r="AA607">
        <v>5</v>
      </c>
      <c r="AB607">
        <v>2</v>
      </c>
      <c r="AC607">
        <v>3</v>
      </c>
      <c r="AD607">
        <v>2</v>
      </c>
      <c r="AE607">
        <v>0</v>
      </c>
      <c r="AF607">
        <v>5</v>
      </c>
      <c r="AG607">
        <v>0</v>
      </c>
      <c r="AH607">
        <v>0</v>
      </c>
    </row>
    <row r="608" spans="1:34" x14ac:dyDescent="0.2">
      <c r="A608" t="s">
        <v>54</v>
      </c>
      <c r="B608" t="s">
        <v>35</v>
      </c>
      <c r="C608">
        <v>17</v>
      </c>
      <c r="D608" t="s">
        <v>36</v>
      </c>
      <c r="E608" t="s">
        <v>37</v>
      </c>
      <c r="F608" t="s">
        <v>45</v>
      </c>
      <c r="G608">
        <v>4</v>
      </c>
      <c r="H608">
        <v>2</v>
      </c>
      <c r="I608" t="s">
        <v>40</v>
      </c>
      <c r="J608" t="s">
        <v>46</v>
      </c>
      <c r="K608" t="s">
        <v>41</v>
      </c>
      <c r="L608" t="s">
        <v>47</v>
      </c>
      <c r="M608">
        <v>2</v>
      </c>
      <c r="N608">
        <v>4</v>
      </c>
      <c r="O608">
        <v>0</v>
      </c>
      <c r="P608" t="s">
        <v>44</v>
      </c>
      <c r="Q608" t="s">
        <v>44</v>
      </c>
      <c r="R608" t="s">
        <v>44</v>
      </c>
      <c r="S608">
        <f t="shared" si="9"/>
        <v>0</v>
      </c>
      <c r="T608" t="s">
        <v>44</v>
      </c>
      <c r="U608" t="s">
        <v>43</v>
      </c>
      <c r="V608" t="s">
        <v>43</v>
      </c>
      <c r="W608" t="s">
        <v>43</v>
      </c>
      <c r="X608" t="s">
        <v>43</v>
      </c>
      <c r="Y608">
        <v>4</v>
      </c>
      <c r="Z608">
        <v>2</v>
      </c>
      <c r="AA608">
        <v>3</v>
      </c>
      <c r="AB608">
        <v>3</v>
      </c>
      <c r="AC608">
        <v>1</v>
      </c>
      <c r="AD608">
        <v>5</v>
      </c>
      <c r="AE608">
        <v>0</v>
      </c>
      <c r="AF608">
        <v>18</v>
      </c>
      <c r="AG608">
        <v>18</v>
      </c>
      <c r="AH608">
        <v>18</v>
      </c>
    </row>
    <row r="609" spans="1:34" x14ac:dyDescent="0.2">
      <c r="A609" t="s">
        <v>54</v>
      </c>
      <c r="B609" t="s">
        <v>35</v>
      </c>
      <c r="C609">
        <v>17</v>
      </c>
      <c r="D609" t="s">
        <v>53</v>
      </c>
      <c r="E609" t="s">
        <v>48</v>
      </c>
      <c r="F609" t="s">
        <v>38</v>
      </c>
      <c r="G609">
        <v>2</v>
      </c>
      <c r="H609">
        <v>1</v>
      </c>
      <c r="I609" t="s">
        <v>49</v>
      </c>
      <c r="J609" t="s">
        <v>46</v>
      </c>
      <c r="K609" t="s">
        <v>52</v>
      </c>
      <c r="L609" t="s">
        <v>42</v>
      </c>
      <c r="M609">
        <v>2</v>
      </c>
      <c r="N609">
        <v>2</v>
      </c>
      <c r="O609">
        <v>0</v>
      </c>
      <c r="P609" t="s">
        <v>44</v>
      </c>
      <c r="Q609" t="s">
        <v>44</v>
      </c>
      <c r="R609" t="s">
        <v>44</v>
      </c>
      <c r="S609">
        <f t="shared" si="9"/>
        <v>0</v>
      </c>
      <c r="T609" t="s">
        <v>43</v>
      </c>
      <c r="U609" t="s">
        <v>43</v>
      </c>
      <c r="V609" t="s">
        <v>43</v>
      </c>
      <c r="W609" t="s">
        <v>43</v>
      </c>
      <c r="X609" t="s">
        <v>43</v>
      </c>
      <c r="Y609">
        <v>5</v>
      </c>
      <c r="Z609">
        <v>3</v>
      </c>
      <c r="AA609">
        <v>3</v>
      </c>
      <c r="AB609">
        <v>1</v>
      </c>
      <c r="AC609">
        <v>2</v>
      </c>
      <c r="AD609">
        <v>2</v>
      </c>
      <c r="AE609">
        <v>5</v>
      </c>
      <c r="AF609">
        <v>11</v>
      </c>
      <c r="AG609">
        <v>11</v>
      </c>
      <c r="AH609">
        <v>12</v>
      </c>
    </row>
    <row r="610" spans="1:34" x14ac:dyDescent="0.2">
      <c r="A610" t="s">
        <v>54</v>
      </c>
      <c r="B610" t="s">
        <v>35</v>
      </c>
      <c r="C610">
        <v>18</v>
      </c>
      <c r="D610" t="s">
        <v>36</v>
      </c>
      <c r="E610" t="s">
        <v>48</v>
      </c>
      <c r="F610" t="s">
        <v>38</v>
      </c>
      <c r="G610">
        <v>1</v>
      </c>
      <c r="H610">
        <v>1</v>
      </c>
      <c r="I610" t="s">
        <v>39</v>
      </c>
      <c r="J610" t="s">
        <v>49</v>
      </c>
      <c r="K610" t="s">
        <v>41</v>
      </c>
      <c r="L610" t="s">
        <v>42</v>
      </c>
      <c r="M610">
        <v>1</v>
      </c>
      <c r="N610">
        <v>2</v>
      </c>
      <c r="O610">
        <v>0</v>
      </c>
      <c r="P610" t="s">
        <v>44</v>
      </c>
      <c r="Q610" t="s">
        <v>44</v>
      </c>
      <c r="R610" t="s">
        <v>44</v>
      </c>
      <c r="S610">
        <f t="shared" si="9"/>
        <v>0</v>
      </c>
      <c r="T610" t="s">
        <v>44</v>
      </c>
      <c r="U610" t="s">
        <v>43</v>
      </c>
      <c r="V610" t="s">
        <v>43</v>
      </c>
      <c r="W610" t="s">
        <v>44</v>
      </c>
      <c r="X610" t="s">
        <v>43</v>
      </c>
      <c r="Y610">
        <v>5</v>
      </c>
      <c r="Z610">
        <v>2</v>
      </c>
      <c r="AA610">
        <v>3</v>
      </c>
      <c r="AB610">
        <v>1</v>
      </c>
      <c r="AC610">
        <v>2</v>
      </c>
      <c r="AD610">
        <v>3</v>
      </c>
      <c r="AE610">
        <v>2</v>
      </c>
      <c r="AF610">
        <v>8</v>
      </c>
      <c r="AG610">
        <v>10</v>
      </c>
      <c r="AH610">
        <v>11</v>
      </c>
    </row>
    <row r="611" spans="1:34" x14ac:dyDescent="0.2">
      <c r="A611" t="s">
        <v>54</v>
      </c>
      <c r="B611" t="s">
        <v>35</v>
      </c>
      <c r="C611">
        <v>18</v>
      </c>
      <c r="D611" t="s">
        <v>36</v>
      </c>
      <c r="E611" t="s">
        <v>37</v>
      </c>
      <c r="F611" t="s">
        <v>45</v>
      </c>
      <c r="G611">
        <v>1</v>
      </c>
      <c r="H611">
        <v>2</v>
      </c>
      <c r="I611" t="s">
        <v>39</v>
      </c>
      <c r="J611" t="s">
        <v>39</v>
      </c>
      <c r="K611" t="s">
        <v>41</v>
      </c>
      <c r="L611" t="s">
        <v>47</v>
      </c>
      <c r="M611">
        <v>2</v>
      </c>
      <c r="N611">
        <v>2</v>
      </c>
      <c r="O611">
        <v>0</v>
      </c>
      <c r="P611" t="s">
        <v>44</v>
      </c>
      <c r="Q611" t="s">
        <v>43</v>
      </c>
      <c r="R611" t="s">
        <v>44</v>
      </c>
      <c r="S611">
        <f t="shared" si="9"/>
        <v>0</v>
      </c>
      <c r="T611" t="s">
        <v>44</v>
      </c>
      <c r="U611" t="s">
        <v>43</v>
      </c>
      <c r="V611" t="s">
        <v>44</v>
      </c>
      <c r="W611" t="s">
        <v>44</v>
      </c>
      <c r="X611" t="s">
        <v>44</v>
      </c>
      <c r="Y611">
        <v>4</v>
      </c>
      <c r="Z611">
        <v>1</v>
      </c>
      <c r="AA611">
        <v>1</v>
      </c>
      <c r="AB611">
        <v>1</v>
      </c>
      <c r="AC611">
        <v>1</v>
      </c>
      <c r="AD611">
        <v>4</v>
      </c>
      <c r="AE611">
        <v>0</v>
      </c>
      <c r="AF611">
        <v>11</v>
      </c>
      <c r="AG611">
        <v>11</v>
      </c>
      <c r="AH611">
        <v>12</v>
      </c>
    </row>
    <row r="612" spans="1:34" x14ac:dyDescent="0.2">
      <c r="A612" t="s">
        <v>54</v>
      </c>
      <c r="B612" t="s">
        <v>35</v>
      </c>
      <c r="C612">
        <v>19</v>
      </c>
      <c r="D612" t="s">
        <v>53</v>
      </c>
      <c r="E612" t="s">
        <v>37</v>
      </c>
      <c r="F612" t="s">
        <v>38</v>
      </c>
      <c r="G612">
        <v>1</v>
      </c>
      <c r="H612">
        <v>1</v>
      </c>
      <c r="I612" t="s">
        <v>39</v>
      </c>
      <c r="J612" t="s">
        <v>39</v>
      </c>
      <c r="K612" t="s">
        <v>41</v>
      </c>
      <c r="L612" t="s">
        <v>46</v>
      </c>
      <c r="M612">
        <v>2</v>
      </c>
      <c r="N612">
        <v>2</v>
      </c>
      <c r="O612">
        <v>3</v>
      </c>
      <c r="P612" t="s">
        <v>44</v>
      </c>
      <c r="Q612" t="s">
        <v>43</v>
      </c>
      <c r="R612" t="s">
        <v>44</v>
      </c>
      <c r="S612">
        <f t="shared" si="9"/>
        <v>0</v>
      </c>
      <c r="T612" t="s">
        <v>43</v>
      </c>
      <c r="U612" t="s">
        <v>43</v>
      </c>
      <c r="V612" t="s">
        <v>44</v>
      </c>
      <c r="W612" t="s">
        <v>44</v>
      </c>
      <c r="X612" t="s">
        <v>43</v>
      </c>
      <c r="Y612">
        <v>3</v>
      </c>
      <c r="Z612">
        <v>5</v>
      </c>
      <c r="AA612">
        <v>4</v>
      </c>
      <c r="AB612">
        <v>1</v>
      </c>
      <c r="AC612">
        <v>4</v>
      </c>
      <c r="AD612">
        <v>1</v>
      </c>
      <c r="AE612">
        <v>0</v>
      </c>
      <c r="AF612">
        <v>8</v>
      </c>
      <c r="AG612">
        <v>0</v>
      </c>
      <c r="AH612">
        <v>0</v>
      </c>
    </row>
    <row r="613" spans="1:34" x14ac:dyDescent="0.2">
      <c r="A613" t="s">
        <v>54</v>
      </c>
      <c r="B613" t="s">
        <v>35</v>
      </c>
      <c r="C613">
        <v>18</v>
      </c>
      <c r="D613" t="s">
        <v>53</v>
      </c>
      <c r="E613" t="s">
        <v>37</v>
      </c>
      <c r="F613" t="s">
        <v>45</v>
      </c>
      <c r="G613">
        <v>2</v>
      </c>
      <c r="H613">
        <v>2</v>
      </c>
      <c r="I613" t="s">
        <v>49</v>
      </c>
      <c r="J613" t="s">
        <v>46</v>
      </c>
      <c r="K613" t="s">
        <v>50</v>
      </c>
      <c r="L613" t="s">
        <v>42</v>
      </c>
      <c r="M613">
        <v>2</v>
      </c>
      <c r="N613">
        <v>3</v>
      </c>
      <c r="O613">
        <v>0</v>
      </c>
      <c r="P613" t="s">
        <v>44</v>
      </c>
      <c r="Q613" t="s">
        <v>44</v>
      </c>
      <c r="R613" t="s">
        <v>44</v>
      </c>
      <c r="S613">
        <f t="shared" si="9"/>
        <v>0</v>
      </c>
      <c r="T613" t="s">
        <v>44</v>
      </c>
      <c r="U613" t="s">
        <v>43</v>
      </c>
      <c r="V613" t="s">
        <v>43</v>
      </c>
      <c r="W613" t="s">
        <v>43</v>
      </c>
      <c r="X613" t="s">
        <v>43</v>
      </c>
      <c r="Y613">
        <v>4</v>
      </c>
      <c r="Z613">
        <v>2</v>
      </c>
      <c r="AA613">
        <v>1</v>
      </c>
      <c r="AB613">
        <v>1</v>
      </c>
      <c r="AC613">
        <v>1</v>
      </c>
      <c r="AD613">
        <v>4</v>
      </c>
      <c r="AE613">
        <v>5</v>
      </c>
      <c r="AF613">
        <v>14</v>
      </c>
      <c r="AG613">
        <v>14</v>
      </c>
      <c r="AH613">
        <v>15</v>
      </c>
    </row>
    <row r="614" spans="1:34" x14ac:dyDescent="0.2">
      <c r="A614" t="s">
        <v>54</v>
      </c>
      <c r="B614" t="s">
        <v>51</v>
      </c>
      <c r="C614">
        <v>17</v>
      </c>
      <c r="D614" t="s">
        <v>53</v>
      </c>
      <c r="E614" t="s">
        <v>37</v>
      </c>
      <c r="F614" t="s">
        <v>45</v>
      </c>
      <c r="G614">
        <v>4</v>
      </c>
      <c r="H614">
        <v>3</v>
      </c>
      <c r="I614" t="s">
        <v>49</v>
      </c>
      <c r="J614" t="s">
        <v>46</v>
      </c>
      <c r="K614" t="s">
        <v>50</v>
      </c>
      <c r="L614" t="s">
        <v>42</v>
      </c>
      <c r="M614">
        <v>2</v>
      </c>
      <c r="N614">
        <v>2</v>
      </c>
      <c r="O614">
        <v>1</v>
      </c>
      <c r="P614" t="s">
        <v>44</v>
      </c>
      <c r="Q614" t="s">
        <v>43</v>
      </c>
      <c r="R614" t="s">
        <v>43</v>
      </c>
      <c r="S614">
        <f t="shared" si="9"/>
        <v>1</v>
      </c>
      <c r="T614" t="s">
        <v>43</v>
      </c>
      <c r="U614" t="s">
        <v>44</v>
      </c>
      <c r="V614" t="s">
        <v>43</v>
      </c>
      <c r="W614" t="s">
        <v>43</v>
      </c>
      <c r="X614" t="s">
        <v>43</v>
      </c>
      <c r="Y614">
        <v>4</v>
      </c>
      <c r="Z614">
        <v>5</v>
      </c>
      <c r="AA614">
        <v>5</v>
      </c>
      <c r="AB614">
        <v>1</v>
      </c>
      <c r="AC614">
        <v>3</v>
      </c>
      <c r="AD614">
        <v>2</v>
      </c>
      <c r="AE614">
        <v>4</v>
      </c>
      <c r="AF614">
        <v>10</v>
      </c>
      <c r="AG614">
        <v>11</v>
      </c>
      <c r="AH614">
        <v>11</v>
      </c>
    </row>
    <row r="615" spans="1:34" x14ac:dyDescent="0.2">
      <c r="A615" t="s">
        <v>54</v>
      </c>
      <c r="B615" t="s">
        <v>35</v>
      </c>
      <c r="C615">
        <v>18</v>
      </c>
      <c r="D615" t="s">
        <v>36</v>
      </c>
      <c r="E615" t="s">
        <v>37</v>
      </c>
      <c r="F615" t="s">
        <v>45</v>
      </c>
      <c r="G615">
        <v>3</v>
      </c>
      <c r="H615">
        <v>3</v>
      </c>
      <c r="I615" t="s">
        <v>49</v>
      </c>
      <c r="J615" t="s">
        <v>49</v>
      </c>
      <c r="K615" t="s">
        <v>41</v>
      </c>
      <c r="L615" t="s">
        <v>47</v>
      </c>
      <c r="M615">
        <v>1</v>
      </c>
      <c r="N615">
        <v>2</v>
      </c>
      <c r="O615">
        <v>0</v>
      </c>
      <c r="P615" t="s">
        <v>44</v>
      </c>
      <c r="Q615" t="s">
        <v>43</v>
      </c>
      <c r="R615" t="s">
        <v>44</v>
      </c>
      <c r="S615">
        <f t="shared" si="9"/>
        <v>0</v>
      </c>
      <c r="T615" t="s">
        <v>44</v>
      </c>
      <c r="U615" t="s">
        <v>43</v>
      </c>
      <c r="V615" t="s">
        <v>43</v>
      </c>
      <c r="W615" t="s">
        <v>44</v>
      </c>
      <c r="X615" t="s">
        <v>43</v>
      </c>
      <c r="Y615">
        <v>5</v>
      </c>
      <c r="Z615">
        <v>3</v>
      </c>
      <c r="AA615">
        <v>4</v>
      </c>
      <c r="AB615">
        <v>1</v>
      </c>
      <c r="AC615">
        <v>1</v>
      </c>
      <c r="AD615">
        <v>5</v>
      </c>
      <c r="AE615">
        <v>0</v>
      </c>
      <c r="AF615">
        <v>10</v>
      </c>
      <c r="AG615">
        <v>10</v>
      </c>
      <c r="AH615">
        <v>10</v>
      </c>
    </row>
    <row r="616" spans="1:34" x14ac:dyDescent="0.2">
      <c r="A616" t="s">
        <v>54</v>
      </c>
      <c r="B616" t="s">
        <v>35</v>
      </c>
      <c r="C616">
        <v>17</v>
      </c>
      <c r="D616" t="s">
        <v>53</v>
      </c>
      <c r="E616" t="s">
        <v>37</v>
      </c>
      <c r="F616" t="s">
        <v>45</v>
      </c>
      <c r="G616">
        <v>4</v>
      </c>
      <c r="H616">
        <v>4</v>
      </c>
      <c r="I616" t="s">
        <v>40</v>
      </c>
      <c r="J616" t="s">
        <v>49</v>
      </c>
      <c r="K616" t="s">
        <v>46</v>
      </c>
      <c r="L616" t="s">
        <v>47</v>
      </c>
      <c r="M616">
        <v>2</v>
      </c>
      <c r="N616">
        <v>2</v>
      </c>
      <c r="O616">
        <v>0</v>
      </c>
      <c r="P616" t="s">
        <v>44</v>
      </c>
      <c r="Q616" t="s">
        <v>43</v>
      </c>
      <c r="R616" t="s">
        <v>43</v>
      </c>
      <c r="S616">
        <f t="shared" si="9"/>
        <v>1</v>
      </c>
      <c r="T616" t="s">
        <v>43</v>
      </c>
      <c r="U616" t="s">
        <v>43</v>
      </c>
      <c r="V616" t="s">
        <v>43</v>
      </c>
      <c r="W616" t="s">
        <v>43</v>
      </c>
      <c r="X616" t="s">
        <v>44</v>
      </c>
      <c r="Y616">
        <v>4</v>
      </c>
      <c r="Z616">
        <v>3</v>
      </c>
      <c r="AA616">
        <v>3</v>
      </c>
      <c r="AB616">
        <v>1</v>
      </c>
      <c r="AC616">
        <v>2</v>
      </c>
      <c r="AD616">
        <v>5</v>
      </c>
      <c r="AE616">
        <v>2</v>
      </c>
      <c r="AF616">
        <v>12</v>
      </c>
      <c r="AG616">
        <v>12</v>
      </c>
      <c r="AH616">
        <v>12</v>
      </c>
    </row>
    <row r="617" spans="1:34" x14ac:dyDescent="0.2">
      <c r="A617" t="s">
        <v>54</v>
      </c>
      <c r="B617" t="s">
        <v>35</v>
      </c>
      <c r="C617">
        <v>17</v>
      </c>
      <c r="D617" t="s">
        <v>36</v>
      </c>
      <c r="E617" t="s">
        <v>48</v>
      </c>
      <c r="F617" t="s">
        <v>38</v>
      </c>
      <c r="G617">
        <v>3</v>
      </c>
      <c r="H617">
        <v>2</v>
      </c>
      <c r="I617" t="s">
        <v>49</v>
      </c>
      <c r="J617" t="s">
        <v>46</v>
      </c>
      <c r="K617" t="s">
        <v>52</v>
      </c>
      <c r="L617" t="s">
        <v>42</v>
      </c>
      <c r="M617">
        <v>2</v>
      </c>
      <c r="N617">
        <v>2</v>
      </c>
      <c r="O617">
        <v>0</v>
      </c>
      <c r="P617" t="s">
        <v>44</v>
      </c>
      <c r="Q617" t="s">
        <v>44</v>
      </c>
      <c r="R617" t="s">
        <v>44</v>
      </c>
      <c r="S617">
        <f t="shared" si="9"/>
        <v>0</v>
      </c>
      <c r="T617" t="s">
        <v>44</v>
      </c>
      <c r="U617" t="s">
        <v>43</v>
      </c>
      <c r="V617" t="s">
        <v>43</v>
      </c>
      <c r="W617" t="s">
        <v>44</v>
      </c>
      <c r="X617" t="s">
        <v>43</v>
      </c>
      <c r="Y617">
        <v>1</v>
      </c>
      <c r="Z617">
        <v>2</v>
      </c>
      <c r="AA617">
        <v>3</v>
      </c>
      <c r="AB617">
        <v>1</v>
      </c>
      <c r="AC617">
        <v>2</v>
      </c>
      <c r="AD617">
        <v>5</v>
      </c>
      <c r="AE617">
        <v>0</v>
      </c>
      <c r="AF617">
        <v>15</v>
      </c>
      <c r="AG617">
        <v>14</v>
      </c>
      <c r="AH617">
        <v>15</v>
      </c>
    </row>
    <row r="618" spans="1:34" x14ac:dyDescent="0.2">
      <c r="A618" t="s">
        <v>54</v>
      </c>
      <c r="B618" t="s">
        <v>51</v>
      </c>
      <c r="C618">
        <v>18</v>
      </c>
      <c r="D618" t="s">
        <v>36</v>
      </c>
      <c r="E618" t="s">
        <v>48</v>
      </c>
      <c r="F618" t="s">
        <v>45</v>
      </c>
      <c r="G618">
        <v>1</v>
      </c>
      <c r="H618">
        <v>1</v>
      </c>
      <c r="I618" t="s">
        <v>46</v>
      </c>
      <c r="J618" t="s">
        <v>49</v>
      </c>
      <c r="K618" t="s">
        <v>50</v>
      </c>
      <c r="L618" t="s">
        <v>47</v>
      </c>
      <c r="M618">
        <v>2</v>
      </c>
      <c r="N618">
        <v>1</v>
      </c>
      <c r="O618">
        <v>0</v>
      </c>
      <c r="P618" t="s">
        <v>44</v>
      </c>
      <c r="Q618" t="s">
        <v>44</v>
      </c>
      <c r="R618" t="s">
        <v>44</v>
      </c>
      <c r="S618">
        <f t="shared" si="9"/>
        <v>0</v>
      </c>
      <c r="T618" t="s">
        <v>44</v>
      </c>
      <c r="U618" t="s">
        <v>44</v>
      </c>
      <c r="V618" t="s">
        <v>43</v>
      </c>
      <c r="W618" t="s">
        <v>43</v>
      </c>
      <c r="X618" t="s">
        <v>43</v>
      </c>
      <c r="Y618">
        <v>3</v>
      </c>
      <c r="Z618">
        <v>3</v>
      </c>
      <c r="AA618">
        <v>2</v>
      </c>
      <c r="AB618">
        <v>1</v>
      </c>
      <c r="AC618">
        <v>2</v>
      </c>
      <c r="AD618">
        <v>3</v>
      </c>
      <c r="AE618">
        <v>2</v>
      </c>
      <c r="AF618">
        <v>14</v>
      </c>
      <c r="AG618">
        <v>13</v>
      </c>
      <c r="AH618">
        <v>14</v>
      </c>
    </row>
    <row r="619" spans="1:34" x14ac:dyDescent="0.2">
      <c r="A619" t="s">
        <v>54</v>
      </c>
      <c r="B619" t="s">
        <v>35</v>
      </c>
      <c r="C619">
        <v>18</v>
      </c>
      <c r="D619" t="s">
        <v>36</v>
      </c>
      <c r="E619" t="s">
        <v>48</v>
      </c>
      <c r="F619" t="s">
        <v>45</v>
      </c>
      <c r="G619">
        <v>1</v>
      </c>
      <c r="H619">
        <v>1</v>
      </c>
      <c r="I619" t="s">
        <v>39</v>
      </c>
      <c r="J619" t="s">
        <v>49</v>
      </c>
      <c r="K619" t="s">
        <v>41</v>
      </c>
      <c r="L619" t="s">
        <v>47</v>
      </c>
      <c r="M619">
        <v>2</v>
      </c>
      <c r="N619">
        <v>3</v>
      </c>
      <c r="O619">
        <v>0</v>
      </c>
      <c r="P619" t="s">
        <v>44</v>
      </c>
      <c r="Q619" t="s">
        <v>44</v>
      </c>
      <c r="R619" t="s">
        <v>44</v>
      </c>
      <c r="S619">
        <f t="shared" si="9"/>
        <v>0</v>
      </c>
      <c r="T619" t="s">
        <v>44</v>
      </c>
      <c r="U619" t="s">
        <v>43</v>
      </c>
      <c r="V619" t="s">
        <v>43</v>
      </c>
      <c r="W619" t="s">
        <v>43</v>
      </c>
      <c r="X619" t="s">
        <v>44</v>
      </c>
      <c r="Y619">
        <v>5</v>
      </c>
      <c r="Z619">
        <v>3</v>
      </c>
      <c r="AA619">
        <v>2</v>
      </c>
      <c r="AB619">
        <v>1</v>
      </c>
      <c r="AC619">
        <v>1</v>
      </c>
      <c r="AD619">
        <v>4</v>
      </c>
      <c r="AE619">
        <v>0</v>
      </c>
      <c r="AF619">
        <v>19</v>
      </c>
      <c r="AG619">
        <v>17</v>
      </c>
      <c r="AH619">
        <v>18</v>
      </c>
    </row>
    <row r="620" spans="1:34" x14ac:dyDescent="0.2">
      <c r="A620" t="s">
        <v>54</v>
      </c>
      <c r="B620" t="s">
        <v>35</v>
      </c>
      <c r="C620">
        <v>18</v>
      </c>
      <c r="D620" t="s">
        <v>53</v>
      </c>
      <c r="E620" t="s">
        <v>48</v>
      </c>
      <c r="F620" t="s">
        <v>38</v>
      </c>
      <c r="G620">
        <v>1</v>
      </c>
      <c r="H620">
        <v>2</v>
      </c>
      <c r="I620" t="s">
        <v>39</v>
      </c>
      <c r="J620" t="s">
        <v>46</v>
      </c>
      <c r="K620" t="s">
        <v>41</v>
      </c>
      <c r="L620" t="s">
        <v>42</v>
      </c>
      <c r="M620">
        <v>3</v>
      </c>
      <c r="N620">
        <v>2</v>
      </c>
      <c r="O620">
        <v>0</v>
      </c>
      <c r="P620" t="s">
        <v>44</v>
      </c>
      <c r="Q620" t="s">
        <v>44</v>
      </c>
      <c r="R620" t="s">
        <v>44</v>
      </c>
      <c r="S620">
        <f t="shared" si="9"/>
        <v>0</v>
      </c>
      <c r="T620" t="s">
        <v>44</v>
      </c>
      <c r="U620" t="s">
        <v>43</v>
      </c>
      <c r="V620" t="s">
        <v>43</v>
      </c>
      <c r="W620" t="s">
        <v>44</v>
      </c>
      <c r="X620" t="s">
        <v>43</v>
      </c>
      <c r="Y620">
        <v>4</v>
      </c>
      <c r="Z620">
        <v>3</v>
      </c>
      <c r="AA620">
        <v>4</v>
      </c>
      <c r="AB620">
        <v>1</v>
      </c>
      <c r="AC620">
        <v>4</v>
      </c>
      <c r="AD620">
        <v>5</v>
      </c>
      <c r="AE620">
        <v>0</v>
      </c>
      <c r="AF620">
        <v>16</v>
      </c>
      <c r="AG620">
        <v>15</v>
      </c>
      <c r="AH620">
        <v>15</v>
      </c>
    </row>
    <row r="621" spans="1:34" x14ac:dyDescent="0.2">
      <c r="A621" t="s">
        <v>54</v>
      </c>
      <c r="B621" t="s">
        <v>35</v>
      </c>
      <c r="C621">
        <v>18</v>
      </c>
      <c r="D621" t="s">
        <v>36</v>
      </c>
      <c r="E621" t="s">
        <v>37</v>
      </c>
      <c r="F621" t="s">
        <v>45</v>
      </c>
      <c r="G621">
        <v>3</v>
      </c>
      <c r="H621">
        <v>3</v>
      </c>
      <c r="I621" t="s">
        <v>49</v>
      </c>
      <c r="J621" t="s">
        <v>49</v>
      </c>
      <c r="K621" t="s">
        <v>46</v>
      </c>
      <c r="L621" t="s">
        <v>42</v>
      </c>
      <c r="M621">
        <v>2</v>
      </c>
      <c r="N621">
        <v>2</v>
      </c>
      <c r="O621">
        <v>0</v>
      </c>
      <c r="P621" t="s">
        <v>44</v>
      </c>
      <c r="Q621" t="s">
        <v>43</v>
      </c>
      <c r="R621" t="s">
        <v>44</v>
      </c>
      <c r="S621">
        <f t="shared" si="9"/>
        <v>0</v>
      </c>
      <c r="T621" t="s">
        <v>44</v>
      </c>
      <c r="U621" t="s">
        <v>43</v>
      </c>
      <c r="V621" t="s">
        <v>43</v>
      </c>
      <c r="W621" t="s">
        <v>43</v>
      </c>
      <c r="X621" t="s">
        <v>43</v>
      </c>
      <c r="Y621">
        <v>4</v>
      </c>
      <c r="Z621">
        <v>3</v>
      </c>
      <c r="AA621">
        <v>2</v>
      </c>
      <c r="AB621">
        <v>1</v>
      </c>
      <c r="AC621">
        <v>3</v>
      </c>
      <c r="AD621">
        <v>3</v>
      </c>
      <c r="AE621">
        <v>6</v>
      </c>
      <c r="AF621">
        <v>13</v>
      </c>
      <c r="AG621">
        <v>12</v>
      </c>
      <c r="AH621">
        <v>13</v>
      </c>
    </row>
    <row r="622" spans="1:34" x14ac:dyDescent="0.2">
      <c r="A622" t="s">
        <v>54</v>
      </c>
      <c r="B622" t="s">
        <v>35</v>
      </c>
      <c r="C622">
        <v>17</v>
      </c>
      <c r="D622" t="s">
        <v>36</v>
      </c>
      <c r="E622" t="s">
        <v>48</v>
      </c>
      <c r="F622" t="s">
        <v>45</v>
      </c>
      <c r="G622">
        <v>4</v>
      </c>
      <c r="H622">
        <v>4</v>
      </c>
      <c r="I622" t="s">
        <v>39</v>
      </c>
      <c r="J622" t="s">
        <v>39</v>
      </c>
      <c r="K622" t="s">
        <v>41</v>
      </c>
      <c r="L622" t="s">
        <v>42</v>
      </c>
      <c r="M622">
        <v>1</v>
      </c>
      <c r="N622">
        <v>2</v>
      </c>
      <c r="O622">
        <v>0</v>
      </c>
      <c r="P622" t="s">
        <v>44</v>
      </c>
      <c r="Q622" t="s">
        <v>43</v>
      </c>
      <c r="R622" t="s">
        <v>44</v>
      </c>
      <c r="S622">
        <f t="shared" si="9"/>
        <v>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>
        <v>2</v>
      </c>
      <c r="Z622">
        <v>3</v>
      </c>
      <c r="AA622">
        <v>4</v>
      </c>
      <c r="AB622">
        <v>1</v>
      </c>
      <c r="AC622">
        <v>1</v>
      </c>
      <c r="AD622">
        <v>1</v>
      </c>
      <c r="AE622">
        <v>4</v>
      </c>
      <c r="AF622">
        <v>15</v>
      </c>
      <c r="AG622">
        <v>14</v>
      </c>
      <c r="AH622">
        <v>15</v>
      </c>
    </row>
    <row r="623" spans="1:34" x14ac:dyDescent="0.2">
      <c r="A623" t="s">
        <v>54</v>
      </c>
      <c r="B623" t="s">
        <v>35</v>
      </c>
      <c r="C623">
        <v>17</v>
      </c>
      <c r="D623" t="s">
        <v>53</v>
      </c>
      <c r="E623" t="s">
        <v>37</v>
      </c>
      <c r="F623" t="s">
        <v>45</v>
      </c>
      <c r="G623">
        <v>1</v>
      </c>
      <c r="H623">
        <v>2</v>
      </c>
      <c r="I623" t="s">
        <v>46</v>
      </c>
      <c r="J623" t="s">
        <v>49</v>
      </c>
      <c r="K623" t="s">
        <v>41</v>
      </c>
      <c r="L623" t="s">
        <v>47</v>
      </c>
      <c r="M623">
        <v>2</v>
      </c>
      <c r="N623">
        <v>2</v>
      </c>
      <c r="O623">
        <v>0</v>
      </c>
      <c r="P623" t="s">
        <v>44</v>
      </c>
      <c r="Q623" t="s">
        <v>44</v>
      </c>
      <c r="R623" t="s">
        <v>44</v>
      </c>
      <c r="S623">
        <f t="shared" si="9"/>
        <v>0</v>
      </c>
      <c r="T623" t="s">
        <v>44</v>
      </c>
      <c r="U623" t="s">
        <v>44</v>
      </c>
      <c r="V623" t="s">
        <v>43</v>
      </c>
      <c r="W623" t="s">
        <v>44</v>
      </c>
      <c r="X623" t="s">
        <v>44</v>
      </c>
      <c r="Y623">
        <v>3</v>
      </c>
      <c r="Z623">
        <v>2</v>
      </c>
      <c r="AA623">
        <v>2</v>
      </c>
      <c r="AB623">
        <v>1</v>
      </c>
      <c r="AC623">
        <v>2</v>
      </c>
      <c r="AD623">
        <v>3</v>
      </c>
      <c r="AE623">
        <v>0</v>
      </c>
      <c r="AF623">
        <v>13</v>
      </c>
      <c r="AG623">
        <v>13</v>
      </c>
      <c r="AH623">
        <v>13</v>
      </c>
    </row>
    <row r="624" spans="1:34" x14ac:dyDescent="0.2">
      <c r="A624" t="s">
        <v>54</v>
      </c>
      <c r="B624" t="s">
        <v>51</v>
      </c>
      <c r="C624">
        <v>18</v>
      </c>
      <c r="D624" t="s">
        <v>53</v>
      </c>
      <c r="E624" t="s">
        <v>37</v>
      </c>
      <c r="F624" t="s">
        <v>45</v>
      </c>
      <c r="G624">
        <v>1</v>
      </c>
      <c r="H624">
        <v>3</v>
      </c>
      <c r="I624" t="s">
        <v>39</v>
      </c>
      <c r="J624" t="s">
        <v>46</v>
      </c>
      <c r="K624" t="s">
        <v>41</v>
      </c>
      <c r="L624" t="s">
        <v>42</v>
      </c>
      <c r="M624">
        <v>2</v>
      </c>
      <c r="N624">
        <v>2</v>
      </c>
      <c r="O624">
        <v>0</v>
      </c>
      <c r="P624" t="s">
        <v>44</v>
      </c>
      <c r="Q624" t="s">
        <v>43</v>
      </c>
      <c r="R624" t="s">
        <v>43</v>
      </c>
      <c r="S624">
        <f t="shared" si="9"/>
        <v>1</v>
      </c>
      <c r="T624" t="s">
        <v>44</v>
      </c>
      <c r="U624" t="s">
        <v>43</v>
      </c>
      <c r="V624" t="s">
        <v>43</v>
      </c>
      <c r="W624" t="s">
        <v>44</v>
      </c>
      <c r="X624" t="s">
        <v>44</v>
      </c>
      <c r="Y624">
        <v>3</v>
      </c>
      <c r="Z624">
        <v>3</v>
      </c>
      <c r="AA624">
        <v>4</v>
      </c>
      <c r="AB624">
        <v>2</v>
      </c>
      <c r="AC624">
        <v>4</v>
      </c>
      <c r="AD624">
        <v>3</v>
      </c>
      <c r="AE624">
        <v>0</v>
      </c>
      <c r="AF624">
        <v>8</v>
      </c>
      <c r="AG624">
        <v>10</v>
      </c>
      <c r="AH624">
        <v>9</v>
      </c>
    </row>
    <row r="625" spans="1:34" x14ac:dyDescent="0.2">
      <c r="A625" t="s">
        <v>54</v>
      </c>
      <c r="B625" t="s">
        <v>51</v>
      </c>
      <c r="C625">
        <v>18</v>
      </c>
      <c r="D625" t="s">
        <v>36</v>
      </c>
      <c r="E625" t="s">
        <v>48</v>
      </c>
      <c r="F625" t="s">
        <v>45</v>
      </c>
      <c r="G625">
        <v>4</v>
      </c>
      <c r="H625">
        <v>4</v>
      </c>
      <c r="I625" t="s">
        <v>40</v>
      </c>
      <c r="J625" t="s">
        <v>49</v>
      </c>
      <c r="K625" t="s">
        <v>46</v>
      </c>
      <c r="L625" t="s">
        <v>42</v>
      </c>
      <c r="M625">
        <v>2</v>
      </c>
      <c r="N625">
        <v>3</v>
      </c>
      <c r="O625">
        <v>0</v>
      </c>
      <c r="P625" t="s">
        <v>44</v>
      </c>
      <c r="Q625" t="s">
        <v>44</v>
      </c>
      <c r="R625" t="s">
        <v>44</v>
      </c>
      <c r="S625">
        <f t="shared" si="9"/>
        <v>0</v>
      </c>
      <c r="T625" t="s">
        <v>44</v>
      </c>
      <c r="U625" t="s">
        <v>43</v>
      </c>
      <c r="V625" t="s">
        <v>43</v>
      </c>
      <c r="W625" t="s">
        <v>43</v>
      </c>
      <c r="X625" t="s">
        <v>43</v>
      </c>
      <c r="Y625">
        <v>4</v>
      </c>
      <c r="Z625">
        <v>2</v>
      </c>
      <c r="AA625">
        <v>2</v>
      </c>
      <c r="AB625">
        <v>2</v>
      </c>
      <c r="AC625">
        <v>2</v>
      </c>
      <c r="AD625">
        <v>5</v>
      </c>
      <c r="AE625">
        <v>0</v>
      </c>
      <c r="AF625">
        <v>15</v>
      </c>
      <c r="AG625">
        <v>16</v>
      </c>
      <c r="AH625">
        <v>16</v>
      </c>
    </row>
    <row r="626" spans="1:34" x14ac:dyDescent="0.2">
      <c r="A626" t="s">
        <v>54</v>
      </c>
      <c r="B626" t="s">
        <v>35</v>
      </c>
      <c r="C626">
        <v>17</v>
      </c>
      <c r="D626" t="s">
        <v>53</v>
      </c>
      <c r="E626" t="s">
        <v>37</v>
      </c>
      <c r="F626" t="s">
        <v>45</v>
      </c>
      <c r="G626">
        <v>1</v>
      </c>
      <c r="H626">
        <v>1</v>
      </c>
      <c r="I626" t="s">
        <v>46</v>
      </c>
      <c r="J626" t="s">
        <v>49</v>
      </c>
      <c r="K626" t="s">
        <v>52</v>
      </c>
      <c r="L626" t="s">
        <v>42</v>
      </c>
      <c r="M626">
        <v>3</v>
      </c>
      <c r="N626">
        <v>1</v>
      </c>
      <c r="O626">
        <v>1</v>
      </c>
      <c r="P626" t="s">
        <v>44</v>
      </c>
      <c r="Q626" t="s">
        <v>43</v>
      </c>
      <c r="R626" t="s">
        <v>44</v>
      </c>
      <c r="S626">
        <f t="shared" si="9"/>
        <v>0</v>
      </c>
      <c r="T626" t="s">
        <v>44</v>
      </c>
      <c r="U626" t="s">
        <v>43</v>
      </c>
      <c r="V626" t="s">
        <v>43</v>
      </c>
      <c r="W626" t="s">
        <v>43</v>
      </c>
      <c r="X626" t="s">
        <v>43</v>
      </c>
      <c r="Y626">
        <v>5</v>
      </c>
      <c r="Z626">
        <v>2</v>
      </c>
      <c r="AA626">
        <v>1</v>
      </c>
      <c r="AB626">
        <v>1</v>
      </c>
      <c r="AC626">
        <v>2</v>
      </c>
      <c r="AD626">
        <v>1</v>
      </c>
      <c r="AE626">
        <v>0</v>
      </c>
      <c r="AF626">
        <v>8</v>
      </c>
      <c r="AG626">
        <v>8</v>
      </c>
      <c r="AH626">
        <v>9</v>
      </c>
    </row>
    <row r="627" spans="1:34" x14ac:dyDescent="0.2">
      <c r="A627" t="s">
        <v>54</v>
      </c>
      <c r="B627" t="s">
        <v>35</v>
      </c>
      <c r="C627">
        <v>18</v>
      </c>
      <c r="D627" t="s">
        <v>36</v>
      </c>
      <c r="E627" t="s">
        <v>37</v>
      </c>
      <c r="F627" t="s">
        <v>45</v>
      </c>
      <c r="G627">
        <v>2</v>
      </c>
      <c r="H627">
        <v>3</v>
      </c>
      <c r="I627" t="s">
        <v>39</v>
      </c>
      <c r="J627" t="s">
        <v>49</v>
      </c>
      <c r="K627" t="s">
        <v>41</v>
      </c>
      <c r="L627" t="s">
        <v>47</v>
      </c>
      <c r="M627">
        <v>2</v>
      </c>
      <c r="N627">
        <v>1</v>
      </c>
      <c r="O627">
        <v>0</v>
      </c>
      <c r="P627" t="s">
        <v>44</v>
      </c>
      <c r="Q627" t="s">
        <v>43</v>
      </c>
      <c r="R627" t="s">
        <v>44</v>
      </c>
      <c r="S627">
        <f t="shared" si="9"/>
        <v>0</v>
      </c>
      <c r="T627" t="s">
        <v>44</v>
      </c>
      <c r="U627" t="s">
        <v>43</v>
      </c>
      <c r="V627" t="s">
        <v>43</v>
      </c>
      <c r="W627" t="s">
        <v>43</v>
      </c>
      <c r="X627" t="s">
        <v>43</v>
      </c>
      <c r="Y627">
        <v>5</v>
      </c>
      <c r="Z627">
        <v>2</v>
      </c>
      <c r="AA627">
        <v>3</v>
      </c>
      <c r="AB627">
        <v>1</v>
      </c>
      <c r="AC627">
        <v>2</v>
      </c>
      <c r="AD627">
        <v>4</v>
      </c>
      <c r="AE627">
        <v>0</v>
      </c>
      <c r="AF627">
        <v>10</v>
      </c>
      <c r="AG627">
        <v>10</v>
      </c>
      <c r="AH627">
        <v>10</v>
      </c>
    </row>
    <row r="628" spans="1:34" x14ac:dyDescent="0.2">
      <c r="A628" t="s">
        <v>54</v>
      </c>
      <c r="B628" t="s">
        <v>35</v>
      </c>
      <c r="C628">
        <v>18</v>
      </c>
      <c r="D628" t="s">
        <v>53</v>
      </c>
      <c r="E628" t="s">
        <v>37</v>
      </c>
      <c r="F628" t="s">
        <v>45</v>
      </c>
      <c r="G628">
        <v>4</v>
      </c>
      <c r="H628">
        <v>4</v>
      </c>
      <c r="I628" t="s">
        <v>46</v>
      </c>
      <c r="J628" t="s">
        <v>40</v>
      </c>
      <c r="K628" t="s">
        <v>46</v>
      </c>
      <c r="L628" t="s">
        <v>47</v>
      </c>
      <c r="M628">
        <v>3</v>
      </c>
      <c r="N628">
        <v>2</v>
      </c>
      <c r="O628">
        <v>0</v>
      </c>
      <c r="P628" t="s">
        <v>44</v>
      </c>
      <c r="Q628" t="s">
        <v>43</v>
      </c>
      <c r="R628" t="s">
        <v>44</v>
      </c>
      <c r="S628">
        <f t="shared" si="9"/>
        <v>0</v>
      </c>
      <c r="T628" t="s">
        <v>44</v>
      </c>
      <c r="U628" t="s">
        <v>44</v>
      </c>
      <c r="V628" t="s">
        <v>43</v>
      </c>
      <c r="W628" t="s">
        <v>43</v>
      </c>
      <c r="X628" t="s">
        <v>43</v>
      </c>
      <c r="Y628">
        <v>3</v>
      </c>
      <c r="Z628">
        <v>2</v>
      </c>
      <c r="AA628">
        <v>2</v>
      </c>
      <c r="AB628">
        <v>4</v>
      </c>
      <c r="AC628">
        <v>2</v>
      </c>
      <c r="AD628">
        <v>5</v>
      </c>
      <c r="AE628">
        <v>0</v>
      </c>
      <c r="AF628">
        <v>7</v>
      </c>
      <c r="AG628">
        <v>5</v>
      </c>
      <c r="AH628">
        <v>0</v>
      </c>
    </row>
    <row r="629" spans="1:34" x14ac:dyDescent="0.2">
      <c r="A629" t="s">
        <v>54</v>
      </c>
      <c r="B629" t="s">
        <v>51</v>
      </c>
      <c r="C629">
        <v>18</v>
      </c>
      <c r="D629" t="s">
        <v>53</v>
      </c>
      <c r="E629" t="s">
        <v>48</v>
      </c>
      <c r="F629" t="s">
        <v>45</v>
      </c>
      <c r="G629">
        <v>1</v>
      </c>
      <c r="H629">
        <v>2</v>
      </c>
      <c r="I629" t="s">
        <v>39</v>
      </c>
      <c r="J629" t="s">
        <v>49</v>
      </c>
      <c r="K629" t="s">
        <v>46</v>
      </c>
      <c r="L629" t="s">
        <v>47</v>
      </c>
      <c r="M629">
        <v>3</v>
      </c>
      <c r="N629">
        <v>1</v>
      </c>
      <c r="O629">
        <v>0</v>
      </c>
      <c r="P629" t="s">
        <v>44</v>
      </c>
      <c r="Q629" t="s">
        <v>43</v>
      </c>
      <c r="R629" t="s">
        <v>44</v>
      </c>
      <c r="S629">
        <f t="shared" si="9"/>
        <v>0</v>
      </c>
      <c r="T629" t="s">
        <v>43</v>
      </c>
      <c r="U629" t="s">
        <v>43</v>
      </c>
      <c r="V629" t="s">
        <v>44</v>
      </c>
      <c r="W629" t="s">
        <v>43</v>
      </c>
      <c r="X629" t="s">
        <v>43</v>
      </c>
      <c r="Y629">
        <v>4</v>
      </c>
      <c r="Z629">
        <v>3</v>
      </c>
      <c r="AA629">
        <v>3</v>
      </c>
      <c r="AB629">
        <v>2</v>
      </c>
      <c r="AC629">
        <v>3</v>
      </c>
      <c r="AD629">
        <v>3</v>
      </c>
      <c r="AE629">
        <v>3</v>
      </c>
      <c r="AF629">
        <v>9</v>
      </c>
      <c r="AG629">
        <v>10</v>
      </c>
      <c r="AH629">
        <v>10</v>
      </c>
    </row>
    <row r="630" spans="1:34" x14ac:dyDescent="0.2">
      <c r="A630" t="s">
        <v>54</v>
      </c>
      <c r="B630" t="s">
        <v>35</v>
      </c>
      <c r="C630">
        <v>17</v>
      </c>
      <c r="D630" t="s">
        <v>36</v>
      </c>
      <c r="E630" t="s">
        <v>37</v>
      </c>
      <c r="F630" t="s">
        <v>45</v>
      </c>
      <c r="G630">
        <v>2</v>
      </c>
      <c r="H630">
        <v>2</v>
      </c>
      <c r="I630" t="s">
        <v>46</v>
      </c>
      <c r="J630" t="s">
        <v>39</v>
      </c>
      <c r="K630" t="s">
        <v>50</v>
      </c>
      <c r="L630" t="s">
        <v>42</v>
      </c>
      <c r="M630">
        <v>1</v>
      </c>
      <c r="N630">
        <v>3</v>
      </c>
      <c r="O630">
        <v>0</v>
      </c>
      <c r="P630" t="s">
        <v>44</v>
      </c>
      <c r="Q630" t="s">
        <v>44</v>
      </c>
      <c r="R630" t="s">
        <v>44</v>
      </c>
      <c r="S630">
        <f t="shared" si="9"/>
        <v>0</v>
      </c>
      <c r="T630" t="s">
        <v>43</v>
      </c>
      <c r="U630" t="s">
        <v>43</v>
      </c>
      <c r="V630" t="s">
        <v>43</v>
      </c>
      <c r="W630" t="s">
        <v>44</v>
      </c>
      <c r="X630" t="s">
        <v>43</v>
      </c>
      <c r="Y630">
        <v>3</v>
      </c>
      <c r="Z630">
        <v>4</v>
      </c>
      <c r="AA630">
        <v>3</v>
      </c>
      <c r="AB630">
        <v>1</v>
      </c>
      <c r="AC630">
        <v>1</v>
      </c>
      <c r="AD630">
        <v>3</v>
      </c>
      <c r="AE630">
        <v>8</v>
      </c>
      <c r="AF630">
        <v>10</v>
      </c>
      <c r="AG630">
        <v>11</v>
      </c>
      <c r="AH630">
        <v>12</v>
      </c>
    </row>
    <row r="631" spans="1:34" x14ac:dyDescent="0.2">
      <c r="A631" t="s">
        <v>54</v>
      </c>
      <c r="B631" t="s">
        <v>35</v>
      </c>
      <c r="C631">
        <v>17</v>
      </c>
      <c r="D631" t="s">
        <v>53</v>
      </c>
      <c r="E631" t="s">
        <v>37</v>
      </c>
      <c r="F631" t="s">
        <v>45</v>
      </c>
      <c r="G631">
        <v>1</v>
      </c>
      <c r="H631">
        <v>2</v>
      </c>
      <c r="I631" t="s">
        <v>46</v>
      </c>
      <c r="J631" t="s">
        <v>46</v>
      </c>
      <c r="K631" t="s">
        <v>41</v>
      </c>
      <c r="L631" t="s">
        <v>42</v>
      </c>
      <c r="M631">
        <v>1</v>
      </c>
      <c r="N631">
        <v>1</v>
      </c>
      <c r="O631">
        <v>0</v>
      </c>
      <c r="P631" t="s">
        <v>44</v>
      </c>
      <c r="Q631" t="s">
        <v>44</v>
      </c>
      <c r="R631" t="s">
        <v>44</v>
      </c>
      <c r="S631">
        <f t="shared" si="9"/>
        <v>0</v>
      </c>
      <c r="T631" t="s">
        <v>43</v>
      </c>
      <c r="U631" t="s">
        <v>43</v>
      </c>
      <c r="V631" t="s">
        <v>43</v>
      </c>
      <c r="W631" t="s">
        <v>43</v>
      </c>
      <c r="X631" t="s">
        <v>44</v>
      </c>
      <c r="Y631">
        <v>3</v>
      </c>
      <c r="Z631">
        <v>5</v>
      </c>
      <c r="AA631">
        <v>5</v>
      </c>
      <c r="AB631">
        <v>1</v>
      </c>
      <c r="AC631">
        <v>3</v>
      </c>
      <c r="AD631">
        <v>1</v>
      </c>
      <c r="AE631">
        <v>4</v>
      </c>
      <c r="AF631">
        <v>7</v>
      </c>
      <c r="AG631">
        <v>8</v>
      </c>
      <c r="AH631">
        <v>9</v>
      </c>
    </row>
    <row r="632" spans="1:34" x14ac:dyDescent="0.2">
      <c r="A632" t="s">
        <v>54</v>
      </c>
      <c r="B632" t="s">
        <v>35</v>
      </c>
      <c r="C632">
        <v>18</v>
      </c>
      <c r="D632" t="s">
        <v>53</v>
      </c>
      <c r="E632" t="s">
        <v>48</v>
      </c>
      <c r="F632" t="s">
        <v>45</v>
      </c>
      <c r="G632">
        <v>4</v>
      </c>
      <c r="H632">
        <v>4</v>
      </c>
      <c r="I632" t="s">
        <v>46</v>
      </c>
      <c r="J632" t="s">
        <v>46</v>
      </c>
      <c r="K632" t="s">
        <v>52</v>
      </c>
      <c r="L632" t="s">
        <v>42</v>
      </c>
      <c r="M632">
        <v>2</v>
      </c>
      <c r="N632">
        <v>3</v>
      </c>
      <c r="O632">
        <v>0</v>
      </c>
      <c r="P632" t="s">
        <v>44</v>
      </c>
      <c r="Q632" t="s">
        <v>44</v>
      </c>
      <c r="R632" t="s">
        <v>44</v>
      </c>
      <c r="S632">
        <f t="shared" si="9"/>
        <v>0</v>
      </c>
      <c r="T632" t="s">
        <v>44</v>
      </c>
      <c r="U632" t="s">
        <v>43</v>
      </c>
      <c r="V632" t="s">
        <v>43</v>
      </c>
      <c r="W632" t="s">
        <v>43</v>
      </c>
      <c r="X632" t="s">
        <v>44</v>
      </c>
      <c r="Y632">
        <v>5</v>
      </c>
      <c r="Z632">
        <v>4</v>
      </c>
      <c r="AA632">
        <v>4</v>
      </c>
      <c r="AB632">
        <v>1</v>
      </c>
      <c r="AC632">
        <v>1</v>
      </c>
      <c r="AD632">
        <v>1</v>
      </c>
      <c r="AE632">
        <v>0</v>
      </c>
      <c r="AF632">
        <v>15</v>
      </c>
      <c r="AG632">
        <v>17</v>
      </c>
      <c r="AH632">
        <v>17</v>
      </c>
    </row>
    <row r="633" spans="1:34" x14ac:dyDescent="0.2">
      <c r="A633" t="s">
        <v>54</v>
      </c>
      <c r="B633" t="s">
        <v>35</v>
      </c>
      <c r="C633">
        <v>18</v>
      </c>
      <c r="D633" t="s">
        <v>53</v>
      </c>
      <c r="E633" t="s">
        <v>37</v>
      </c>
      <c r="F633" t="s">
        <v>45</v>
      </c>
      <c r="G633">
        <v>1</v>
      </c>
      <c r="H633">
        <v>1</v>
      </c>
      <c r="I633" t="s">
        <v>46</v>
      </c>
      <c r="J633" t="s">
        <v>46</v>
      </c>
      <c r="K633" t="s">
        <v>50</v>
      </c>
      <c r="L633" t="s">
        <v>42</v>
      </c>
      <c r="M633">
        <v>4</v>
      </c>
      <c r="N633">
        <v>3</v>
      </c>
      <c r="O633">
        <v>0</v>
      </c>
      <c r="P633" t="s">
        <v>44</v>
      </c>
      <c r="Q633" t="s">
        <v>44</v>
      </c>
      <c r="R633" t="s">
        <v>44</v>
      </c>
      <c r="S633">
        <f t="shared" si="9"/>
        <v>0</v>
      </c>
      <c r="T633" t="s">
        <v>44</v>
      </c>
      <c r="U633" t="s">
        <v>43</v>
      </c>
      <c r="V633" t="s">
        <v>43</v>
      </c>
      <c r="W633" t="s">
        <v>43</v>
      </c>
      <c r="X633" t="s">
        <v>44</v>
      </c>
      <c r="Y633">
        <v>4</v>
      </c>
      <c r="Z633">
        <v>3</v>
      </c>
      <c r="AA633">
        <v>2</v>
      </c>
      <c r="AB633">
        <v>1</v>
      </c>
      <c r="AC633">
        <v>2</v>
      </c>
      <c r="AD633">
        <v>4</v>
      </c>
      <c r="AE633">
        <v>4</v>
      </c>
      <c r="AF633">
        <v>10</v>
      </c>
      <c r="AG633">
        <v>11</v>
      </c>
      <c r="AH633">
        <v>12</v>
      </c>
    </row>
    <row r="634" spans="1:34" x14ac:dyDescent="0.2">
      <c r="A634" t="s">
        <v>54</v>
      </c>
      <c r="B634" t="s">
        <v>35</v>
      </c>
      <c r="C634">
        <v>19</v>
      </c>
      <c r="D634" t="s">
        <v>53</v>
      </c>
      <c r="E634" t="s">
        <v>37</v>
      </c>
      <c r="F634" t="s">
        <v>45</v>
      </c>
      <c r="G634">
        <v>1</v>
      </c>
      <c r="H634">
        <v>1</v>
      </c>
      <c r="I634" t="s">
        <v>39</v>
      </c>
      <c r="J634" t="s">
        <v>46</v>
      </c>
      <c r="K634" t="s">
        <v>41</v>
      </c>
      <c r="L634" t="s">
        <v>46</v>
      </c>
      <c r="M634">
        <v>2</v>
      </c>
      <c r="N634">
        <v>2</v>
      </c>
      <c r="O634">
        <v>1</v>
      </c>
      <c r="P634" t="s">
        <v>44</v>
      </c>
      <c r="Q634" t="s">
        <v>43</v>
      </c>
      <c r="R634" t="s">
        <v>44</v>
      </c>
      <c r="S634">
        <f t="shared" si="9"/>
        <v>0</v>
      </c>
      <c r="T634" t="s">
        <v>44</v>
      </c>
      <c r="U634" t="s">
        <v>43</v>
      </c>
      <c r="V634" t="s">
        <v>43</v>
      </c>
      <c r="W634" t="s">
        <v>43</v>
      </c>
      <c r="X634" t="s">
        <v>43</v>
      </c>
      <c r="Y634">
        <v>4</v>
      </c>
      <c r="Z634">
        <v>3</v>
      </c>
      <c r="AA634">
        <v>3</v>
      </c>
      <c r="AB634">
        <v>1</v>
      </c>
      <c r="AC634">
        <v>1</v>
      </c>
      <c r="AD634">
        <v>3</v>
      </c>
      <c r="AE634">
        <v>4</v>
      </c>
      <c r="AF634">
        <v>7</v>
      </c>
      <c r="AG634">
        <v>8</v>
      </c>
      <c r="AH634">
        <v>9</v>
      </c>
    </row>
    <row r="635" spans="1:34" x14ac:dyDescent="0.2">
      <c r="A635" t="s">
        <v>54</v>
      </c>
      <c r="B635" t="s">
        <v>35</v>
      </c>
      <c r="C635">
        <v>18</v>
      </c>
      <c r="D635" t="s">
        <v>53</v>
      </c>
      <c r="E635" t="s">
        <v>48</v>
      </c>
      <c r="F635" t="s">
        <v>45</v>
      </c>
      <c r="G635">
        <v>4</v>
      </c>
      <c r="H635">
        <v>4</v>
      </c>
      <c r="I635" t="s">
        <v>40</v>
      </c>
      <c r="J635" t="s">
        <v>49</v>
      </c>
      <c r="K635" t="s">
        <v>41</v>
      </c>
      <c r="L635" t="s">
        <v>42</v>
      </c>
      <c r="M635">
        <v>1</v>
      </c>
      <c r="N635">
        <v>2</v>
      </c>
      <c r="O635">
        <v>0</v>
      </c>
      <c r="P635" t="s">
        <v>44</v>
      </c>
      <c r="Q635" t="s">
        <v>44</v>
      </c>
      <c r="R635" t="s">
        <v>44</v>
      </c>
      <c r="S635">
        <f t="shared" si="9"/>
        <v>0</v>
      </c>
      <c r="T635" t="s">
        <v>43</v>
      </c>
      <c r="U635" t="s">
        <v>43</v>
      </c>
      <c r="V635" t="s">
        <v>43</v>
      </c>
      <c r="W635" t="s">
        <v>43</v>
      </c>
      <c r="X635" t="s">
        <v>44</v>
      </c>
      <c r="Y635">
        <v>5</v>
      </c>
      <c r="Z635">
        <v>4</v>
      </c>
      <c r="AA635">
        <v>3</v>
      </c>
      <c r="AB635">
        <v>3</v>
      </c>
      <c r="AC635">
        <v>4</v>
      </c>
      <c r="AD635">
        <v>2</v>
      </c>
      <c r="AE635">
        <v>1</v>
      </c>
      <c r="AF635">
        <v>13</v>
      </c>
      <c r="AG635">
        <v>14</v>
      </c>
      <c r="AH635">
        <v>14</v>
      </c>
    </row>
    <row r="636" spans="1:34" x14ac:dyDescent="0.2">
      <c r="A636" t="s">
        <v>54</v>
      </c>
      <c r="B636" t="s">
        <v>35</v>
      </c>
      <c r="C636">
        <v>18</v>
      </c>
      <c r="D636" t="s">
        <v>36</v>
      </c>
      <c r="E636" t="s">
        <v>37</v>
      </c>
      <c r="F636" t="s">
        <v>45</v>
      </c>
      <c r="G636">
        <v>3</v>
      </c>
      <c r="H636">
        <v>3</v>
      </c>
      <c r="I636" t="s">
        <v>46</v>
      </c>
      <c r="J636" t="s">
        <v>46</v>
      </c>
      <c r="K636" t="s">
        <v>50</v>
      </c>
      <c r="L636" t="s">
        <v>42</v>
      </c>
      <c r="M636">
        <v>1</v>
      </c>
      <c r="N636">
        <v>2</v>
      </c>
      <c r="O636">
        <v>0</v>
      </c>
      <c r="P636" t="s">
        <v>44</v>
      </c>
      <c r="Q636" t="s">
        <v>44</v>
      </c>
      <c r="R636" t="s">
        <v>44</v>
      </c>
      <c r="S636">
        <f t="shared" si="9"/>
        <v>0</v>
      </c>
      <c r="T636" t="s">
        <v>44</v>
      </c>
      <c r="U636" t="s">
        <v>43</v>
      </c>
      <c r="V636" t="s">
        <v>43</v>
      </c>
      <c r="W636" t="s">
        <v>43</v>
      </c>
      <c r="X636" t="s">
        <v>43</v>
      </c>
      <c r="Y636">
        <v>4</v>
      </c>
      <c r="Z636">
        <v>1</v>
      </c>
      <c r="AA636">
        <v>3</v>
      </c>
      <c r="AB636">
        <v>1</v>
      </c>
      <c r="AC636">
        <v>2</v>
      </c>
      <c r="AD636">
        <v>1</v>
      </c>
      <c r="AE636">
        <v>1</v>
      </c>
      <c r="AF636">
        <v>16</v>
      </c>
      <c r="AG636">
        <v>16</v>
      </c>
      <c r="AH636">
        <v>16</v>
      </c>
    </row>
    <row r="637" spans="1:34" x14ac:dyDescent="0.2">
      <c r="A637" t="s">
        <v>54</v>
      </c>
      <c r="B637" t="s">
        <v>35</v>
      </c>
      <c r="C637">
        <v>17</v>
      </c>
      <c r="D637" t="s">
        <v>53</v>
      </c>
      <c r="E637" t="s">
        <v>37</v>
      </c>
      <c r="F637" t="s">
        <v>45</v>
      </c>
      <c r="G637">
        <v>3</v>
      </c>
      <c r="H637">
        <v>1</v>
      </c>
      <c r="I637" t="s">
        <v>39</v>
      </c>
      <c r="J637" t="s">
        <v>46</v>
      </c>
      <c r="K637" t="s">
        <v>52</v>
      </c>
      <c r="L637" t="s">
        <v>42</v>
      </c>
      <c r="M637">
        <v>1</v>
      </c>
      <c r="N637">
        <v>2</v>
      </c>
      <c r="O637">
        <v>0</v>
      </c>
      <c r="P637" t="s">
        <v>44</v>
      </c>
      <c r="Q637" t="s">
        <v>43</v>
      </c>
      <c r="R637" t="s">
        <v>44</v>
      </c>
      <c r="S637">
        <f t="shared" si="9"/>
        <v>0</v>
      </c>
      <c r="T637" t="s">
        <v>43</v>
      </c>
      <c r="U637" t="s">
        <v>44</v>
      </c>
      <c r="V637" t="s">
        <v>43</v>
      </c>
      <c r="W637" t="s">
        <v>43</v>
      </c>
      <c r="X637" t="s">
        <v>44</v>
      </c>
      <c r="Y637">
        <v>4</v>
      </c>
      <c r="Z637">
        <v>5</v>
      </c>
      <c r="AA637">
        <v>4</v>
      </c>
      <c r="AB637">
        <v>2</v>
      </c>
      <c r="AC637">
        <v>3</v>
      </c>
      <c r="AD637">
        <v>1</v>
      </c>
      <c r="AE637">
        <v>10</v>
      </c>
      <c r="AF637">
        <v>8</v>
      </c>
      <c r="AG637">
        <v>9</v>
      </c>
      <c r="AH637">
        <v>9</v>
      </c>
    </row>
    <row r="638" spans="1:34" x14ac:dyDescent="0.2">
      <c r="A638" t="s">
        <v>54</v>
      </c>
      <c r="B638" t="s">
        <v>51</v>
      </c>
      <c r="C638">
        <v>18</v>
      </c>
      <c r="D638" t="s">
        <v>36</v>
      </c>
      <c r="E638" t="s">
        <v>37</v>
      </c>
      <c r="F638" t="s">
        <v>45</v>
      </c>
      <c r="G638">
        <v>4</v>
      </c>
      <c r="H638">
        <v>4</v>
      </c>
      <c r="I638" t="s">
        <v>40</v>
      </c>
      <c r="J638" t="s">
        <v>40</v>
      </c>
      <c r="K638" t="s">
        <v>50</v>
      </c>
      <c r="L638" t="s">
        <v>47</v>
      </c>
      <c r="M638">
        <v>1</v>
      </c>
      <c r="N638">
        <v>2</v>
      </c>
      <c r="O638">
        <v>0</v>
      </c>
      <c r="P638" t="s">
        <v>44</v>
      </c>
      <c r="Q638" t="s">
        <v>44</v>
      </c>
      <c r="R638" t="s">
        <v>44</v>
      </c>
      <c r="S638">
        <f t="shared" si="9"/>
        <v>0</v>
      </c>
      <c r="T638" t="s">
        <v>43</v>
      </c>
      <c r="U638" t="s">
        <v>44</v>
      </c>
      <c r="V638" t="s">
        <v>43</v>
      </c>
      <c r="W638" t="s">
        <v>43</v>
      </c>
      <c r="X638" t="s">
        <v>44</v>
      </c>
      <c r="Y638">
        <v>3</v>
      </c>
      <c r="Z638">
        <v>2</v>
      </c>
      <c r="AA638">
        <v>4</v>
      </c>
      <c r="AB638">
        <v>1</v>
      </c>
      <c r="AC638">
        <v>4</v>
      </c>
      <c r="AD638">
        <v>2</v>
      </c>
      <c r="AE638">
        <v>4</v>
      </c>
      <c r="AF638">
        <v>17</v>
      </c>
      <c r="AG638">
        <v>18</v>
      </c>
      <c r="AH638">
        <v>19</v>
      </c>
    </row>
    <row r="639" spans="1:34" x14ac:dyDescent="0.2">
      <c r="A639" t="s">
        <v>54</v>
      </c>
      <c r="B639" t="s">
        <v>51</v>
      </c>
      <c r="C639">
        <v>18</v>
      </c>
      <c r="D639" t="s">
        <v>53</v>
      </c>
      <c r="E639" t="s">
        <v>37</v>
      </c>
      <c r="F639" t="s">
        <v>45</v>
      </c>
      <c r="G639">
        <v>2</v>
      </c>
      <c r="H639">
        <v>1</v>
      </c>
      <c r="I639" t="s">
        <v>46</v>
      </c>
      <c r="J639" t="s">
        <v>46</v>
      </c>
      <c r="K639" t="s">
        <v>46</v>
      </c>
      <c r="L639" t="s">
        <v>42</v>
      </c>
      <c r="M639">
        <v>2</v>
      </c>
      <c r="N639">
        <v>1</v>
      </c>
      <c r="O639">
        <v>0</v>
      </c>
      <c r="P639" t="s">
        <v>44</v>
      </c>
      <c r="Q639" t="s">
        <v>44</v>
      </c>
      <c r="R639" t="s">
        <v>44</v>
      </c>
      <c r="S639">
        <f t="shared" si="9"/>
        <v>0</v>
      </c>
      <c r="T639" t="s">
        <v>43</v>
      </c>
      <c r="U639" t="s">
        <v>44</v>
      </c>
      <c r="V639" t="s">
        <v>43</v>
      </c>
      <c r="W639" t="s">
        <v>43</v>
      </c>
      <c r="X639" t="s">
        <v>43</v>
      </c>
      <c r="Y639">
        <v>4</v>
      </c>
      <c r="Z639">
        <v>4</v>
      </c>
      <c r="AA639">
        <v>3</v>
      </c>
      <c r="AB639">
        <v>1</v>
      </c>
      <c r="AC639">
        <v>3</v>
      </c>
      <c r="AD639">
        <v>5</v>
      </c>
      <c r="AE639">
        <v>0</v>
      </c>
      <c r="AF639">
        <v>7</v>
      </c>
      <c r="AG639">
        <v>7</v>
      </c>
      <c r="AH639">
        <v>0</v>
      </c>
    </row>
    <row r="640" spans="1:34" x14ac:dyDescent="0.2">
      <c r="A640" t="s">
        <v>54</v>
      </c>
      <c r="B640" t="s">
        <v>51</v>
      </c>
      <c r="C640">
        <v>17</v>
      </c>
      <c r="D640" t="s">
        <v>36</v>
      </c>
      <c r="E640" t="s">
        <v>37</v>
      </c>
      <c r="F640" t="s">
        <v>45</v>
      </c>
      <c r="G640">
        <v>2</v>
      </c>
      <c r="H640">
        <v>3</v>
      </c>
      <c r="I640" t="s">
        <v>46</v>
      </c>
      <c r="J640" t="s">
        <v>49</v>
      </c>
      <c r="K640" t="s">
        <v>50</v>
      </c>
      <c r="L640" t="s">
        <v>47</v>
      </c>
      <c r="M640">
        <v>2</v>
      </c>
      <c r="N640">
        <v>2</v>
      </c>
      <c r="O640">
        <v>0</v>
      </c>
      <c r="P640" t="s">
        <v>44</v>
      </c>
      <c r="Q640" t="s">
        <v>44</v>
      </c>
      <c r="R640" t="s">
        <v>44</v>
      </c>
      <c r="S640">
        <f t="shared" si="9"/>
        <v>0</v>
      </c>
      <c r="T640" t="s">
        <v>43</v>
      </c>
      <c r="U640" t="s">
        <v>43</v>
      </c>
      <c r="V640" t="s">
        <v>43</v>
      </c>
      <c r="W640" t="s">
        <v>43</v>
      </c>
      <c r="X640" t="s">
        <v>44</v>
      </c>
      <c r="Y640">
        <v>4</v>
      </c>
      <c r="Z640">
        <v>4</v>
      </c>
      <c r="AA640">
        <v>3</v>
      </c>
      <c r="AB640">
        <v>1</v>
      </c>
      <c r="AC640">
        <v>1</v>
      </c>
      <c r="AD640">
        <v>3</v>
      </c>
      <c r="AE640">
        <v>4</v>
      </c>
      <c r="AF640">
        <v>14</v>
      </c>
      <c r="AG640">
        <v>15</v>
      </c>
      <c r="AH640">
        <v>16</v>
      </c>
    </row>
    <row r="641" spans="1:34" x14ac:dyDescent="0.2">
      <c r="A641" t="s">
        <v>54</v>
      </c>
      <c r="B641" t="s">
        <v>51</v>
      </c>
      <c r="C641">
        <v>19</v>
      </c>
      <c r="D641" t="s">
        <v>53</v>
      </c>
      <c r="E641" t="s">
        <v>37</v>
      </c>
      <c r="F641" t="s">
        <v>45</v>
      </c>
      <c r="G641">
        <v>1</v>
      </c>
      <c r="H641">
        <v>1</v>
      </c>
      <c r="I641" t="s">
        <v>46</v>
      </c>
      <c r="J641" t="s">
        <v>49</v>
      </c>
      <c r="K641" t="s">
        <v>46</v>
      </c>
      <c r="L641" t="s">
        <v>42</v>
      </c>
      <c r="M641">
        <v>2</v>
      </c>
      <c r="N641">
        <v>1</v>
      </c>
      <c r="O641">
        <v>1</v>
      </c>
      <c r="P641" t="s">
        <v>44</v>
      </c>
      <c r="Q641" t="s">
        <v>44</v>
      </c>
      <c r="R641" t="s">
        <v>44</v>
      </c>
      <c r="S641">
        <f t="shared" si="9"/>
        <v>0</v>
      </c>
      <c r="T641" t="s">
        <v>44</v>
      </c>
      <c r="U641" t="s">
        <v>43</v>
      </c>
      <c r="V641" t="s">
        <v>43</v>
      </c>
      <c r="W641" t="s">
        <v>44</v>
      </c>
      <c r="X641" t="s">
        <v>44</v>
      </c>
      <c r="Y641">
        <v>4</v>
      </c>
      <c r="Z641">
        <v>3</v>
      </c>
      <c r="AA641">
        <v>2</v>
      </c>
      <c r="AB641">
        <v>1</v>
      </c>
      <c r="AC641">
        <v>3</v>
      </c>
      <c r="AD641">
        <v>5</v>
      </c>
      <c r="AE641">
        <v>0</v>
      </c>
      <c r="AF641">
        <v>5</v>
      </c>
      <c r="AG641">
        <v>8</v>
      </c>
      <c r="AH641">
        <v>0</v>
      </c>
    </row>
    <row r="642" spans="1:34" x14ac:dyDescent="0.2">
      <c r="A642" t="s">
        <v>54</v>
      </c>
      <c r="B642" t="s">
        <v>51</v>
      </c>
      <c r="C642">
        <v>18</v>
      </c>
      <c r="D642" t="s">
        <v>53</v>
      </c>
      <c r="E642" t="s">
        <v>37</v>
      </c>
      <c r="F642" t="s">
        <v>45</v>
      </c>
      <c r="G642">
        <v>4</v>
      </c>
      <c r="H642">
        <v>2</v>
      </c>
      <c r="I642" t="s">
        <v>46</v>
      </c>
      <c r="J642" t="s">
        <v>46</v>
      </c>
      <c r="K642" t="s">
        <v>50</v>
      </c>
      <c r="L642" t="s">
        <v>47</v>
      </c>
      <c r="M642">
        <v>2</v>
      </c>
      <c r="N642">
        <v>1</v>
      </c>
      <c r="O642">
        <v>1</v>
      </c>
      <c r="P642" t="s">
        <v>44</v>
      </c>
      <c r="Q642" t="s">
        <v>44</v>
      </c>
      <c r="R642" t="s">
        <v>43</v>
      </c>
      <c r="S642">
        <f t="shared" si="9"/>
        <v>1</v>
      </c>
      <c r="T642" t="s">
        <v>44</v>
      </c>
      <c r="U642" t="s">
        <v>43</v>
      </c>
      <c r="V642" t="s">
        <v>43</v>
      </c>
      <c r="W642" t="s">
        <v>44</v>
      </c>
      <c r="X642" t="s">
        <v>44</v>
      </c>
      <c r="Y642">
        <v>5</v>
      </c>
      <c r="Z642">
        <v>4</v>
      </c>
      <c r="AA642">
        <v>3</v>
      </c>
      <c r="AB642">
        <v>4</v>
      </c>
      <c r="AC642">
        <v>3</v>
      </c>
      <c r="AD642">
        <v>3</v>
      </c>
      <c r="AE642">
        <v>0</v>
      </c>
      <c r="AF642">
        <v>7</v>
      </c>
      <c r="AG642">
        <v>7</v>
      </c>
      <c r="AH642">
        <v>0</v>
      </c>
    </row>
    <row r="643" spans="1:34" x14ac:dyDescent="0.2">
      <c r="A643" t="s">
        <v>54</v>
      </c>
      <c r="B643" t="s">
        <v>35</v>
      </c>
      <c r="C643">
        <v>18</v>
      </c>
      <c r="D643" t="s">
        <v>53</v>
      </c>
      <c r="E643" t="s">
        <v>37</v>
      </c>
      <c r="F643" t="s">
        <v>45</v>
      </c>
      <c r="G643">
        <v>2</v>
      </c>
      <c r="H643">
        <v>2</v>
      </c>
      <c r="I643" t="s">
        <v>39</v>
      </c>
      <c r="J643" t="s">
        <v>46</v>
      </c>
      <c r="K643" t="s">
        <v>46</v>
      </c>
      <c r="L643" t="s">
        <v>42</v>
      </c>
      <c r="M643">
        <v>2</v>
      </c>
      <c r="N643">
        <v>3</v>
      </c>
      <c r="O643">
        <v>0</v>
      </c>
      <c r="P643" t="s">
        <v>44</v>
      </c>
      <c r="Q643" t="s">
        <v>44</v>
      </c>
      <c r="R643" t="s">
        <v>44</v>
      </c>
      <c r="S643">
        <f t="shared" ref="S643:S650" si="10">IF(R643="yes",1,0)</f>
        <v>0</v>
      </c>
      <c r="T643" t="s">
        <v>44</v>
      </c>
      <c r="U643" t="s">
        <v>43</v>
      </c>
      <c r="V643" t="s">
        <v>43</v>
      </c>
      <c r="W643" t="s">
        <v>44</v>
      </c>
      <c r="X643" t="s">
        <v>44</v>
      </c>
      <c r="Y643">
        <v>5</v>
      </c>
      <c r="Z643">
        <v>3</v>
      </c>
      <c r="AA643">
        <v>3</v>
      </c>
      <c r="AB643">
        <v>1</v>
      </c>
      <c r="AC643">
        <v>3</v>
      </c>
      <c r="AD643">
        <v>4</v>
      </c>
      <c r="AE643">
        <v>0</v>
      </c>
      <c r="AF643">
        <v>14</v>
      </c>
      <c r="AG643">
        <v>17</v>
      </c>
      <c r="AH643">
        <v>15</v>
      </c>
    </row>
    <row r="644" spans="1:34" x14ac:dyDescent="0.2">
      <c r="A644" t="s">
        <v>54</v>
      </c>
      <c r="B644" t="s">
        <v>35</v>
      </c>
      <c r="C644">
        <v>17</v>
      </c>
      <c r="D644" t="s">
        <v>36</v>
      </c>
      <c r="E644" t="s">
        <v>37</v>
      </c>
      <c r="F644" t="s">
        <v>45</v>
      </c>
      <c r="G644">
        <v>4</v>
      </c>
      <c r="H644">
        <v>3</v>
      </c>
      <c r="I644" t="s">
        <v>40</v>
      </c>
      <c r="J644" t="s">
        <v>46</v>
      </c>
      <c r="K644" t="s">
        <v>46</v>
      </c>
      <c r="L644" t="s">
        <v>42</v>
      </c>
      <c r="M644">
        <v>2</v>
      </c>
      <c r="N644">
        <v>2</v>
      </c>
      <c r="O644">
        <v>0</v>
      </c>
      <c r="P644" t="s">
        <v>44</v>
      </c>
      <c r="Q644" t="s">
        <v>44</v>
      </c>
      <c r="R644" t="s">
        <v>44</v>
      </c>
      <c r="S644">
        <f t="shared" si="10"/>
        <v>0</v>
      </c>
      <c r="T644" t="s">
        <v>44</v>
      </c>
      <c r="U644" t="s">
        <v>43</v>
      </c>
      <c r="V644" t="s">
        <v>43</v>
      </c>
      <c r="W644" t="s">
        <v>43</v>
      </c>
      <c r="X644" t="s">
        <v>44</v>
      </c>
      <c r="Y644">
        <v>5</v>
      </c>
      <c r="Z644">
        <v>5</v>
      </c>
      <c r="AA644">
        <v>4</v>
      </c>
      <c r="AB644">
        <v>1</v>
      </c>
      <c r="AC644">
        <v>1</v>
      </c>
      <c r="AD644">
        <v>1</v>
      </c>
      <c r="AE644">
        <v>0</v>
      </c>
      <c r="AF644">
        <v>6</v>
      </c>
      <c r="AG644">
        <v>9</v>
      </c>
      <c r="AH644">
        <v>11</v>
      </c>
    </row>
    <row r="645" spans="1:34" x14ac:dyDescent="0.2">
      <c r="A645" t="s">
        <v>54</v>
      </c>
      <c r="B645" t="s">
        <v>35</v>
      </c>
      <c r="C645">
        <v>18</v>
      </c>
      <c r="D645" t="s">
        <v>53</v>
      </c>
      <c r="E645" t="s">
        <v>37</v>
      </c>
      <c r="F645" t="s">
        <v>45</v>
      </c>
      <c r="G645">
        <v>4</v>
      </c>
      <c r="H645">
        <v>4</v>
      </c>
      <c r="I645" t="s">
        <v>40</v>
      </c>
      <c r="J645" t="s">
        <v>39</v>
      </c>
      <c r="K645" t="s">
        <v>52</v>
      </c>
      <c r="L645" t="s">
        <v>42</v>
      </c>
      <c r="M645">
        <v>3</v>
      </c>
      <c r="N645">
        <v>1</v>
      </c>
      <c r="O645">
        <v>0</v>
      </c>
      <c r="P645" t="s">
        <v>44</v>
      </c>
      <c r="Q645" t="s">
        <v>43</v>
      </c>
      <c r="R645" t="s">
        <v>44</v>
      </c>
      <c r="S645">
        <f t="shared" si="10"/>
        <v>0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>
        <v>4</v>
      </c>
      <c r="Z645">
        <v>4</v>
      </c>
      <c r="AA645">
        <v>3</v>
      </c>
      <c r="AB645">
        <v>2</v>
      </c>
      <c r="AC645">
        <v>2</v>
      </c>
      <c r="AD645">
        <v>5</v>
      </c>
      <c r="AE645">
        <v>4</v>
      </c>
      <c r="AF645">
        <v>7</v>
      </c>
      <c r="AG645">
        <v>9</v>
      </c>
      <c r="AH645">
        <v>10</v>
      </c>
    </row>
    <row r="646" spans="1:34" x14ac:dyDescent="0.2">
      <c r="A646" t="s">
        <v>54</v>
      </c>
      <c r="B646" t="s">
        <v>35</v>
      </c>
      <c r="C646">
        <v>19</v>
      </c>
      <c r="D646" t="s">
        <v>53</v>
      </c>
      <c r="E646" t="s">
        <v>37</v>
      </c>
      <c r="F646" t="s">
        <v>45</v>
      </c>
      <c r="G646">
        <v>2</v>
      </c>
      <c r="H646">
        <v>3</v>
      </c>
      <c r="I646" t="s">
        <v>49</v>
      </c>
      <c r="J646" t="s">
        <v>46</v>
      </c>
      <c r="K646" t="s">
        <v>41</v>
      </c>
      <c r="L646" t="s">
        <v>42</v>
      </c>
      <c r="M646">
        <v>1</v>
      </c>
      <c r="N646">
        <v>3</v>
      </c>
      <c r="O646">
        <v>1</v>
      </c>
      <c r="P646" t="s">
        <v>44</v>
      </c>
      <c r="Q646" t="s">
        <v>44</v>
      </c>
      <c r="R646" t="s">
        <v>44</v>
      </c>
      <c r="S646">
        <f t="shared" si="10"/>
        <v>0</v>
      </c>
      <c r="T646" t="s">
        <v>43</v>
      </c>
      <c r="U646" t="s">
        <v>44</v>
      </c>
      <c r="V646" t="s">
        <v>43</v>
      </c>
      <c r="W646" t="s">
        <v>43</v>
      </c>
      <c r="X646" t="s">
        <v>44</v>
      </c>
      <c r="Y646">
        <v>5</v>
      </c>
      <c r="Z646">
        <v>4</v>
      </c>
      <c r="AA646">
        <v>2</v>
      </c>
      <c r="AB646">
        <v>1</v>
      </c>
      <c r="AC646">
        <v>2</v>
      </c>
      <c r="AD646">
        <v>5</v>
      </c>
      <c r="AE646">
        <v>4</v>
      </c>
      <c r="AF646">
        <v>10</v>
      </c>
      <c r="AG646">
        <v>11</v>
      </c>
      <c r="AH646">
        <v>10</v>
      </c>
    </row>
    <row r="647" spans="1:34" x14ac:dyDescent="0.2">
      <c r="A647" t="s">
        <v>54</v>
      </c>
      <c r="B647" t="s">
        <v>35</v>
      </c>
      <c r="C647">
        <v>18</v>
      </c>
      <c r="D647" t="s">
        <v>36</v>
      </c>
      <c r="E647" t="s">
        <v>48</v>
      </c>
      <c r="F647" t="s">
        <v>45</v>
      </c>
      <c r="G647">
        <v>3</v>
      </c>
      <c r="H647">
        <v>1</v>
      </c>
      <c r="I647" t="s">
        <v>40</v>
      </c>
      <c r="J647" t="s">
        <v>49</v>
      </c>
      <c r="K647" t="s">
        <v>41</v>
      </c>
      <c r="L647" t="s">
        <v>42</v>
      </c>
      <c r="M647">
        <v>1</v>
      </c>
      <c r="N647">
        <v>2</v>
      </c>
      <c r="O647">
        <v>0</v>
      </c>
      <c r="P647" t="s">
        <v>44</v>
      </c>
      <c r="Q647" t="s">
        <v>43</v>
      </c>
      <c r="R647" t="s">
        <v>44</v>
      </c>
      <c r="S647">
        <f t="shared" si="10"/>
        <v>0</v>
      </c>
      <c r="T647" t="s">
        <v>44</v>
      </c>
      <c r="U647" t="s">
        <v>43</v>
      </c>
      <c r="V647" t="s">
        <v>43</v>
      </c>
      <c r="W647" t="s">
        <v>43</v>
      </c>
      <c r="X647" t="s">
        <v>44</v>
      </c>
      <c r="Y647">
        <v>4</v>
      </c>
      <c r="Z647">
        <v>3</v>
      </c>
      <c r="AA647">
        <v>4</v>
      </c>
      <c r="AB647">
        <v>1</v>
      </c>
      <c r="AC647">
        <v>1</v>
      </c>
      <c r="AD647">
        <v>1</v>
      </c>
      <c r="AE647">
        <v>4</v>
      </c>
      <c r="AF647">
        <v>15</v>
      </c>
      <c r="AG647">
        <v>15</v>
      </c>
      <c r="AH647">
        <v>16</v>
      </c>
    </row>
    <row r="648" spans="1:34" x14ac:dyDescent="0.2">
      <c r="A648" t="s">
        <v>54</v>
      </c>
      <c r="B648" t="s">
        <v>35</v>
      </c>
      <c r="C648">
        <v>18</v>
      </c>
      <c r="D648" t="s">
        <v>36</v>
      </c>
      <c r="E648" t="s">
        <v>37</v>
      </c>
      <c r="F648" t="s">
        <v>45</v>
      </c>
      <c r="G648">
        <v>1</v>
      </c>
      <c r="H648">
        <v>1</v>
      </c>
      <c r="I648" t="s">
        <v>46</v>
      </c>
      <c r="J648" t="s">
        <v>46</v>
      </c>
      <c r="K648" t="s">
        <v>41</v>
      </c>
      <c r="L648" t="s">
        <v>42</v>
      </c>
      <c r="M648">
        <v>2</v>
      </c>
      <c r="N648">
        <v>2</v>
      </c>
      <c r="O648">
        <v>0</v>
      </c>
      <c r="P648" t="s">
        <v>44</v>
      </c>
      <c r="Q648" t="s">
        <v>44</v>
      </c>
      <c r="R648" t="s">
        <v>44</v>
      </c>
      <c r="S648">
        <f t="shared" si="10"/>
        <v>0</v>
      </c>
      <c r="T648" t="s">
        <v>43</v>
      </c>
      <c r="U648" t="s">
        <v>43</v>
      </c>
      <c r="V648" t="s">
        <v>43</v>
      </c>
      <c r="W648" t="s">
        <v>44</v>
      </c>
      <c r="X648" t="s">
        <v>44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5</v>
      </c>
      <c r="AE648">
        <v>6</v>
      </c>
      <c r="AF648">
        <v>11</v>
      </c>
      <c r="AG648">
        <v>12</v>
      </c>
      <c r="AH648">
        <v>9</v>
      </c>
    </row>
    <row r="649" spans="1:34" x14ac:dyDescent="0.2">
      <c r="A649" t="s">
        <v>54</v>
      </c>
      <c r="B649" t="s">
        <v>51</v>
      </c>
      <c r="C649">
        <v>17</v>
      </c>
      <c r="D649" t="s">
        <v>36</v>
      </c>
      <c r="E649" t="s">
        <v>48</v>
      </c>
      <c r="F649" t="s">
        <v>45</v>
      </c>
      <c r="G649">
        <v>3</v>
      </c>
      <c r="H649">
        <v>1</v>
      </c>
      <c r="I649" t="s">
        <v>49</v>
      </c>
      <c r="J649" t="s">
        <v>49</v>
      </c>
      <c r="K649" t="s">
        <v>41</v>
      </c>
      <c r="L649" t="s">
        <v>42</v>
      </c>
      <c r="M649">
        <v>2</v>
      </c>
      <c r="N649">
        <v>1</v>
      </c>
      <c r="O649">
        <v>0</v>
      </c>
      <c r="P649" t="s">
        <v>44</v>
      </c>
      <c r="Q649" t="s">
        <v>44</v>
      </c>
      <c r="R649" t="s">
        <v>44</v>
      </c>
      <c r="S649">
        <f t="shared" si="10"/>
        <v>0</v>
      </c>
      <c r="T649" t="s">
        <v>44</v>
      </c>
      <c r="U649" t="s">
        <v>44</v>
      </c>
      <c r="V649" t="s">
        <v>43</v>
      </c>
      <c r="W649" t="s">
        <v>43</v>
      </c>
      <c r="X649" t="s">
        <v>44</v>
      </c>
      <c r="Y649">
        <v>2</v>
      </c>
      <c r="Z649">
        <v>4</v>
      </c>
      <c r="AA649">
        <v>5</v>
      </c>
      <c r="AB649">
        <v>3</v>
      </c>
      <c r="AC649">
        <v>4</v>
      </c>
      <c r="AD649">
        <v>2</v>
      </c>
      <c r="AE649">
        <v>6</v>
      </c>
      <c r="AF649">
        <v>10</v>
      </c>
      <c r="AG649">
        <v>10</v>
      </c>
      <c r="AH649">
        <v>10</v>
      </c>
    </row>
    <row r="650" spans="1:34" x14ac:dyDescent="0.2">
      <c r="A650" t="s">
        <v>54</v>
      </c>
      <c r="B650" t="s">
        <v>51</v>
      </c>
      <c r="C650">
        <v>18</v>
      </c>
      <c r="D650" t="s">
        <v>53</v>
      </c>
      <c r="E650" t="s">
        <v>48</v>
      </c>
      <c r="F650" t="s">
        <v>45</v>
      </c>
      <c r="G650">
        <v>3</v>
      </c>
      <c r="H650">
        <v>2</v>
      </c>
      <c r="I650" t="s">
        <v>49</v>
      </c>
      <c r="J650" t="s">
        <v>46</v>
      </c>
      <c r="K650" t="s">
        <v>41</v>
      </c>
      <c r="L650" t="s">
        <v>42</v>
      </c>
      <c r="M650">
        <v>3</v>
      </c>
      <c r="N650">
        <v>1</v>
      </c>
      <c r="O650">
        <v>0</v>
      </c>
      <c r="P650" t="s">
        <v>44</v>
      </c>
      <c r="Q650" t="s">
        <v>44</v>
      </c>
      <c r="R650" t="s">
        <v>44</v>
      </c>
      <c r="S650">
        <f t="shared" si="10"/>
        <v>0</v>
      </c>
      <c r="T650" t="s">
        <v>44</v>
      </c>
      <c r="U650" t="s">
        <v>44</v>
      </c>
      <c r="V650" t="s">
        <v>43</v>
      </c>
      <c r="W650" t="s">
        <v>43</v>
      </c>
      <c r="X650" t="s">
        <v>44</v>
      </c>
      <c r="Y650">
        <v>4</v>
      </c>
      <c r="Z650">
        <v>4</v>
      </c>
      <c r="AA650">
        <v>1</v>
      </c>
      <c r="AB650">
        <v>3</v>
      </c>
      <c r="AC650">
        <v>4</v>
      </c>
      <c r="AD650">
        <v>5</v>
      </c>
      <c r="AE650">
        <v>4</v>
      </c>
      <c r="AF650">
        <v>10</v>
      </c>
      <c r="AG650">
        <v>11</v>
      </c>
      <c r="AH65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8"/>
  <sheetViews>
    <sheetView tabSelected="1" workbookViewId="0">
      <pane xSplit="13" ySplit="20" topLeftCell="AS392" activePane="bottomRight" state="frozen"/>
      <selection pane="topRight" activeCell="L1" sqref="L1"/>
      <selection pane="bottomLeft" activeCell="A21" sqref="A21"/>
      <selection pane="bottomRight" activeCell="AZ1" sqref="AZ1:BA12"/>
    </sheetView>
  </sheetViews>
  <sheetFormatPr baseColWidth="10" defaultRowHeight="16" x14ac:dyDescent="0.2"/>
  <cols>
    <col min="1" max="1" width="6.33203125" bestFit="1" customWidth="1"/>
    <col min="2" max="2" width="3.83203125" bestFit="1" customWidth="1"/>
    <col min="3" max="3" width="4.1640625" bestFit="1" customWidth="1"/>
    <col min="4" max="4" width="7.5" bestFit="1" customWidth="1"/>
    <col min="5" max="5" width="7.6640625" bestFit="1" customWidth="1"/>
    <col min="6" max="6" width="7.1640625" bestFit="1" customWidth="1"/>
    <col min="7" max="7" width="14" customWidth="1"/>
    <col min="8" max="9" width="14.83203125" customWidth="1"/>
    <col min="10" max="10" width="17" customWidth="1"/>
    <col min="11" max="11" width="18.5" customWidth="1"/>
    <col min="12" max="12" width="19.1640625" customWidth="1"/>
    <col min="13" max="13" width="18.5" customWidth="1"/>
    <col min="14" max="14" width="23.5" customWidth="1"/>
    <col min="15" max="15" width="14.83203125" customWidth="1"/>
    <col min="16" max="16" width="17" customWidth="1"/>
    <col min="17" max="17" width="18.5" customWidth="1"/>
    <col min="18" max="18" width="19.1640625" customWidth="1"/>
    <col min="19" max="21" width="18.5" customWidth="1"/>
    <col min="22" max="22" width="14.5" customWidth="1"/>
    <col min="23" max="23" width="16.5" customWidth="1"/>
    <col min="24" max="24" width="18.83203125" customWidth="1"/>
    <col min="25" max="25" width="8.33203125" bestFit="1" customWidth="1"/>
    <col min="26" max="26" width="9.6640625" bestFit="1" customWidth="1"/>
    <col min="27" max="27" width="9.33203125" bestFit="1" customWidth="1"/>
    <col min="28" max="28" width="7.33203125" bestFit="1" customWidth="1"/>
    <col min="29" max="29" width="9.1640625" bestFit="1" customWidth="1"/>
    <col min="30" max="30" width="7.33203125" bestFit="1" customWidth="1"/>
    <col min="31" max="32" width="11" customWidth="1"/>
    <col min="33" max="33" width="13" customWidth="1"/>
    <col min="34" max="34" width="17.33203125" customWidth="1"/>
    <col min="35" max="35" width="11.6640625" customWidth="1"/>
    <col min="36" max="36" width="12.83203125" customWidth="1"/>
    <col min="37" max="37" width="7.6640625" bestFit="1" customWidth="1"/>
    <col min="38" max="38" width="11" customWidth="1"/>
    <col min="39" max="39" width="12" customWidth="1"/>
    <col min="40" max="40" width="16.33203125" customWidth="1"/>
    <col min="41" max="41" width="8.33203125" bestFit="1" customWidth="1"/>
    <col min="42" max="42" width="5.83203125" bestFit="1" customWidth="1"/>
    <col min="43" max="43" width="4.6640625" bestFit="1" customWidth="1"/>
    <col min="44" max="44" width="5.33203125" bestFit="1" customWidth="1"/>
    <col min="45" max="45" width="16.6640625" customWidth="1"/>
    <col min="46" max="47" width="15.1640625" customWidth="1"/>
    <col min="48" max="48" width="12.6640625" customWidth="1"/>
    <col min="49" max="49" width="8.6640625" customWidth="1"/>
    <col min="50" max="50" width="18" customWidth="1"/>
    <col min="52" max="52" width="19.1640625" customWidth="1"/>
    <col min="53" max="53" width="26.1640625" customWidth="1"/>
    <col min="54" max="54" width="17.83203125" customWidth="1"/>
    <col min="55" max="55" width="14.5" customWidth="1"/>
    <col min="56" max="56" width="23.33203125" customWidth="1"/>
    <col min="57" max="57" width="12" customWidth="1"/>
  </cols>
  <sheetData>
    <row r="1" spans="1:66" s="1" customFormat="1" ht="4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77</v>
      </c>
      <c r="H1" s="1" t="s">
        <v>7</v>
      </c>
      <c r="I1" s="1" t="s">
        <v>88</v>
      </c>
      <c r="J1" s="1" t="s">
        <v>90</v>
      </c>
      <c r="K1" s="1" t="s">
        <v>89</v>
      </c>
      <c r="L1" s="1" t="s">
        <v>91</v>
      </c>
      <c r="M1" s="1" t="s">
        <v>87</v>
      </c>
      <c r="N1" s="1" t="s">
        <v>8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117</v>
      </c>
      <c r="AF1" s="1" t="s">
        <v>18</v>
      </c>
      <c r="AG1" s="1" t="s">
        <v>78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84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V1" s="1" t="s">
        <v>31</v>
      </c>
      <c r="AW1" s="1" t="s">
        <v>32</v>
      </c>
      <c r="AX1" s="1" t="s">
        <v>33</v>
      </c>
      <c r="AZ1" s="1" t="s">
        <v>115</v>
      </c>
      <c r="BA1" s="1" t="s">
        <v>86</v>
      </c>
      <c r="BC1" s="1" t="s">
        <v>115</v>
      </c>
      <c r="BD1" s="1" t="s">
        <v>86</v>
      </c>
      <c r="BM1" s="1" t="s">
        <v>3</v>
      </c>
      <c r="BN1" s="1" t="s">
        <v>83</v>
      </c>
    </row>
    <row r="2" spans="1:66" ht="34" customHeight="1" x14ac:dyDescent="0.2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f>IF(F2="T",1,0)</f>
        <v>0</v>
      </c>
      <c r="H2">
        <v>4</v>
      </c>
      <c r="I2">
        <f xml:space="preserve"> IF($H2=0,1,0)</f>
        <v>0</v>
      </c>
      <c r="J2">
        <f xml:space="preserve"> IF($H2=1,1,0)</f>
        <v>0</v>
      </c>
      <c r="K2">
        <f xml:space="preserve"> IF($H2=2,1,0)</f>
        <v>0</v>
      </c>
      <c r="L2">
        <f xml:space="preserve"> IF($H2=3,1,0)</f>
        <v>0</v>
      </c>
      <c r="M2">
        <f xml:space="preserve"> IF($H2=4,1,0)</f>
        <v>1</v>
      </c>
      <c r="N2">
        <v>4</v>
      </c>
      <c r="O2">
        <f t="shared" ref="O2:O65" si="0" xml:space="preserve"> IF($N2=0,1,0)</f>
        <v>0</v>
      </c>
      <c r="P2">
        <f t="shared" ref="P2:P65" si="1" xml:space="preserve"> IF($N2=1,1,0)</f>
        <v>0</v>
      </c>
      <c r="Q2">
        <f t="shared" ref="Q2:Q65" si="2" xml:space="preserve"> IF($N2=2,1,0)</f>
        <v>0</v>
      </c>
      <c r="R2">
        <f t="shared" ref="R2:R65" si="3" xml:space="preserve"> IF($N2=3,1,0)</f>
        <v>0</v>
      </c>
      <c r="S2">
        <f t="shared" ref="S2:S65" si="4" xml:space="preserve"> IF($N2=4,1,0)</f>
        <v>1</v>
      </c>
      <c r="T2">
        <f>IF(AND(M2=1,S2=1),1,0)</f>
        <v>1</v>
      </c>
      <c r="V2" t="s">
        <v>39</v>
      </c>
      <c r="W2" t="s">
        <v>40</v>
      </c>
      <c r="X2" t="s">
        <v>41</v>
      </c>
      <c r="Y2" t="s">
        <v>42</v>
      </c>
      <c r="Z2">
        <v>2</v>
      </c>
      <c r="AA2">
        <v>2</v>
      </c>
      <c r="AB2">
        <v>0</v>
      </c>
      <c r="AC2" t="s">
        <v>43</v>
      </c>
      <c r="AD2" t="s">
        <v>44</v>
      </c>
      <c r="AE2">
        <f>IF(AD2="yes",1,0)</f>
        <v>0</v>
      </c>
      <c r="AF2" t="s">
        <v>44</v>
      </c>
      <c r="AG2">
        <f>IF(AF2="yes",1,0)</f>
        <v>0</v>
      </c>
      <c r="AH2" t="s">
        <v>44</v>
      </c>
      <c r="AI2" t="s">
        <v>43</v>
      </c>
      <c r="AJ2" t="s">
        <v>43</v>
      </c>
      <c r="AK2" t="s">
        <v>44</v>
      </c>
      <c r="AL2">
        <f>IF(AK2="yes",1,0)</f>
        <v>0</v>
      </c>
      <c r="AM2" t="s">
        <v>44</v>
      </c>
      <c r="AN2">
        <v>4</v>
      </c>
      <c r="AO2">
        <v>3</v>
      </c>
      <c r="AP2">
        <v>4</v>
      </c>
      <c r="AQ2">
        <v>1</v>
      </c>
      <c r="AR2">
        <v>1</v>
      </c>
      <c r="AS2">
        <v>3</v>
      </c>
      <c r="AT2">
        <v>6</v>
      </c>
      <c r="AV2">
        <v>5</v>
      </c>
      <c r="AW2">
        <v>6</v>
      </c>
      <c r="AX2">
        <v>6</v>
      </c>
      <c r="AZ2" t="s">
        <v>80</v>
      </c>
      <c r="BA2" s="3">
        <f>CORREL(AX2:AX396,H2:H396)</f>
        <v>0.21714749613860579</v>
      </c>
    </row>
    <row r="3" spans="1:66" x14ac:dyDescent="0.2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f t="shared" ref="G3:G66" si="5">IF(F3="T",1,0)</f>
        <v>1</v>
      </c>
      <c r="H3">
        <v>1</v>
      </c>
      <c r="I3">
        <f t="shared" ref="I3:I66" si="6" xml:space="preserve"> IF($H3=0,1,0)</f>
        <v>0</v>
      </c>
      <c r="J3">
        <f t="shared" ref="J3:J66" si="7" xml:space="preserve"> IF($H3=1,1,0)</f>
        <v>1</v>
      </c>
      <c r="K3">
        <f t="shared" ref="K3:K66" si="8" xml:space="preserve"> IF($H3=2,1,0)</f>
        <v>0</v>
      </c>
      <c r="L3">
        <f t="shared" ref="L3:L66" si="9" xml:space="preserve"> IF($H3=3,1,0)</f>
        <v>0</v>
      </c>
      <c r="M3">
        <f t="shared" ref="M3:M66" si="10" xml:space="preserve"> IF($H3=4,1,0)</f>
        <v>0</v>
      </c>
      <c r="N3">
        <v>1</v>
      </c>
      <c r="O3">
        <f t="shared" si="0"/>
        <v>0</v>
      </c>
      <c r="P3">
        <f t="shared" si="1"/>
        <v>1</v>
      </c>
      <c r="Q3">
        <f t="shared" si="2"/>
        <v>0</v>
      </c>
      <c r="R3">
        <f t="shared" si="3"/>
        <v>0</v>
      </c>
      <c r="S3">
        <f t="shared" si="4"/>
        <v>0</v>
      </c>
      <c r="T3">
        <f t="shared" ref="T3:T66" si="11">IF(AND(M3=1,S3=1),1,0)</f>
        <v>0</v>
      </c>
      <c r="V3" t="s">
        <v>39</v>
      </c>
      <c r="W3" t="s">
        <v>46</v>
      </c>
      <c r="X3" t="s">
        <v>41</v>
      </c>
      <c r="Y3" t="s">
        <v>47</v>
      </c>
      <c r="Z3">
        <v>1</v>
      </c>
      <c r="AA3">
        <v>2</v>
      </c>
      <c r="AB3">
        <v>0</v>
      </c>
      <c r="AC3" t="s">
        <v>44</v>
      </c>
      <c r="AD3" t="s">
        <v>43</v>
      </c>
      <c r="AE3">
        <f t="shared" ref="AE3:AE66" si="12">IF(AD3="yes",1,0)</f>
        <v>1</v>
      </c>
      <c r="AF3" t="s">
        <v>44</v>
      </c>
      <c r="AG3">
        <f t="shared" ref="AG3:AG66" si="13">IF(AF3="yes",1,0)</f>
        <v>0</v>
      </c>
      <c r="AH3" t="s">
        <v>44</v>
      </c>
      <c r="AI3" t="s">
        <v>44</v>
      </c>
      <c r="AJ3" t="s">
        <v>43</v>
      </c>
      <c r="AK3" t="s">
        <v>43</v>
      </c>
      <c r="AL3">
        <f t="shared" ref="AL3:AL66" si="14">IF(AK3="yes",1,0)</f>
        <v>1</v>
      </c>
      <c r="AM3" t="s">
        <v>44</v>
      </c>
      <c r="AN3">
        <v>5</v>
      </c>
      <c r="AO3">
        <v>3</v>
      </c>
      <c r="AP3">
        <v>3</v>
      </c>
      <c r="AQ3">
        <v>1</v>
      </c>
      <c r="AR3">
        <v>1</v>
      </c>
      <c r="AS3">
        <v>3</v>
      </c>
      <c r="AT3">
        <v>4</v>
      </c>
      <c r="AV3">
        <v>5</v>
      </c>
      <c r="AW3">
        <v>5</v>
      </c>
      <c r="AX3">
        <v>6</v>
      </c>
      <c r="AZ3" t="s">
        <v>81</v>
      </c>
      <c r="BA3" s="3">
        <f>CORREL(AX2:AX396,N2:N396)</f>
        <v>0.15245693890425857</v>
      </c>
    </row>
    <row r="4" spans="1:66" x14ac:dyDescent="0.2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f t="shared" si="5"/>
        <v>1</v>
      </c>
      <c r="H4">
        <v>1</v>
      </c>
      <c r="I4">
        <f t="shared" si="6"/>
        <v>0</v>
      </c>
      <c r="J4">
        <f t="shared" si="7"/>
        <v>1</v>
      </c>
      <c r="K4">
        <f t="shared" si="8"/>
        <v>0</v>
      </c>
      <c r="L4">
        <f t="shared" si="9"/>
        <v>0</v>
      </c>
      <c r="M4">
        <f t="shared" si="10"/>
        <v>0</v>
      </c>
      <c r="N4">
        <v>1</v>
      </c>
      <c r="O4">
        <f t="shared" si="0"/>
        <v>0</v>
      </c>
      <c r="P4">
        <f t="shared" si="1"/>
        <v>1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11"/>
        <v>0</v>
      </c>
      <c r="V4" t="s">
        <v>39</v>
      </c>
      <c r="W4" t="s">
        <v>46</v>
      </c>
      <c r="X4" t="s">
        <v>46</v>
      </c>
      <c r="Y4" t="s">
        <v>42</v>
      </c>
      <c r="Z4">
        <v>1</v>
      </c>
      <c r="AA4">
        <v>2</v>
      </c>
      <c r="AB4">
        <v>3</v>
      </c>
      <c r="AC4" t="s">
        <v>43</v>
      </c>
      <c r="AD4" t="s">
        <v>44</v>
      </c>
      <c r="AE4">
        <f t="shared" si="12"/>
        <v>0</v>
      </c>
      <c r="AF4" t="s">
        <v>43</v>
      </c>
      <c r="AG4">
        <f t="shared" si="13"/>
        <v>1</v>
      </c>
      <c r="AH4" t="s">
        <v>44</v>
      </c>
      <c r="AI4" t="s">
        <v>43</v>
      </c>
      <c r="AJ4" t="s">
        <v>43</v>
      </c>
      <c r="AK4" t="s">
        <v>43</v>
      </c>
      <c r="AL4">
        <f t="shared" si="14"/>
        <v>1</v>
      </c>
      <c r="AM4" t="s">
        <v>44</v>
      </c>
      <c r="AN4">
        <v>4</v>
      </c>
      <c r="AO4">
        <v>3</v>
      </c>
      <c r="AP4">
        <v>2</v>
      </c>
      <c r="AQ4">
        <v>2</v>
      </c>
      <c r="AR4">
        <v>3</v>
      </c>
      <c r="AS4">
        <v>3</v>
      </c>
      <c r="AT4">
        <v>10</v>
      </c>
      <c r="AV4">
        <v>7</v>
      </c>
      <c r="AW4">
        <v>8</v>
      </c>
      <c r="AX4">
        <v>10</v>
      </c>
      <c r="AZ4" t="s">
        <v>79</v>
      </c>
      <c r="BA4" s="3">
        <f>CORREL(AX2:AX396,AG2:AG396)</f>
        <v>0.10199624071669937</v>
      </c>
    </row>
    <row r="5" spans="1:66" x14ac:dyDescent="0.2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f t="shared" si="5"/>
        <v>1</v>
      </c>
      <c r="H5">
        <v>4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  <c r="M5">
        <f t="shared" si="10"/>
        <v>1</v>
      </c>
      <c r="N5">
        <v>2</v>
      </c>
      <c r="O5">
        <f t="shared" si="0"/>
        <v>0</v>
      </c>
      <c r="P5">
        <f t="shared" si="1"/>
        <v>0</v>
      </c>
      <c r="Q5">
        <f t="shared" si="2"/>
        <v>1</v>
      </c>
      <c r="R5">
        <f t="shared" si="3"/>
        <v>0</v>
      </c>
      <c r="S5">
        <f t="shared" si="4"/>
        <v>0</v>
      </c>
      <c r="T5">
        <f t="shared" si="11"/>
        <v>0</v>
      </c>
      <c r="V5" t="s">
        <v>29</v>
      </c>
      <c r="W5" t="s">
        <v>49</v>
      </c>
      <c r="X5" t="s">
        <v>50</v>
      </c>
      <c r="Y5" t="s">
        <v>42</v>
      </c>
      <c r="Z5">
        <v>1</v>
      </c>
      <c r="AA5">
        <v>3</v>
      </c>
      <c r="AB5">
        <v>0</v>
      </c>
      <c r="AC5" t="s">
        <v>44</v>
      </c>
      <c r="AD5" t="s">
        <v>43</v>
      </c>
      <c r="AE5">
        <f t="shared" si="12"/>
        <v>1</v>
      </c>
      <c r="AF5" t="s">
        <v>43</v>
      </c>
      <c r="AG5">
        <f t="shared" si="13"/>
        <v>1</v>
      </c>
      <c r="AH5" t="s">
        <v>43</v>
      </c>
      <c r="AI5" t="s">
        <v>43</v>
      </c>
      <c r="AJ5" t="s">
        <v>43</v>
      </c>
      <c r="AK5" t="s">
        <v>43</v>
      </c>
      <c r="AL5">
        <f t="shared" si="14"/>
        <v>1</v>
      </c>
      <c r="AM5" t="s">
        <v>43</v>
      </c>
      <c r="AN5">
        <v>3</v>
      </c>
      <c r="AO5">
        <v>2</v>
      </c>
      <c r="AP5">
        <v>2</v>
      </c>
      <c r="AQ5">
        <v>1</v>
      </c>
      <c r="AR5">
        <v>1</v>
      </c>
      <c r="AS5">
        <v>5</v>
      </c>
      <c r="AT5">
        <v>2</v>
      </c>
      <c r="AV5">
        <v>15</v>
      </c>
      <c r="AW5">
        <v>14</v>
      </c>
      <c r="AX5">
        <v>15</v>
      </c>
      <c r="AZ5" t="s">
        <v>123</v>
      </c>
      <c r="BA5" s="3">
        <f>CORREL(AX2:AX396,AA2:AA396)</f>
        <v>9.7819689653196165E-2</v>
      </c>
    </row>
    <row r="6" spans="1:66" x14ac:dyDescent="0.2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f t="shared" si="5"/>
        <v>1</v>
      </c>
      <c r="H6">
        <v>3</v>
      </c>
      <c r="I6">
        <f t="shared" si="6"/>
        <v>0</v>
      </c>
      <c r="J6">
        <f t="shared" si="7"/>
        <v>0</v>
      </c>
      <c r="K6">
        <f t="shared" si="8"/>
        <v>0</v>
      </c>
      <c r="L6">
        <f t="shared" si="9"/>
        <v>1</v>
      </c>
      <c r="M6">
        <f t="shared" si="10"/>
        <v>0</v>
      </c>
      <c r="N6">
        <v>3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1</v>
      </c>
      <c r="S6">
        <f t="shared" si="4"/>
        <v>0</v>
      </c>
      <c r="T6">
        <f t="shared" si="11"/>
        <v>0</v>
      </c>
      <c r="V6" t="s">
        <v>46</v>
      </c>
      <c r="W6" t="s">
        <v>46</v>
      </c>
      <c r="X6" t="s">
        <v>50</v>
      </c>
      <c r="Y6" t="s">
        <v>47</v>
      </c>
      <c r="Z6">
        <v>1</v>
      </c>
      <c r="AA6">
        <v>2</v>
      </c>
      <c r="AB6">
        <v>0</v>
      </c>
      <c r="AC6" t="s">
        <v>44</v>
      </c>
      <c r="AD6" t="s">
        <v>43</v>
      </c>
      <c r="AE6">
        <f t="shared" si="12"/>
        <v>1</v>
      </c>
      <c r="AF6" t="s">
        <v>43</v>
      </c>
      <c r="AG6">
        <f t="shared" si="13"/>
        <v>1</v>
      </c>
      <c r="AH6" t="s">
        <v>44</v>
      </c>
      <c r="AI6" t="s">
        <v>43</v>
      </c>
      <c r="AJ6" t="s">
        <v>43</v>
      </c>
      <c r="AK6" t="s">
        <v>44</v>
      </c>
      <c r="AL6">
        <f t="shared" si="14"/>
        <v>0</v>
      </c>
      <c r="AM6" t="s">
        <v>44</v>
      </c>
      <c r="AN6">
        <v>4</v>
      </c>
      <c r="AO6">
        <v>3</v>
      </c>
      <c r="AP6">
        <v>2</v>
      </c>
      <c r="AQ6">
        <v>1</v>
      </c>
      <c r="AR6">
        <v>2</v>
      </c>
      <c r="AS6">
        <v>5</v>
      </c>
      <c r="AT6">
        <v>4</v>
      </c>
      <c r="AV6">
        <v>6</v>
      </c>
      <c r="AW6">
        <v>10</v>
      </c>
      <c r="AX6">
        <v>10</v>
      </c>
      <c r="AZ6" t="s">
        <v>85</v>
      </c>
      <c r="BA6" s="3">
        <f>CORREL(AX2:AX396,AL2:AL396)</f>
        <v>9.8483371260729119E-2</v>
      </c>
    </row>
    <row r="7" spans="1:66" x14ac:dyDescent="0.2">
      <c r="A7" t="s">
        <v>34</v>
      </c>
      <c r="B7" t="s">
        <v>51</v>
      </c>
      <c r="C7">
        <v>16</v>
      </c>
      <c r="D7" t="s">
        <v>36</v>
      </c>
      <c r="E7" t="s">
        <v>48</v>
      </c>
      <c r="F7" t="s">
        <v>45</v>
      </c>
      <c r="G7">
        <f t="shared" si="5"/>
        <v>1</v>
      </c>
      <c r="H7">
        <v>4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1</v>
      </c>
      <c r="N7">
        <v>3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  <c r="T7">
        <f t="shared" si="11"/>
        <v>0</v>
      </c>
      <c r="V7" t="s">
        <v>49</v>
      </c>
      <c r="W7" t="s">
        <v>46</v>
      </c>
      <c r="X7" t="s">
        <v>52</v>
      </c>
      <c r="Y7" t="s">
        <v>42</v>
      </c>
      <c r="Z7">
        <v>1</v>
      </c>
      <c r="AA7">
        <v>2</v>
      </c>
      <c r="AB7">
        <v>0</v>
      </c>
      <c r="AC7" t="s">
        <v>44</v>
      </c>
      <c r="AD7" t="s">
        <v>43</v>
      </c>
      <c r="AE7">
        <f t="shared" si="12"/>
        <v>1</v>
      </c>
      <c r="AF7" t="s">
        <v>43</v>
      </c>
      <c r="AG7">
        <f t="shared" si="13"/>
        <v>1</v>
      </c>
      <c r="AH7" t="s">
        <v>43</v>
      </c>
      <c r="AI7" t="s">
        <v>43</v>
      </c>
      <c r="AJ7" t="s">
        <v>43</v>
      </c>
      <c r="AK7" t="s">
        <v>43</v>
      </c>
      <c r="AL7">
        <f t="shared" si="14"/>
        <v>1</v>
      </c>
      <c r="AM7" t="s">
        <v>44</v>
      </c>
      <c r="AN7">
        <v>5</v>
      </c>
      <c r="AO7">
        <v>4</v>
      </c>
      <c r="AP7">
        <v>2</v>
      </c>
      <c r="AQ7">
        <v>1</v>
      </c>
      <c r="AR7">
        <v>2</v>
      </c>
      <c r="AS7">
        <v>5</v>
      </c>
      <c r="AT7">
        <v>10</v>
      </c>
      <c r="AV7">
        <v>15</v>
      </c>
      <c r="AW7">
        <v>15</v>
      </c>
      <c r="AX7">
        <v>15</v>
      </c>
      <c r="AZ7" t="s">
        <v>120</v>
      </c>
      <c r="BA7" s="3">
        <f>CORREL(AX2:AX397,AN2:AN397)</f>
        <v>5.1363428881282126E-2</v>
      </c>
    </row>
    <row r="8" spans="1:66" x14ac:dyDescent="0.2">
      <c r="A8" t="s">
        <v>34</v>
      </c>
      <c r="B8" t="s">
        <v>51</v>
      </c>
      <c r="C8">
        <v>16</v>
      </c>
      <c r="D8" t="s">
        <v>36</v>
      </c>
      <c r="E8" t="s">
        <v>48</v>
      </c>
      <c r="F8" t="s">
        <v>45</v>
      </c>
      <c r="G8">
        <f t="shared" si="5"/>
        <v>1</v>
      </c>
      <c r="H8">
        <v>2</v>
      </c>
      <c r="I8">
        <f t="shared" si="6"/>
        <v>0</v>
      </c>
      <c r="J8">
        <f t="shared" si="7"/>
        <v>0</v>
      </c>
      <c r="K8">
        <f t="shared" si="8"/>
        <v>1</v>
      </c>
      <c r="L8">
        <f t="shared" si="9"/>
        <v>0</v>
      </c>
      <c r="M8">
        <f t="shared" si="10"/>
        <v>0</v>
      </c>
      <c r="N8">
        <v>2</v>
      </c>
      <c r="O8">
        <f t="shared" si="0"/>
        <v>0</v>
      </c>
      <c r="P8">
        <f t="shared" si="1"/>
        <v>0</v>
      </c>
      <c r="Q8">
        <f t="shared" si="2"/>
        <v>1</v>
      </c>
      <c r="R8">
        <f t="shared" si="3"/>
        <v>0</v>
      </c>
      <c r="S8">
        <f t="shared" si="4"/>
        <v>0</v>
      </c>
      <c r="T8">
        <f t="shared" si="11"/>
        <v>0</v>
      </c>
      <c r="V8" t="s">
        <v>46</v>
      </c>
      <c r="W8" t="s">
        <v>46</v>
      </c>
      <c r="X8" t="s">
        <v>50</v>
      </c>
      <c r="Y8" t="s">
        <v>42</v>
      </c>
      <c r="Z8">
        <v>1</v>
      </c>
      <c r="AA8">
        <v>2</v>
      </c>
      <c r="AB8">
        <v>0</v>
      </c>
      <c r="AC8" t="s">
        <v>44</v>
      </c>
      <c r="AD8" t="s">
        <v>44</v>
      </c>
      <c r="AE8">
        <f t="shared" si="12"/>
        <v>0</v>
      </c>
      <c r="AF8" t="s">
        <v>44</v>
      </c>
      <c r="AG8">
        <f t="shared" si="13"/>
        <v>0</v>
      </c>
      <c r="AH8" t="s">
        <v>44</v>
      </c>
      <c r="AI8" t="s">
        <v>43</v>
      </c>
      <c r="AJ8" t="s">
        <v>43</v>
      </c>
      <c r="AK8" t="s">
        <v>43</v>
      </c>
      <c r="AL8">
        <f t="shared" si="14"/>
        <v>1</v>
      </c>
      <c r="AM8" t="s">
        <v>44</v>
      </c>
      <c r="AN8">
        <v>4</v>
      </c>
      <c r="AO8">
        <v>4</v>
      </c>
      <c r="AP8">
        <v>4</v>
      </c>
      <c r="AQ8">
        <v>1</v>
      </c>
      <c r="AR8">
        <v>1</v>
      </c>
      <c r="AS8">
        <v>3</v>
      </c>
      <c r="AT8">
        <v>0</v>
      </c>
      <c r="AV8">
        <v>12</v>
      </c>
      <c r="AW8">
        <v>12</v>
      </c>
      <c r="AX8">
        <v>11</v>
      </c>
      <c r="AZ8" t="s">
        <v>121</v>
      </c>
      <c r="BA8" s="3">
        <f>CORREL(AX2:AX396,AT2:AT396)</f>
        <v>3.4247316150069339E-2</v>
      </c>
    </row>
    <row r="9" spans="1:66" x14ac:dyDescent="0.2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f t="shared" si="5"/>
        <v>0</v>
      </c>
      <c r="H9">
        <v>4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1</v>
      </c>
      <c r="N9">
        <v>4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1</v>
      </c>
      <c r="T9">
        <f t="shared" si="11"/>
        <v>1</v>
      </c>
      <c r="V9" t="s">
        <v>46</v>
      </c>
      <c r="W9" t="s">
        <v>40</v>
      </c>
      <c r="X9" t="s">
        <v>50</v>
      </c>
      <c r="Y9" t="s">
        <v>42</v>
      </c>
      <c r="Z9">
        <v>2</v>
      </c>
      <c r="AA9">
        <v>2</v>
      </c>
      <c r="AB9">
        <v>0</v>
      </c>
      <c r="AC9" t="s">
        <v>43</v>
      </c>
      <c r="AD9" t="s">
        <v>43</v>
      </c>
      <c r="AE9">
        <f t="shared" si="12"/>
        <v>1</v>
      </c>
      <c r="AF9" t="s">
        <v>44</v>
      </c>
      <c r="AG9">
        <f t="shared" si="13"/>
        <v>0</v>
      </c>
      <c r="AH9" t="s">
        <v>44</v>
      </c>
      <c r="AI9" t="s">
        <v>43</v>
      </c>
      <c r="AJ9" t="s">
        <v>43</v>
      </c>
      <c r="AK9" t="s">
        <v>44</v>
      </c>
      <c r="AL9">
        <f t="shared" si="14"/>
        <v>0</v>
      </c>
      <c r="AM9" t="s">
        <v>44</v>
      </c>
      <c r="AN9">
        <v>4</v>
      </c>
      <c r="AO9">
        <v>1</v>
      </c>
      <c r="AP9">
        <v>4</v>
      </c>
      <c r="AQ9">
        <v>1</v>
      </c>
      <c r="AR9">
        <v>1</v>
      </c>
      <c r="AS9">
        <v>1</v>
      </c>
      <c r="AT9">
        <v>6</v>
      </c>
      <c r="AV9">
        <v>6</v>
      </c>
      <c r="AW9">
        <v>5</v>
      </c>
      <c r="AX9">
        <v>6</v>
      </c>
      <c r="AZ9" t="s">
        <v>119</v>
      </c>
      <c r="BA9" s="3">
        <f>CORREL(AX2:AX396,G2:G396)</f>
        <v>-5.8008984959311054E-2</v>
      </c>
    </row>
    <row r="10" spans="1:66" x14ac:dyDescent="0.2">
      <c r="A10" t="s">
        <v>34</v>
      </c>
      <c r="B10" t="s">
        <v>51</v>
      </c>
      <c r="C10">
        <v>15</v>
      </c>
      <c r="D10" t="s">
        <v>36</v>
      </c>
      <c r="E10" t="s">
        <v>48</v>
      </c>
      <c r="F10" t="s">
        <v>38</v>
      </c>
      <c r="G10">
        <f t="shared" si="5"/>
        <v>0</v>
      </c>
      <c r="H10">
        <v>3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1</v>
      </c>
      <c r="M10">
        <f t="shared" si="10"/>
        <v>0</v>
      </c>
      <c r="N10">
        <v>2</v>
      </c>
      <c r="O10">
        <f t="shared" si="0"/>
        <v>0</v>
      </c>
      <c r="P10">
        <f t="shared" si="1"/>
        <v>0</v>
      </c>
      <c r="Q10">
        <f t="shared" si="2"/>
        <v>1</v>
      </c>
      <c r="R10">
        <f t="shared" si="3"/>
        <v>0</v>
      </c>
      <c r="S10">
        <f t="shared" si="4"/>
        <v>0</v>
      </c>
      <c r="T10">
        <f t="shared" si="11"/>
        <v>0</v>
      </c>
      <c r="V10" t="s">
        <v>49</v>
      </c>
      <c r="W10" t="s">
        <v>46</v>
      </c>
      <c r="X10" t="s">
        <v>50</v>
      </c>
      <c r="Y10" t="s">
        <v>42</v>
      </c>
      <c r="Z10">
        <v>1</v>
      </c>
      <c r="AA10">
        <v>2</v>
      </c>
      <c r="AB10">
        <v>0</v>
      </c>
      <c r="AC10" t="s">
        <v>44</v>
      </c>
      <c r="AD10" t="s">
        <v>43</v>
      </c>
      <c r="AE10">
        <f t="shared" si="12"/>
        <v>1</v>
      </c>
      <c r="AF10" t="s">
        <v>43</v>
      </c>
      <c r="AG10">
        <f t="shared" si="13"/>
        <v>1</v>
      </c>
      <c r="AH10" t="s">
        <v>44</v>
      </c>
      <c r="AI10" t="s">
        <v>43</v>
      </c>
      <c r="AJ10" t="s">
        <v>43</v>
      </c>
      <c r="AK10" t="s">
        <v>43</v>
      </c>
      <c r="AL10">
        <f t="shared" si="14"/>
        <v>1</v>
      </c>
      <c r="AM10" t="s">
        <v>44</v>
      </c>
      <c r="AN10">
        <v>4</v>
      </c>
      <c r="AO10">
        <v>2</v>
      </c>
      <c r="AP10">
        <v>2</v>
      </c>
      <c r="AQ10">
        <v>1</v>
      </c>
      <c r="AR10">
        <v>1</v>
      </c>
      <c r="AS10">
        <v>1</v>
      </c>
      <c r="AT10">
        <v>0</v>
      </c>
      <c r="AV10">
        <v>16</v>
      </c>
      <c r="AW10">
        <v>18</v>
      </c>
      <c r="AX10">
        <v>19</v>
      </c>
      <c r="AZ10" t="s">
        <v>122</v>
      </c>
      <c r="BA10" s="3">
        <f>CORREL(AX2:AX396,Z2:Z396)</f>
        <v>-0.11714205281614885</v>
      </c>
    </row>
    <row r="11" spans="1:66" x14ac:dyDescent="0.2">
      <c r="A11" t="s">
        <v>34</v>
      </c>
      <c r="B11" t="s">
        <v>51</v>
      </c>
      <c r="C11">
        <v>15</v>
      </c>
      <c r="D11" t="s">
        <v>36</v>
      </c>
      <c r="E11" t="s">
        <v>37</v>
      </c>
      <c r="F11" t="s">
        <v>45</v>
      </c>
      <c r="G11">
        <f t="shared" si="5"/>
        <v>1</v>
      </c>
      <c r="H11">
        <v>3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1</v>
      </c>
      <c r="M11">
        <f t="shared" si="10"/>
        <v>0</v>
      </c>
      <c r="N11">
        <v>4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1</v>
      </c>
      <c r="T11">
        <f t="shared" si="11"/>
        <v>0</v>
      </c>
      <c r="V11" t="s">
        <v>46</v>
      </c>
      <c r="W11" t="s">
        <v>46</v>
      </c>
      <c r="X11" t="s">
        <v>50</v>
      </c>
      <c r="Y11" t="s">
        <v>42</v>
      </c>
      <c r="Z11">
        <v>1</v>
      </c>
      <c r="AA11">
        <v>2</v>
      </c>
      <c r="AB11">
        <v>0</v>
      </c>
      <c r="AC11" t="s">
        <v>44</v>
      </c>
      <c r="AD11" t="s">
        <v>43</v>
      </c>
      <c r="AE11">
        <f t="shared" si="12"/>
        <v>1</v>
      </c>
      <c r="AF11" t="s">
        <v>43</v>
      </c>
      <c r="AG11">
        <f t="shared" si="13"/>
        <v>1</v>
      </c>
      <c r="AH11" t="s">
        <v>43</v>
      </c>
      <c r="AI11" t="s">
        <v>43</v>
      </c>
      <c r="AJ11" t="s">
        <v>43</v>
      </c>
      <c r="AK11" t="s">
        <v>43</v>
      </c>
      <c r="AL11">
        <f t="shared" si="14"/>
        <v>1</v>
      </c>
      <c r="AM11" t="s">
        <v>44</v>
      </c>
      <c r="AN11">
        <v>5</v>
      </c>
      <c r="AO11">
        <v>5</v>
      </c>
      <c r="AP11">
        <v>1</v>
      </c>
      <c r="AQ11">
        <v>1</v>
      </c>
      <c r="AR11">
        <v>1</v>
      </c>
      <c r="AS11">
        <v>5</v>
      </c>
      <c r="AT11">
        <v>0</v>
      </c>
      <c r="AV11">
        <v>14</v>
      </c>
      <c r="AW11">
        <v>15</v>
      </c>
      <c r="AX11">
        <v>15</v>
      </c>
      <c r="AZ11" t="s">
        <v>82</v>
      </c>
      <c r="BA11" s="3">
        <f>CORREL(AX2:AX396,AB2:AB396)</f>
        <v>-0.36041494046165007</v>
      </c>
    </row>
    <row r="12" spans="1:66" x14ac:dyDescent="0.2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f t="shared" si="5"/>
        <v>1</v>
      </c>
      <c r="H12">
        <v>4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1</v>
      </c>
      <c r="N12">
        <v>4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1</v>
      </c>
      <c r="T12">
        <f t="shared" si="11"/>
        <v>1</v>
      </c>
      <c r="V12" t="s">
        <v>40</v>
      </c>
      <c r="W12" t="s">
        <v>29</v>
      </c>
      <c r="X12" t="s">
        <v>52</v>
      </c>
      <c r="Y12" t="s">
        <v>42</v>
      </c>
      <c r="Z12">
        <v>1</v>
      </c>
      <c r="AA12">
        <v>2</v>
      </c>
      <c r="AB12">
        <v>0</v>
      </c>
      <c r="AC12" t="s">
        <v>44</v>
      </c>
      <c r="AD12" t="s">
        <v>43</v>
      </c>
      <c r="AE12">
        <f t="shared" si="12"/>
        <v>1</v>
      </c>
      <c r="AF12" t="s">
        <v>43</v>
      </c>
      <c r="AG12">
        <f t="shared" si="13"/>
        <v>1</v>
      </c>
      <c r="AH12" t="s">
        <v>44</v>
      </c>
      <c r="AI12" t="s">
        <v>43</v>
      </c>
      <c r="AJ12" t="s">
        <v>43</v>
      </c>
      <c r="AK12" t="s">
        <v>43</v>
      </c>
      <c r="AL12">
        <f t="shared" si="14"/>
        <v>1</v>
      </c>
      <c r="AM12" t="s">
        <v>44</v>
      </c>
      <c r="AN12">
        <v>3</v>
      </c>
      <c r="AO12">
        <v>3</v>
      </c>
      <c r="AP12">
        <v>3</v>
      </c>
      <c r="AQ12">
        <v>1</v>
      </c>
      <c r="AR12">
        <v>2</v>
      </c>
      <c r="AS12">
        <v>2</v>
      </c>
      <c r="AT12">
        <v>0</v>
      </c>
      <c r="AV12">
        <v>10</v>
      </c>
      <c r="AW12">
        <v>8</v>
      </c>
      <c r="AX12">
        <v>9</v>
      </c>
      <c r="AZ12" t="s">
        <v>118</v>
      </c>
      <c r="BA12" s="3">
        <f>CORREL(AX2:AX396,AP2:AP396)</f>
        <v>-0.13279147350332862</v>
      </c>
    </row>
    <row r="13" spans="1:66" x14ac:dyDescent="0.2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f t="shared" si="5"/>
        <v>1</v>
      </c>
      <c r="H13">
        <v>2</v>
      </c>
      <c r="I13">
        <f t="shared" si="6"/>
        <v>0</v>
      </c>
      <c r="J13">
        <f t="shared" si="7"/>
        <v>0</v>
      </c>
      <c r="K13">
        <f t="shared" si="8"/>
        <v>1</v>
      </c>
      <c r="L13">
        <f t="shared" si="9"/>
        <v>0</v>
      </c>
      <c r="M13">
        <f t="shared" si="10"/>
        <v>0</v>
      </c>
      <c r="N13">
        <v>1</v>
      </c>
      <c r="O13">
        <f t="shared" si="0"/>
        <v>0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11"/>
        <v>0</v>
      </c>
      <c r="V13" t="s">
        <v>49</v>
      </c>
      <c r="W13" t="s">
        <v>46</v>
      </c>
      <c r="X13" t="s">
        <v>52</v>
      </c>
      <c r="Y13" t="s">
        <v>47</v>
      </c>
      <c r="Z13">
        <v>3</v>
      </c>
      <c r="AA13">
        <v>3</v>
      </c>
      <c r="AB13">
        <v>0</v>
      </c>
      <c r="AC13" t="s">
        <v>44</v>
      </c>
      <c r="AD13" t="s">
        <v>43</v>
      </c>
      <c r="AE13">
        <f t="shared" si="12"/>
        <v>1</v>
      </c>
      <c r="AF13" t="s">
        <v>44</v>
      </c>
      <c r="AG13">
        <f t="shared" si="13"/>
        <v>0</v>
      </c>
      <c r="AH13" t="s">
        <v>43</v>
      </c>
      <c r="AI13" t="s">
        <v>43</v>
      </c>
      <c r="AJ13" t="s">
        <v>43</v>
      </c>
      <c r="AK13" t="s">
        <v>43</v>
      </c>
      <c r="AL13">
        <f t="shared" si="14"/>
        <v>1</v>
      </c>
      <c r="AM13" t="s">
        <v>44</v>
      </c>
      <c r="AN13">
        <v>5</v>
      </c>
      <c r="AO13">
        <v>2</v>
      </c>
      <c r="AP13">
        <v>2</v>
      </c>
      <c r="AQ13">
        <v>1</v>
      </c>
      <c r="AR13">
        <v>1</v>
      </c>
      <c r="AS13">
        <v>4</v>
      </c>
      <c r="AT13">
        <v>4</v>
      </c>
      <c r="AV13">
        <v>10</v>
      </c>
      <c r="AW13">
        <v>12</v>
      </c>
      <c r="AX13">
        <v>12</v>
      </c>
      <c r="BA13" s="3"/>
    </row>
    <row r="14" spans="1:66" x14ac:dyDescent="0.2">
      <c r="A14" t="s">
        <v>34</v>
      </c>
      <c r="B14" t="s">
        <v>51</v>
      </c>
      <c r="C14">
        <v>15</v>
      </c>
      <c r="D14" t="s">
        <v>36</v>
      </c>
      <c r="E14" t="s">
        <v>48</v>
      </c>
      <c r="F14" t="s">
        <v>45</v>
      </c>
      <c r="G14">
        <f t="shared" si="5"/>
        <v>1</v>
      </c>
      <c r="H14">
        <v>4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1</v>
      </c>
      <c r="N14">
        <v>4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1</v>
      </c>
      <c r="T14">
        <f t="shared" si="11"/>
        <v>1</v>
      </c>
      <c r="V14" t="s">
        <v>29</v>
      </c>
      <c r="W14" t="s">
        <v>49</v>
      </c>
      <c r="X14" t="s">
        <v>41</v>
      </c>
      <c r="Y14" t="s">
        <v>47</v>
      </c>
      <c r="Z14">
        <v>1</v>
      </c>
      <c r="AA14">
        <v>1</v>
      </c>
      <c r="AB14">
        <v>0</v>
      </c>
      <c r="AC14" t="s">
        <v>44</v>
      </c>
      <c r="AD14" t="s">
        <v>43</v>
      </c>
      <c r="AE14">
        <f t="shared" si="12"/>
        <v>1</v>
      </c>
      <c r="AF14" t="s">
        <v>43</v>
      </c>
      <c r="AG14">
        <f t="shared" si="13"/>
        <v>1</v>
      </c>
      <c r="AH14" t="s">
        <v>43</v>
      </c>
      <c r="AI14" t="s">
        <v>43</v>
      </c>
      <c r="AJ14" t="s">
        <v>43</v>
      </c>
      <c r="AK14" t="s">
        <v>43</v>
      </c>
      <c r="AL14">
        <f t="shared" si="14"/>
        <v>1</v>
      </c>
      <c r="AM14" t="s">
        <v>44</v>
      </c>
      <c r="AN14">
        <v>4</v>
      </c>
      <c r="AO14">
        <v>3</v>
      </c>
      <c r="AP14">
        <v>3</v>
      </c>
      <c r="AQ14">
        <v>1</v>
      </c>
      <c r="AR14">
        <v>3</v>
      </c>
      <c r="AS14">
        <v>5</v>
      </c>
      <c r="AT14">
        <v>2</v>
      </c>
      <c r="AV14">
        <v>14</v>
      </c>
      <c r="AW14">
        <v>14</v>
      </c>
      <c r="AX14">
        <v>14</v>
      </c>
      <c r="BA14" s="3"/>
    </row>
    <row r="15" spans="1:66" x14ac:dyDescent="0.2">
      <c r="A15" t="s">
        <v>34</v>
      </c>
      <c r="B15" t="s">
        <v>51</v>
      </c>
      <c r="C15">
        <v>15</v>
      </c>
      <c r="D15" t="s">
        <v>36</v>
      </c>
      <c r="E15" t="s">
        <v>37</v>
      </c>
      <c r="F15" t="s">
        <v>45</v>
      </c>
      <c r="G15">
        <f t="shared" si="5"/>
        <v>1</v>
      </c>
      <c r="H15">
        <v>4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1</v>
      </c>
      <c r="N15">
        <v>3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1</v>
      </c>
      <c r="S15">
        <f t="shared" si="4"/>
        <v>0</v>
      </c>
      <c r="T15">
        <f t="shared" si="11"/>
        <v>0</v>
      </c>
      <c r="V15" t="s">
        <v>40</v>
      </c>
      <c r="W15" t="s">
        <v>46</v>
      </c>
      <c r="X15" t="s">
        <v>41</v>
      </c>
      <c r="Y15" t="s">
        <v>42</v>
      </c>
      <c r="Z15">
        <v>2</v>
      </c>
      <c r="AA15">
        <v>2</v>
      </c>
      <c r="AB15">
        <v>0</v>
      </c>
      <c r="AC15" t="s">
        <v>44</v>
      </c>
      <c r="AD15" t="s">
        <v>43</v>
      </c>
      <c r="AE15">
        <f t="shared" si="12"/>
        <v>1</v>
      </c>
      <c r="AF15" t="s">
        <v>43</v>
      </c>
      <c r="AG15">
        <f t="shared" si="13"/>
        <v>1</v>
      </c>
      <c r="AH15" t="s">
        <v>44</v>
      </c>
      <c r="AI15" t="s">
        <v>43</v>
      </c>
      <c r="AJ15" t="s">
        <v>43</v>
      </c>
      <c r="AK15" t="s">
        <v>43</v>
      </c>
      <c r="AL15">
        <f t="shared" si="14"/>
        <v>1</v>
      </c>
      <c r="AM15" t="s">
        <v>44</v>
      </c>
      <c r="AN15">
        <v>5</v>
      </c>
      <c r="AO15">
        <v>4</v>
      </c>
      <c r="AP15">
        <v>3</v>
      </c>
      <c r="AQ15">
        <v>1</v>
      </c>
      <c r="AR15">
        <v>2</v>
      </c>
      <c r="AS15">
        <v>3</v>
      </c>
      <c r="AT15">
        <v>2</v>
      </c>
      <c r="AV15">
        <v>10</v>
      </c>
      <c r="AW15">
        <v>10</v>
      </c>
      <c r="AX15">
        <v>11</v>
      </c>
      <c r="BA15" s="3"/>
    </row>
    <row r="16" spans="1:66" x14ac:dyDescent="0.2">
      <c r="A16" t="s">
        <v>34</v>
      </c>
      <c r="B16" t="s">
        <v>51</v>
      </c>
      <c r="C16">
        <v>15</v>
      </c>
      <c r="D16" t="s">
        <v>36</v>
      </c>
      <c r="E16" t="s">
        <v>37</v>
      </c>
      <c r="F16" t="s">
        <v>38</v>
      </c>
      <c r="G16">
        <f t="shared" si="5"/>
        <v>0</v>
      </c>
      <c r="H16">
        <v>2</v>
      </c>
      <c r="I16">
        <f t="shared" si="6"/>
        <v>0</v>
      </c>
      <c r="J16">
        <f t="shared" si="7"/>
        <v>0</v>
      </c>
      <c r="K16">
        <f t="shared" si="8"/>
        <v>1</v>
      </c>
      <c r="L16">
        <f t="shared" si="9"/>
        <v>0</v>
      </c>
      <c r="M16">
        <f t="shared" si="10"/>
        <v>0</v>
      </c>
      <c r="N16">
        <v>2</v>
      </c>
      <c r="O16">
        <f t="shared" si="0"/>
        <v>0</v>
      </c>
      <c r="P16">
        <f t="shared" si="1"/>
        <v>0</v>
      </c>
      <c r="Q16">
        <f t="shared" si="2"/>
        <v>1</v>
      </c>
      <c r="R16">
        <f t="shared" si="3"/>
        <v>0</v>
      </c>
      <c r="S16">
        <f t="shared" si="4"/>
        <v>0</v>
      </c>
      <c r="T16">
        <f t="shared" si="11"/>
        <v>0</v>
      </c>
      <c r="V16" t="s">
        <v>46</v>
      </c>
      <c r="W16" t="s">
        <v>46</v>
      </c>
      <c r="X16" t="s">
        <v>50</v>
      </c>
      <c r="Y16" t="s">
        <v>46</v>
      </c>
      <c r="Z16">
        <v>1</v>
      </c>
      <c r="AA16">
        <v>3</v>
      </c>
      <c r="AB16">
        <v>0</v>
      </c>
      <c r="AC16" t="s">
        <v>44</v>
      </c>
      <c r="AD16" t="s">
        <v>43</v>
      </c>
      <c r="AE16">
        <f t="shared" si="12"/>
        <v>1</v>
      </c>
      <c r="AF16" t="s">
        <v>44</v>
      </c>
      <c r="AG16">
        <f t="shared" si="13"/>
        <v>0</v>
      </c>
      <c r="AH16" t="s">
        <v>44</v>
      </c>
      <c r="AI16" t="s">
        <v>43</v>
      </c>
      <c r="AJ16" t="s">
        <v>43</v>
      </c>
      <c r="AK16" t="s">
        <v>43</v>
      </c>
      <c r="AL16">
        <f t="shared" si="14"/>
        <v>1</v>
      </c>
      <c r="AM16" t="s">
        <v>43</v>
      </c>
      <c r="AN16">
        <v>4</v>
      </c>
      <c r="AO16">
        <v>5</v>
      </c>
      <c r="AP16">
        <v>2</v>
      </c>
      <c r="AQ16">
        <v>1</v>
      </c>
      <c r="AR16">
        <v>1</v>
      </c>
      <c r="AS16">
        <v>3</v>
      </c>
      <c r="AT16">
        <v>0</v>
      </c>
      <c r="AV16">
        <v>14</v>
      </c>
      <c r="AW16">
        <v>16</v>
      </c>
      <c r="AX16">
        <v>16</v>
      </c>
      <c r="BA16" s="3"/>
    </row>
    <row r="17" spans="1:53" x14ac:dyDescent="0.2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f t="shared" si="5"/>
        <v>1</v>
      </c>
      <c r="H17">
        <v>4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1</v>
      </c>
      <c r="N17">
        <v>4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1</v>
      </c>
      <c r="T17">
        <f t="shared" si="11"/>
        <v>1</v>
      </c>
      <c r="V17" t="s">
        <v>29</v>
      </c>
      <c r="W17" t="s">
        <v>46</v>
      </c>
      <c r="X17" t="s">
        <v>50</v>
      </c>
      <c r="Y17" t="s">
        <v>42</v>
      </c>
      <c r="Z17">
        <v>1</v>
      </c>
      <c r="AA17">
        <v>1</v>
      </c>
      <c r="AB17">
        <v>0</v>
      </c>
      <c r="AC17" t="s">
        <v>44</v>
      </c>
      <c r="AD17" t="s">
        <v>43</v>
      </c>
      <c r="AE17">
        <f t="shared" si="12"/>
        <v>1</v>
      </c>
      <c r="AF17" t="s">
        <v>44</v>
      </c>
      <c r="AG17">
        <f t="shared" si="13"/>
        <v>0</v>
      </c>
      <c r="AH17" t="s">
        <v>44</v>
      </c>
      <c r="AI17" t="s">
        <v>43</v>
      </c>
      <c r="AJ17" t="s">
        <v>43</v>
      </c>
      <c r="AK17" t="s">
        <v>43</v>
      </c>
      <c r="AL17">
        <f t="shared" si="14"/>
        <v>1</v>
      </c>
      <c r="AM17" t="s">
        <v>44</v>
      </c>
      <c r="AN17">
        <v>4</v>
      </c>
      <c r="AO17">
        <v>4</v>
      </c>
      <c r="AP17">
        <v>4</v>
      </c>
      <c r="AQ17">
        <v>1</v>
      </c>
      <c r="AR17">
        <v>2</v>
      </c>
      <c r="AS17">
        <v>2</v>
      </c>
      <c r="AT17">
        <v>4</v>
      </c>
      <c r="AV17">
        <v>14</v>
      </c>
      <c r="AW17">
        <v>14</v>
      </c>
      <c r="AX17">
        <v>14</v>
      </c>
      <c r="BA17" s="3"/>
    </row>
    <row r="18" spans="1:53" x14ac:dyDescent="0.2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f t="shared" si="5"/>
        <v>1</v>
      </c>
      <c r="H18">
        <v>4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1</v>
      </c>
      <c r="N18">
        <v>4</v>
      </c>
      <c r="O18">
        <f t="shared" si="0"/>
        <v>0</v>
      </c>
      <c r="P18">
        <f t="shared" si="1"/>
        <v>0</v>
      </c>
      <c r="Q18">
        <f t="shared" si="2"/>
        <v>0</v>
      </c>
      <c r="R18">
        <f t="shared" si="3"/>
        <v>0</v>
      </c>
      <c r="S18">
        <f t="shared" si="4"/>
        <v>1</v>
      </c>
      <c r="T18">
        <f t="shared" si="11"/>
        <v>1</v>
      </c>
      <c r="V18" t="s">
        <v>49</v>
      </c>
      <c r="W18" t="s">
        <v>49</v>
      </c>
      <c r="X18" t="s">
        <v>52</v>
      </c>
      <c r="Y18" t="s">
        <v>42</v>
      </c>
      <c r="Z18">
        <v>1</v>
      </c>
      <c r="AA18">
        <v>3</v>
      </c>
      <c r="AB18">
        <v>0</v>
      </c>
      <c r="AC18" t="s">
        <v>44</v>
      </c>
      <c r="AD18" t="s">
        <v>43</v>
      </c>
      <c r="AE18">
        <f t="shared" si="12"/>
        <v>1</v>
      </c>
      <c r="AF18" t="s">
        <v>43</v>
      </c>
      <c r="AG18">
        <f t="shared" si="13"/>
        <v>1</v>
      </c>
      <c r="AH18" t="s">
        <v>43</v>
      </c>
      <c r="AI18" t="s">
        <v>43</v>
      </c>
      <c r="AJ18" t="s">
        <v>43</v>
      </c>
      <c r="AK18" t="s">
        <v>43</v>
      </c>
      <c r="AL18">
        <f t="shared" si="14"/>
        <v>1</v>
      </c>
      <c r="AM18" t="s">
        <v>44</v>
      </c>
      <c r="AN18">
        <v>3</v>
      </c>
      <c r="AO18">
        <v>2</v>
      </c>
      <c r="AP18">
        <v>3</v>
      </c>
      <c r="AQ18">
        <v>1</v>
      </c>
      <c r="AR18">
        <v>2</v>
      </c>
      <c r="AS18">
        <v>2</v>
      </c>
      <c r="AT18">
        <v>6</v>
      </c>
      <c r="AV18">
        <v>13</v>
      </c>
      <c r="AW18">
        <v>14</v>
      </c>
      <c r="AX18">
        <v>14</v>
      </c>
    </row>
    <row r="19" spans="1:53" x14ac:dyDescent="0.2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f t="shared" si="5"/>
        <v>1</v>
      </c>
      <c r="H19">
        <v>3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1</v>
      </c>
      <c r="M19">
        <f t="shared" si="10"/>
        <v>0</v>
      </c>
      <c r="N19">
        <v>3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1</v>
      </c>
      <c r="S19">
        <f t="shared" si="4"/>
        <v>0</v>
      </c>
      <c r="T19">
        <f t="shared" si="11"/>
        <v>0</v>
      </c>
      <c r="V19" t="s">
        <v>46</v>
      </c>
      <c r="W19" t="s">
        <v>46</v>
      </c>
      <c r="X19" t="s">
        <v>52</v>
      </c>
      <c r="Y19" t="s">
        <v>42</v>
      </c>
      <c r="Z19">
        <v>3</v>
      </c>
      <c r="AA19">
        <v>2</v>
      </c>
      <c r="AB19">
        <v>0</v>
      </c>
      <c r="AC19" t="s">
        <v>43</v>
      </c>
      <c r="AD19" t="s">
        <v>43</v>
      </c>
      <c r="AE19">
        <f t="shared" si="12"/>
        <v>1</v>
      </c>
      <c r="AF19" t="s">
        <v>44</v>
      </c>
      <c r="AG19">
        <f t="shared" si="13"/>
        <v>0</v>
      </c>
      <c r="AH19" t="s">
        <v>43</v>
      </c>
      <c r="AI19" t="s">
        <v>43</v>
      </c>
      <c r="AJ19" t="s">
        <v>43</v>
      </c>
      <c r="AK19" t="s">
        <v>44</v>
      </c>
      <c r="AL19">
        <f t="shared" si="14"/>
        <v>0</v>
      </c>
      <c r="AM19" t="s">
        <v>44</v>
      </c>
      <c r="AN19">
        <v>5</v>
      </c>
      <c r="AO19">
        <v>3</v>
      </c>
      <c r="AP19">
        <v>2</v>
      </c>
      <c r="AQ19">
        <v>1</v>
      </c>
      <c r="AR19">
        <v>1</v>
      </c>
      <c r="AS19">
        <v>4</v>
      </c>
      <c r="AT19">
        <v>4</v>
      </c>
      <c r="AV19">
        <v>8</v>
      </c>
      <c r="AW19">
        <v>10</v>
      </c>
      <c r="AX19">
        <v>10</v>
      </c>
    </row>
    <row r="20" spans="1:53" x14ac:dyDescent="0.2">
      <c r="A20" t="s">
        <v>34</v>
      </c>
      <c r="B20" t="s">
        <v>51</v>
      </c>
      <c r="C20">
        <v>17</v>
      </c>
      <c r="D20" t="s">
        <v>36</v>
      </c>
      <c r="E20" t="s">
        <v>37</v>
      </c>
      <c r="F20" t="s">
        <v>45</v>
      </c>
      <c r="G20">
        <f t="shared" si="5"/>
        <v>1</v>
      </c>
      <c r="H20">
        <v>3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1</v>
      </c>
      <c r="M20">
        <f t="shared" si="10"/>
        <v>0</v>
      </c>
      <c r="N20">
        <v>2</v>
      </c>
      <c r="O20">
        <f t="shared" si="0"/>
        <v>0</v>
      </c>
      <c r="P20">
        <f t="shared" si="1"/>
        <v>0</v>
      </c>
      <c r="Q20">
        <f t="shared" si="2"/>
        <v>1</v>
      </c>
      <c r="R20">
        <f t="shared" si="3"/>
        <v>0</v>
      </c>
      <c r="S20">
        <f t="shared" si="4"/>
        <v>0</v>
      </c>
      <c r="T20">
        <f t="shared" si="11"/>
        <v>0</v>
      </c>
      <c r="V20" t="s">
        <v>49</v>
      </c>
      <c r="W20" t="s">
        <v>49</v>
      </c>
      <c r="X20" t="s">
        <v>41</v>
      </c>
      <c r="Y20" t="s">
        <v>42</v>
      </c>
      <c r="Z20">
        <v>1</v>
      </c>
      <c r="AA20">
        <v>1</v>
      </c>
      <c r="AB20">
        <v>3</v>
      </c>
      <c r="AC20" t="s">
        <v>44</v>
      </c>
      <c r="AD20" t="s">
        <v>43</v>
      </c>
      <c r="AE20">
        <f t="shared" si="12"/>
        <v>1</v>
      </c>
      <c r="AF20" t="s">
        <v>44</v>
      </c>
      <c r="AG20">
        <f t="shared" si="13"/>
        <v>0</v>
      </c>
      <c r="AH20" t="s">
        <v>43</v>
      </c>
      <c r="AI20" t="s">
        <v>43</v>
      </c>
      <c r="AJ20" t="s">
        <v>43</v>
      </c>
      <c r="AK20" t="s">
        <v>43</v>
      </c>
      <c r="AL20">
        <f t="shared" si="14"/>
        <v>1</v>
      </c>
      <c r="AM20" t="s">
        <v>44</v>
      </c>
      <c r="AN20">
        <v>5</v>
      </c>
      <c r="AO20">
        <v>5</v>
      </c>
      <c r="AP20">
        <v>5</v>
      </c>
      <c r="AQ20">
        <v>2</v>
      </c>
      <c r="AR20">
        <v>4</v>
      </c>
      <c r="AS20">
        <v>5</v>
      </c>
      <c r="AT20">
        <v>16</v>
      </c>
      <c r="AV20">
        <v>6</v>
      </c>
      <c r="AW20">
        <v>5</v>
      </c>
      <c r="AX20">
        <v>5</v>
      </c>
    </row>
    <row r="21" spans="1:53" x14ac:dyDescent="0.2">
      <c r="A21" t="s">
        <v>34</v>
      </c>
      <c r="B21" t="s">
        <v>51</v>
      </c>
      <c r="C21">
        <v>16</v>
      </c>
      <c r="D21" t="s">
        <v>36</v>
      </c>
      <c r="E21" t="s">
        <v>48</v>
      </c>
      <c r="F21" t="s">
        <v>45</v>
      </c>
      <c r="G21">
        <f t="shared" si="5"/>
        <v>1</v>
      </c>
      <c r="H21">
        <v>4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1</v>
      </c>
      <c r="N21">
        <v>3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1</v>
      </c>
      <c r="S21">
        <f t="shared" si="4"/>
        <v>0</v>
      </c>
      <c r="T21">
        <f t="shared" si="11"/>
        <v>0</v>
      </c>
      <c r="V21" t="s">
        <v>29</v>
      </c>
      <c r="W21" t="s">
        <v>46</v>
      </c>
      <c r="X21" t="s">
        <v>50</v>
      </c>
      <c r="Y21" t="s">
        <v>47</v>
      </c>
      <c r="Z21">
        <v>1</v>
      </c>
      <c r="AA21">
        <v>1</v>
      </c>
      <c r="AB21">
        <v>0</v>
      </c>
      <c r="AC21" t="s">
        <v>44</v>
      </c>
      <c r="AD21" t="s">
        <v>44</v>
      </c>
      <c r="AE21">
        <f t="shared" si="12"/>
        <v>0</v>
      </c>
      <c r="AF21" t="s">
        <v>43</v>
      </c>
      <c r="AG21">
        <f t="shared" si="13"/>
        <v>1</v>
      </c>
      <c r="AH21" t="s">
        <v>43</v>
      </c>
      <c r="AI21" t="s">
        <v>43</v>
      </c>
      <c r="AJ21" t="s">
        <v>43</v>
      </c>
      <c r="AK21" t="s">
        <v>43</v>
      </c>
      <c r="AL21">
        <f t="shared" si="14"/>
        <v>1</v>
      </c>
      <c r="AM21" t="s">
        <v>44</v>
      </c>
      <c r="AN21">
        <v>3</v>
      </c>
      <c r="AO21">
        <v>1</v>
      </c>
      <c r="AP21">
        <v>3</v>
      </c>
      <c r="AQ21">
        <v>1</v>
      </c>
      <c r="AR21">
        <v>3</v>
      </c>
      <c r="AS21">
        <v>5</v>
      </c>
      <c r="AT21">
        <v>4</v>
      </c>
      <c r="AV21">
        <v>8</v>
      </c>
      <c r="AW21">
        <v>10</v>
      </c>
      <c r="AX21">
        <v>10</v>
      </c>
    </row>
    <row r="22" spans="1:53" x14ac:dyDescent="0.2">
      <c r="A22" t="s">
        <v>34</v>
      </c>
      <c r="B22" t="s">
        <v>51</v>
      </c>
      <c r="C22">
        <v>15</v>
      </c>
      <c r="D22" t="s">
        <v>36</v>
      </c>
      <c r="E22" t="s">
        <v>37</v>
      </c>
      <c r="F22" t="s">
        <v>45</v>
      </c>
      <c r="G22">
        <f t="shared" si="5"/>
        <v>1</v>
      </c>
      <c r="H22">
        <v>4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1</v>
      </c>
      <c r="N22">
        <v>3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11"/>
        <v>0</v>
      </c>
      <c r="V22" t="s">
        <v>40</v>
      </c>
      <c r="W22" t="s">
        <v>46</v>
      </c>
      <c r="X22" t="s">
        <v>52</v>
      </c>
      <c r="Y22" t="s">
        <v>42</v>
      </c>
      <c r="Z22">
        <v>1</v>
      </c>
      <c r="AA22">
        <v>2</v>
      </c>
      <c r="AB22">
        <v>0</v>
      </c>
      <c r="AC22" t="s">
        <v>44</v>
      </c>
      <c r="AD22" t="s">
        <v>44</v>
      </c>
      <c r="AE22">
        <f t="shared" si="12"/>
        <v>0</v>
      </c>
      <c r="AF22" t="s">
        <v>44</v>
      </c>
      <c r="AG22">
        <f t="shared" si="13"/>
        <v>0</v>
      </c>
      <c r="AH22" t="s">
        <v>44</v>
      </c>
      <c r="AI22" t="s">
        <v>43</v>
      </c>
      <c r="AJ22" t="s">
        <v>43</v>
      </c>
      <c r="AK22" t="s">
        <v>43</v>
      </c>
      <c r="AL22">
        <f t="shared" si="14"/>
        <v>1</v>
      </c>
      <c r="AM22" t="s">
        <v>44</v>
      </c>
      <c r="AN22">
        <v>4</v>
      </c>
      <c r="AO22">
        <v>4</v>
      </c>
      <c r="AP22">
        <v>1</v>
      </c>
      <c r="AQ22">
        <v>1</v>
      </c>
      <c r="AR22">
        <v>1</v>
      </c>
      <c r="AS22">
        <v>1</v>
      </c>
      <c r="AT22">
        <v>0</v>
      </c>
      <c r="AV22">
        <v>13</v>
      </c>
      <c r="AW22">
        <v>14</v>
      </c>
      <c r="AX22">
        <v>15</v>
      </c>
    </row>
    <row r="23" spans="1:53" x14ac:dyDescent="0.2">
      <c r="A23" t="s">
        <v>34</v>
      </c>
      <c r="B23" t="s">
        <v>51</v>
      </c>
      <c r="C23">
        <v>15</v>
      </c>
      <c r="D23" t="s">
        <v>36</v>
      </c>
      <c r="E23" t="s">
        <v>37</v>
      </c>
      <c r="F23" t="s">
        <v>45</v>
      </c>
      <c r="G23">
        <f t="shared" si="5"/>
        <v>1</v>
      </c>
      <c r="H23">
        <v>4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1</v>
      </c>
      <c r="N23">
        <v>4</v>
      </c>
      <c r="O23">
        <f t="shared" si="0"/>
        <v>0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1</v>
      </c>
      <c r="T23">
        <f t="shared" si="11"/>
        <v>1</v>
      </c>
      <c r="V23" t="s">
        <v>29</v>
      </c>
      <c r="W23" t="s">
        <v>29</v>
      </c>
      <c r="X23" t="s">
        <v>46</v>
      </c>
      <c r="Y23" t="s">
        <v>47</v>
      </c>
      <c r="Z23">
        <v>1</v>
      </c>
      <c r="AA23">
        <v>1</v>
      </c>
      <c r="AB23">
        <v>0</v>
      </c>
      <c r="AC23" t="s">
        <v>44</v>
      </c>
      <c r="AD23" t="s">
        <v>43</v>
      </c>
      <c r="AE23">
        <f t="shared" si="12"/>
        <v>1</v>
      </c>
      <c r="AF23" t="s">
        <v>43</v>
      </c>
      <c r="AG23">
        <f t="shared" si="13"/>
        <v>1</v>
      </c>
      <c r="AH23" t="s">
        <v>44</v>
      </c>
      <c r="AI23" t="s">
        <v>43</v>
      </c>
      <c r="AJ23" t="s">
        <v>43</v>
      </c>
      <c r="AK23" t="s">
        <v>43</v>
      </c>
      <c r="AL23">
        <f t="shared" si="14"/>
        <v>1</v>
      </c>
      <c r="AM23" t="s">
        <v>44</v>
      </c>
      <c r="AN23">
        <v>5</v>
      </c>
      <c r="AO23">
        <v>4</v>
      </c>
      <c r="AP23">
        <v>2</v>
      </c>
      <c r="AQ23">
        <v>1</v>
      </c>
      <c r="AR23">
        <v>1</v>
      </c>
      <c r="AS23">
        <v>5</v>
      </c>
      <c r="AT23">
        <v>0</v>
      </c>
      <c r="AV23">
        <v>12</v>
      </c>
      <c r="AW23">
        <v>15</v>
      </c>
      <c r="AX23">
        <v>15</v>
      </c>
    </row>
    <row r="24" spans="1:53" x14ac:dyDescent="0.2">
      <c r="A24" t="s">
        <v>34</v>
      </c>
      <c r="B24" t="s">
        <v>51</v>
      </c>
      <c r="C24">
        <v>16</v>
      </c>
      <c r="D24" t="s">
        <v>36</v>
      </c>
      <c r="E24" t="s">
        <v>48</v>
      </c>
      <c r="F24" t="s">
        <v>45</v>
      </c>
      <c r="G24">
        <f t="shared" si="5"/>
        <v>1</v>
      </c>
      <c r="H24">
        <v>4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1</v>
      </c>
      <c r="N24">
        <v>2</v>
      </c>
      <c r="O24">
        <f t="shared" si="0"/>
        <v>0</v>
      </c>
      <c r="P24">
        <f t="shared" si="1"/>
        <v>0</v>
      </c>
      <c r="Q24">
        <f t="shared" si="2"/>
        <v>1</v>
      </c>
      <c r="R24">
        <f t="shared" si="3"/>
        <v>0</v>
      </c>
      <c r="S24">
        <f t="shared" si="4"/>
        <v>0</v>
      </c>
      <c r="T24">
        <f t="shared" si="11"/>
        <v>0</v>
      </c>
      <c r="V24" t="s">
        <v>40</v>
      </c>
      <c r="W24" t="s">
        <v>46</v>
      </c>
      <c r="X24" t="s">
        <v>41</v>
      </c>
      <c r="Y24" t="s">
        <v>42</v>
      </c>
      <c r="Z24">
        <v>1</v>
      </c>
      <c r="AA24">
        <v>2</v>
      </c>
      <c r="AB24">
        <v>0</v>
      </c>
      <c r="AC24" t="s">
        <v>44</v>
      </c>
      <c r="AD24" t="s">
        <v>44</v>
      </c>
      <c r="AE24">
        <f t="shared" si="12"/>
        <v>0</v>
      </c>
      <c r="AF24" t="s">
        <v>44</v>
      </c>
      <c r="AG24">
        <f t="shared" si="13"/>
        <v>0</v>
      </c>
      <c r="AH24" t="s">
        <v>43</v>
      </c>
      <c r="AI24" t="s">
        <v>43</v>
      </c>
      <c r="AJ24" t="s">
        <v>43</v>
      </c>
      <c r="AK24" t="s">
        <v>43</v>
      </c>
      <c r="AL24">
        <f t="shared" si="14"/>
        <v>1</v>
      </c>
      <c r="AM24" t="s">
        <v>44</v>
      </c>
      <c r="AN24">
        <v>4</v>
      </c>
      <c r="AO24">
        <v>5</v>
      </c>
      <c r="AP24">
        <v>1</v>
      </c>
      <c r="AQ24">
        <v>1</v>
      </c>
      <c r="AR24">
        <v>3</v>
      </c>
      <c r="AS24">
        <v>5</v>
      </c>
      <c r="AT24">
        <v>2</v>
      </c>
      <c r="AV24">
        <v>15</v>
      </c>
      <c r="AW24">
        <v>15</v>
      </c>
      <c r="AX24">
        <v>16</v>
      </c>
    </row>
    <row r="25" spans="1:53" x14ac:dyDescent="0.2">
      <c r="A25" t="s">
        <v>34</v>
      </c>
      <c r="B25" t="s">
        <v>51</v>
      </c>
      <c r="C25">
        <v>16</v>
      </c>
      <c r="D25" t="s">
        <v>36</v>
      </c>
      <c r="E25" t="s">
        <v>48</v>
      </c>
      <c r="F25" t="s">
        <v>45</v>
      </c>
      <c r="G25">
        <f t="shared" si="5"/>
        <v>1</v>
      </c>
      <c r="H25">
        <v>2</v>
      </c>
      <c r="I25">
        <f t="shared" si="6"/>
        <v>0</v>
      </c>
      <c r="J25">
        <f t="shared" si="7"/>
        <v>0</v>
      </c>
      <c r="K25">
        <f t="shared" si="8"/>
        <v>1</v>
      </c>
      <c r="L25">
        <f t="shared" si="9"/>
        <v>0</v>
      </c>
      <c r="M25">
        <f t="shared" si="10"/>
        <v>0</v>
      </c>
      <c r="N25">
        <v>2</v>
      </c>
      <c r="O25">
        <f t="shared" si="0"/>
        <v>0</v>
      </c>
      <c r="P25">
        <f t="shared" si="1"/>
        <v>0</v>
      </c>
      <c r="Q25">
        <f t="shared" si="2"/>
        <v>1</v>
      </c>
      <c r="R25">
        <f t="shared" si="3"/>
        <v>0</v>
      </c>
      <c r="S25">
        <f t="shared" si="4"/>
        <v>0</v>
      </c>
      <c r="T25">
        <f t="shared" si="11"/>
        <v>0</v>
      </c>
      <c r="V25" t="s">
        <v>46</v>
      </c>
      <c r="W25" t="s">
        <v>46</v>
      </c>
      <c r="X25" t="s">
        <v>52</v>
      </c>
      <c r="Y25" t="s">
        <v>42</v>
      </c>
      <c r="Z25">
        <v>2</v>
      </c>
      <c r="AA25">
        <v>2</v>
      </c>
      <c r="AB25">
        <v>0</v>
      </c>
      <c r="AC25" t="s">
        <v>44</v>
      </c>
      <c r="AD25" t="s">
        <v>43</v>
      </c>
      <c r="AE25">
        <f t="shared" si="12"/>
        <v>1</v>
      </c>
      <c r="AF25" t="s">
        <v>44</v>
      </c>
      <c r="AG25">
        <f t="shared" si="13"/>
        <v>0</v>
      </c>
      <c r="AH25" t="s">
        <v>43</v>
      </c>
      <c r="AI25" t="s">
        <v>43</v>
      </c>
      <c r="AJ25" t="s">
        <v>43</v>
      </c>
      <c r="AK25" t="s">
        <v>43</v>
      </c>
      <c r="AL25">
        <f t="shared" si="14"/>
        <v>1</v>
      </c>
      <c r="AM25" t="s">
        <v>44</v>
      </c>
      <c r="AN25">
        <v>5</v>
      </c>
      <c r="AO25">
        <v>4</v>
      </c>
      <c r="AP25">
        <v>4</v>
      </c>
      <c r="AQ25">
        <v>2</v>
      </c>
      <c r="AR25">
        <v>4</v>
      </c>
      <c r="AS25">
        <v>5</v>
      </c>
      <c r="AT25">
        <v>0</v>
      </c>
      <c r="AV25">
        <v>13</v>
      </c>
      <c r="AW25">
        <v>13</v>
      </c>
      <c r="AX25">
        <v>12</v>
      </c>
    </row>
    <row r="26" spans="1:53" x14ac:dyDescent="0.2">
      <c r="A26" t="s">
        <v>34</v>
      </c>
      <c r="B26" t="s">
        <v>35</v>
      </c>
      <c r="C26">
        <v>15</v>
      </c>
      <c r="D26" t="s">
        <v>53</v>
      </c>
      <c r="E26" t="s">
        <v>37</v>
      </c>
      <c r="F26" t="s">
        <v>45</v>
      </c>
      <c r="G26">
        <f t="shared" si="5"/>
        <v>1</v>
      </c>
      <c r="H26">
        <v>2</v>
      </c>
      <c r="I26">
        <f t="shared" si="6"/>
        <v>0</v>
      </c>
      <c r="J26">
        <f t="shared" si="7"/>
        <v>0</v>
      </c>
      <c r="K26">
        <f t="shared" si="8"/>
        <v>1</v>
      </c>
      <c r="L26">
        <f t="shared" si="9"/>
        <v>0</v>
      </c>
      <c r="M26">
        <f t="shared" si="10"/>
        <v>0</v>
      </c>
      <c r="N26">
        <v>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1</v>
      </c>
      <c r="T26">
        <f t="shared" si="11"/>
        <v>0</v>
      </c>
      <c r="V26" t="s">
        <v>49</v>
      </c>
      <c r="W26" t="s">
        <v>29</v>
      </c>
      <c r="X26" t="s">
        <v>41</v>
      </c>
      <c r="Y26" t="s">
        <v>42</v>
      </c>
      <c r="Z26">
        <v>1</v>
      </c>
      <c r="AA26">
        <v>3</v>
      </c>
      <c r="AB26">
        <v>0</v>
      </c>
      <c r="AC26" t="s">
        <v>43</v>
      </c>
      <c r="AD26" t="s">
        <v>43</v>
      </c>
      <c r="AE26">
        <f t="shared" si="12"/>
        <v>1</v>
      </c>
      <c r="AF26" t="s">
        <v>43</v>
      </c>
      <c r="AG26">
        <f t="shared" si="13"/>
        <v>1</v>
      </c>
      <c r="AH26" t="s">
        <v>43</v>
      </c>
      <c r="AI26" t="s">
        <v>43</v>
      </c>
      <c r="AJ26" t="s">
        <v>43</v>
      </c>
      <c r="AK26" t="s">
        <v>43</v>
      </c>
      <c r="AL26">
        <f t="shared" si="14"/>
        <v>1</v>
      </c>
      <c r="AM26" t="s">
        <v>44</v>
      </c>
      <c r="AN26">
        <v>4</v>
      </c>
      <c r="AO26">
        <v>3</v>
      </c>
      <c r="AP26">
        <v>2</v>
      </c>
      <c r="AQ26">
        <v>1</v>
      </c>
      <c r="AR26">
        <v>1</v>
      </c>
      <c r="AS26">
        <v>5</v>
      </c>
      <c r="AT26">
        <v>2</v>
      </c>
      <c r="AV26">
        <v>10</v>
      </c>
      <c r="AW26">
        <v>9</v>
      </c>
      <c r="AX26">
        <v>8</v>
      </c>
    </row>
    <row r="27" spans="1:53" x14ac:dyDescent="0.2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f t="shared" si="5"/>
        <v>1</v>
      </c>
      <c r="H27">
        <v>2</v>
      </c>
      <c r="I27">
        <f t="shared" si="6"/>
        <v>0</v>
      </c>
      <c r="J27">
        <f t="shared" si="7"/>
        <v>0</v>
      </c>
      <c r="K27">
        <f t="shared" si="8"/>
        <v>1</v>
      </c>
      <c r="L27">
        <f t="shared" si="9"/>
        <v>0</v>
      </c>
      <c r="M27">
        <f t="shared" si="10"/>
        <v>0</v>
      </c>
      <c r="N27">
        <v>2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0</v>
      </c>
      <c r="T27">
        <f t="shared" si="11"/>
        <v>0</v>
      </c>
      <c r="V27" t="s">
        <v>49</v>
      </c>
      <c r="W27" t="s">
        <v>49</v>
      </c>
      <c r="X27" t="s">
        <v>50</v>
      </c>
      <c r="Y27" t="s">
        <v>42</v>
      </c>
      <c r="Z27">
        <v>1</v>
      </c>
      <c r="AA27">
        <v>1</v>
      </c>
      <c r="AB27">
        <v>2</v>
      </c>
      <c r="AC27" t="s">
        <v>44</v>
      </c>
      <c r="AD27" t="s">
        <v>43</v>
      </c>
      <c r="AE27">
        <f t="shared" si="12"/>
        <v>1</v>
      </c>
      <c r="AF27" t="s">
        <v>43</v>
      </c>
      <c r="AG27">
        <f t="shared" si="13"/>
        <v>1</v>
      </c>
      <c r="AH27" t="s">
        <v>44</v>
      </c>
      <c r="AI27" t="s">
        <v>44</v>
      </c>
      <c r="AJ27" t="s">
        <v>43</v>
      </c>
      <c r="AK27" t="s">
        <v>43</v>
      </c>
      <c r="AL27">
        <f t="shared" si="14"/>
        <v>1</v>
      </c>
      <c r="AM27" t="s">
        <v>44</v>
      </c>
      <c r="AN27">
        <v>1</v>
      </c>
      <c r="AO27">
        <v>2</v>
      </c>
      <c r="AP27">
        <v>2</v>
      </c>
      <c r="AQ27">
        <v>1</v>
      </c>
      <c r="AR27">
        <v>3</v>
      </c>
      <c r="AS27">
        <v>5</v>
      </c>
      <c r="AT27">
        <v>14</v>
      </c>
      <c r="AV27">
        <v>6</v>
      </c>
      <c r="AW27">
        <v>9</v>
      </c>
      <c r="AX27">
        <v>8</v>
      </c>
    </row>
    <row r="28" spans="1:53" x14ac:dyDescent="0.2">
      <c r="A28" t="s">
        <v>34</v>
      </c>
      <c r="B28" t="s">
        <v>51</v>
      </c>
      <c r="C28">
        <v>15</v>
      </c>
      <c r="D28" t="s">
        <v>36</v>
      </c>
      <c r="E28" t="s">
        <v>37</v>
      </c>
      <c r="F28" t="s">
        <v>45</v>
      </c>
      <c r="G28">
        <f t="shared" si="5"/>
        <v>1</v>
      </c>
      <c r="H28">
        <v>2</v>
      </c>
      <c r="I28">
        <f t="shared" si="6"/>
        <v>0</v>
      </c>
      <c r="J28">
        <f t="shared" si="7"/>
        <v>0</v>
      </c>
      <c r="K28">
        <f t="shared" si="8"/>
        <v>1</v>
      </c>
      <c r="L28">
        <f t="shared" si="9"/>
        <v>0</v>
      </c>
      <c r="M28">
        <f t="shared" si="10"/>
        <v>0</v>
      </c>
      <c r="N28">
        <v>2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0</v>
      </c>
      <c r="T28">
        <f t="shared" si="11"/>
        <v>0</v>
      </c>
      <c r="V28" t="s">
        <v>46</v>
      </c>
      <c r="W28" t="s">
        <v>46</v>
      </c>
      <c r="X28" t="s">
        <v>50</v>
      </c>
      <c r="Y28" t="s">
        <v>42</v>
      </c>
      <c r="Z28">
        <v>1</v>
      </c>
      <c r="AA28">
        <v>1</v>
      </c>
      <c r="AB28">
        <v>0</v>
      </c>
      <c r="AC28" t="s">
        <v>44</v>
      </c>
      <c r="AD28" t="s">
        <v>43</v>
      </c>
      <c r="AE28">
        <f t="shared" si="12"/>
        <v>1</v>
      </c>
      <c r="AF28" t="s">
        <v>43</v>
      </c>
      <c r="AG28">
        <f t="shared" si="13"/>
        <v>1</v>
      </c>
      <c r="AH28" t="s">
        <v>44</v>
      </c>
      <c r="AI28" t="s">
        <v>43</v>
      </c>
      <c r="AJ28" t="s">
        <v>43</v>
      </c>
      <c r="AK28" t="s">
        <v>43</v>
      </c>
      <c r="AL28">
        <f t="shared" si="14"/>
        <v>1</v>
      </c>
      <c r="AM28" t="s">
        <v>44</v>
      </c>
      <c r="AN28">
        <v>4</v>
      </c>
      <c r="AO28">
        <v>2</v>
      </c>
      <c r="AP28">
        <v>2</v>
      </c>
      <c r="AQ28">
        <v>1</v>
      </c>
      <c r="AR28">
        <v>2</v>
      </c>
      <c r="AS28">
        <v>5</v>
      </c>
      <c r="AT28">
        <v>2</v>
      </c>
      <c r="AV28">
        <v>12</v>
      </c>
      <c r="AW28">
        <v>12</v>
      </c>
      <c r="AX28">
        <v>11</v>
      </c>
    </row>
    <row r="29" spans="1:53" x14ac:dyDescent="0.2">
      <c r="A29" t="s">
        <v>34</v>
      </c>
      <c r="B29" t="s">
        <v>51</v>
      </c>
      <c r="C29">
        <v>15</v>
      </c>
      <c r="D29" t="s">
        <v>36</v>
      </c>
      <c r="E29" t="s">
        <v>37</v>
      </c>
      <c r="F29" t="s">
        <v>45</v>
      </c>
      <c r="G29">
        <f t="shared" si="5"/>
        <v>1</v>
      </c>
      <c r="H29">
        <v>4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1</v>
      </c>
      <c r="N29">
        <v>2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0</v>
      </c>
      <c r="T29">
        <f t="shared" si="11"/>
        <v>0</v>
      </c>
      <c r="V29" t="s">
        <v>29</v>
      </c>
      <c r="W29" t="s">
        <v>49</v>
      </c>
      <c r="X29" t="s">
        <v>46</v>
      </c>
      <c r="Y29" t="s">
        <v>42</v>
      </c>
      <c r="Z29">
        <v>1</v>
      </c>
      <c r="AA29">
        <v>1</v>
      </c>
      <c r="AB29">
        <v>0</v>
      </c>
      <c r="AC29" t="s">
        <v>44</v>
      </c>
      <c r="AD29" t="s">
        <v>44</v>
      </c>
      <c r="AE29">
        <f t="shared" si="12"/>
        <v>0</v>
      </c>
      <c r="AF29" t="s">
        <v>43</v>
      </c>
      <c r="AG29">
        <f t="shared" si="13"/>
        <v>1</v>
      </c>
      <c r="AH29" t="s">
        <v>44</v>
      </c>
      <c r="AI29" t="s">
        <v>43</v>
      </c>
      <c r="AJ29" t="s">
        <v>43</v>
      </c>
      <c r="AK29" t="s">
        <v>43</v>
      </c>
      <c r="AL29">
        <f t="shared" si="14"/>
        <v>1</v>
      </c>
      <c r="AM29" t="s">
        <v>44</v>
      </c>
      <c r="AN29">
        <v>2</v>
      </c>
      <c r="AO29">
        <v>2</v>
      </c>
      <c r="AP29">
        <v>4</v>
      </c>
      <c r="AQ29">
        <v>2</v>
      </c>
      <c r="AR29">
        <v>4</v>
      </c>
      <c r="AS29">
        <v>1</v>
      </c>
      <c r="AT29">
        <v>4</v>
      </c>
      <c r="AV29">
        <v>15</v>
      </c>
      <c r="AW29">
        <v>16</v>
      </c>
      <c r="AX29">
        <v>15</v>
      </c>
    </row>
    <row r="30" spans="1:53" x14ac:dyDescent="0.2">
      <c r="A30" t="s">
        <v>34</v>
      </c>
      <c r="B30" t="s">
        <v>51</v>
      </c>
      <c r="C30">
        <v>16</v>
      </c>
      <c r="D30" t="s">
        <v>36</v>
      </c>
      <c r="E30" t="s">
        <v>48</v>
      </c>
      <c r="F30" t="s">
        <v>38</v>
      </c>
      <c r="G30">
        <f t="shared" si="5"/>
        <v>0</v>
      </c>
      <c r="H30">
        <v>3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1</v>
      </c>
      <c r="M30">
        <f t="shared" si="10"/>
        <v>0</v>
      </c>
      <c r="N30">
        <v>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1</v>
      </c>
      <c r="T30">
        <f t="shared" si="11"/>
        <v>0</v>
      </c>
      <c r="V30" t="s">
        <v>49</v>
      </c>
      <c r="W30" t="s">
        <v>46</v>
      </c>
      <c r="X30" t="s">
        <v>50</v>
      </c>
      <c r="Y30" t="s">
        <v>42</v>
      </c>
      <c r="Z30">
        <v>1</v>
      </c>
      <c r="AA30">
        <v>2</v>
      </c>
      <c r="AB30">
        <v>0</v>
      </c>
      <c r="AC30" t="s">
        <v>43</v>
      </c>
      <c r="AD30" t="s">
        <v>43</v>
      </c>
      <c r="AE30">
        <f t="shared" si="12"/>
        <v>1</v>
      </c>
      <c r="AF30" t="s">
        <v>44</v>
      </c>
      <c r="AG30">
        <f t="shared" si="13"/>
        <v>0</v>
      </c>
      <c r="AH30" t="s">
        <v>43</v>
      </c>
      <c r="AI30" t="s">
        <v>43</v>
      </c>
      <c r="AJ30" t="s">
        <v>43</v>
      </c>
      <c r="AK30" t="s">
        <v>43</v>
      </c>
      <c r="AL30">
        <f t="shared" si="14"/>
        <v>1</v>
      </c>
      <c r="AM30" t="s">
        <v>44</v>
      </c>
      <c r="AN30">
        <v>5</v>
      </c>
      <c r="AO30">
        <v>3</v>
      </c>
      <c r="AP30">
        <v>3</v>
      </c>
      <c r="AQ30">
        <v>1</v>
      </c>
      <c r="AR30">
        <v>1</v>
      </c>
      <c r="AS30">
        <v>5</v>
      </c>
      <c r="AT30">
        <v>4</v>
      </c>
      <c r="AV30">
        <v>11</v>
      </c>
      <c r="AW30">
        <v>11</v>
      </c>
      <c r="AX30">
        <v>11</v>
      </c>
    </row>
    <row r="31" spans="1:53" x14ac:dyDescent="0.2">
      <c r="A31" t="s">
        <v>34</v>
      </c>
      <c r="B31" t="s">
        <v>51</v>
      </c>
      <c r="C31">
        <v>16</v>
      </c>
      <c r="D31" t="s">
        <v>36</v>
      </c>
      <c r="E31" t="s">
        <v>37</v>
      </c>
      <c r="F31" t="s">
        <v>45</v>
      </c>
      <c r="G31">
        <f t="shared" si="5"/>
        <v>1</v>
      </c>
      <c r="H31">
        <v>4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1</v>
      </c>
      <c r="N31">
        <v>4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1</v>
      </c>
      <c r="T31">
        <f t="shared" si="11"/>
        <v>1</v>
      </c>
      <c r="V31" t="s">
        <v>40</v>
      </c>
      <c r="W31" t="s">
        <v>40</v>
      </c>
      <c r="X31" t="s">
        <v>50</v>
      </c>
      <c r="Y31" t="s">
        <v>42</v>
      </c>
      <c r="Z31">
        <v>1</v>
      </c>
      <c r="AA31">
        <v>2</v>
      </c>
      <c r="AB31">
        <v>0</v>
      </c>
      <c r="AC31" t="s">
        <v>44</v>
      </c>
      <c r="AD31" t="s">
        <v>43</v>
      </c>
      <c r="AE31">
        <f t="shared" si="12"/>
        <v>1</v>
      </c>
      <c r="AF31" t="s">
        <v>43</v>
      </c>
      <c r="AG31">
        <f t="shared" si="13"/>
        <v>1</v>
      </c>
      <c r="AH31" t="s">
        <v>43</v>
      </c>
      <c r="AI31" t="s">
        <v>43</v>
      </c>
      <c r="AJ31" t="s">
        <v>43</v>
      </c>
      <c r="AK31" t="s">
        <v>43</v>
      </c>
      <c r="AL31">
        <f t="shared" si="14"/>
        <v>1</v>
      </c>
      <c r="AM31" t="s">
        <v>43</v>
      </c>
      <c r="AN31">
        <v>4</v>
      </c>
      <c r="AO31">
        <v>4</v>
      </c>
      <c r="AP31">
        <v>5</v>
      </c>
      <c r="AQ31">
        <v>5</v>
      </c>
      <c r="AR31">
        <v>5</v>
      </c>
      <c r="AS31">
        <v>5</v>
      </c>
      <c r="AT31">
        <v>16</v>
      </c>
      <c r="AV31">
        <v>10</v>
      </c>
      <c r="AW31">
        <v>12</v>
      </c>
      <c r="AX31">
        <v>11</v>
      </c>
    </row>
    <row r="32" spans="1:53" x14ac:dyDescent="0.2">
      <c r="A32" t="s">
        <v>34</v>
      </c>
      <c r="B32" t="s">
        <v>51</v>
      </c>
      <c r="C32">
        <v>15</v>
      </c>
      <c r="D32" t="s">
        <v>36</v>
      </c>
      <c r="E32" t="s">
        <v>37</v>
      </c>
      <c r="F32" t="s">
        <v>45</v>
      </c>
      <c r="G32">
        <f t="shared" si="5"/>
        <v>1</v>
      </c>
      <c r="H32">
        <v>4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1</v>
      </c>
      <c r="N32">
        <v>4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1</v>
      </c>
      <c r="T32">
        <f t="shared" si="11"/>
        <v>1</v>
      </c>
      <c r="V32" t="s">
        <v>29</v>
      </c>
      <c r="W32" t="s">
        <v>49</v>
      </c>
      <c r="X32" t="s">
        <v>50</v>
      </c>
      <c r="Y32" t="s">
        <v>42</v>
      </c>
      <c r="Z32">
        <v>1</v>
      </c>
      <c r="AA32">
        <v>2</v>
      </c>
      <c r="AB32">
        <v>0</v>
      </c>
      <c r="AC32" t="s">
        <v>44</v>
      </c>
      <c r="AD32" t="s">
        <v>43</v>
      </c>
      <c r="AE32">
        <f t="shared" si="12"/>
        <v>1</v>
      </c>
      <c r="AF32" t="s">
        <v>43</v>
      </c>
      <c r="AG32">
        <f t="shared" si="13"/>
        <v>1</v>
      </c>
      <c r="AH32" t="s">
        <v>44</v>
      </c>
      <c r="AI32" t="s">
        <v>44</v>
      </c>
      <c r="AJ32" t="s">
        <v>43</v>
      </c>
      <c r="AK32" t="s">
        <v>43</v>
      </c>
      <c r="AL32">
        <f t="shared" si="14"/>
        <v>1</v>
      </c>
      <c r="AM32" t="s">
        <v>44</v>
      </c>
      <c r="AN32">
        <v>5</v>
      </c>
      <c r="AO32">
        <v>4</v>
      </c>
      <c r="AP32">
        <v>2</v>
      </c>
      <c r="AQ32">
        <v>3</v>
      </c>
      <c r="AR32">
        <v>4</v>
      </c>
      <c r="AS32">
        <v>5</v>
      </c>
      <c r="AT32">
        <v>0</v>
      </c>
      <c r="AV32">
        <v>9</v>
      </c>
      <c r="AW32">
        <v>11</v>
      </c>
      <c r="AX32">
        <v>12</v>
      </c>
    </row>
    <row r="33" spans="1:50" x14ac:dyDescent="0.2">
      <c r="A33" t="s">
        <v>34</v>
      </c>
      <c r="B33" t="s">
        <v>51</v>
      </c>
      <c r="C33">
        <v>15</v>
      </c>
      <c r="D33" t="s">
        <v>36</v>
      </c>
      <c r="E33" t="s">
        <v>37</v>
      </c>
      <c r="F33" t="s">
        <v>45</v>
      </c>
      <c r="G33">
        <f t="shared" si="5"/>
        <v>1</v>
      </c>
      <c r="H33">
        <v>4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1</v>
      </c>
      <c r="N33">
        <v>4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1</v>
      </c>
      <c r="T33">
        <f t="shared" si="11"/>
        <v>1</v>
      </c>
      <c r="V33" t="s">
        <v>49</v>
      </c>
      <c r="W33" t="s">
        <v>49</v>
      </c>
      <c r="X33" t="s">
        <v>52</v>
      </c>
      <c r="Y33" t="s">
        <v>42</v>
      </c>
      <c r="Z33">
        <v>2</v>
      </c>
      <c r="AA33">
        <v>2</v>
      </c>
      <c r="AB33">
        <v>0</v>
      </c>
      <c r="AC33" t="s">
        <v>44</v>
      </c>
      <c r="AD33" t="s">
        <v>43</v>
      </c>
      <c r="AE33">
        <f t="shared" si="12"/>
        <v>1</v>
      </c>
      <c r="AF33" t="s">
        <v>44</v>
      </c>
      <c r="AG33">
        <f t="shared" si="13"/>
        <v>0</v>
      </c>
      <c r="AH33" t="s">
        <v>43</v>
      </c>
      <c r="AI33" t="s">
        <v>43</v>
      </c>
      <c r="AJ33" t="s">
        <v>43</v>
      </c>
      <c r="AK33" t="s">
        <v>43</v>
      </c>
      <c r="AL33">
        <f t="shared" si="14"/>
        <v>1</v>
      </c>
      <c r="AM33" t="s">
        <v>44</v>
      </c>
      <c r="AN33">
        <v>4</v>
      </c>
      <c r="AO33">
        <v>3</v>
      </c>
      <c r="AP33">
        <v>1</v>
      </c>
      <c r="AQ33">
        <v>1</v>
      </c>
      <c r="AR33">
        <v>1</v>
      </c>
      <c r="AS33">
        <v>5</v>
      </c>
      <c r="AT33">
        <v>0</v>
      </c>
      <c r="AV33">
        <v>17</v>
      </c>
      <c r="AW33">
        <v>16</v>
      </c>
      <c r="AX33">
        <v>17</v>
      </c>
    </row>
    <row r="34" spans="1:50" x14ac:dyDescent="0.2">
      <c r="A34" t="s">
        <v>34</v>
      </c>
      <c r="B34" t="s">
        <v>51</v>
      </c>
      <c r="C34">
        <v>15</v>
      </c>
      <c r="D34" t="s">
        <v>53</v>
      </c>
      <c r="E34" t="s">
        <v>37</v>
      </c>
      <c r="F34" t="s">
        <v>45</v>
      </c>
      <c r="G34">
        <f t="shared" si="5"/>
        <v>1</v>
      </c>
      <c r="H34">
        <v>4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1</v>
      </c>
      <c r="N34">
        <v>3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11"/>
        <v>0</v>
      </c>
      <c r="V34" t="s">
        <v>40</v>
      </c>
      <c r="W34" t="s">
        <v>39</v>
      </c>
      <c r="X34" t="s">
        <v>41</v>
      </c>
      <c r="Y34" t="s">
        <v>42</v>
      </c>
      <c r="Z34">
        <v>1</v>
      </c>
      <c r="AA34">
        <v>2</v>
      </c>
      <c r="AB34">
        <v>0</v>
      </c>
      <c r="AC34" t="s">
        <v>44</v>
      </c>
      <c r="AD34" t="s">
        <v>43</v>
      </c>
      <c r="AE34">
        <f t="shared" si="12"/>
        <v>1</v>
      </c>
      <c r="AF34" t="s">
        <v>44</v>
      </c>
      <c r="AG34">
        <f t="shared" si="13"/>
        <v>0</v>
      </c>
      <c r="AH34" t="s">
        <v>43</v>
      </c>
      <c r="AI34" t="s">
        <v>43</v>
      </c>
      <c r="AJ34" t="s">
        <v>43</v>
      </c>
      <c r="AK34" t="s">
        <v>43</v>
      </c>
      <c r="AL34">
        <f t="shared" si="14"/>
        <v>1</v>
      </c>
      <c r="AM34" t="s">
        <v>43</v>
      </c>
      <c r="AN34">
        <v>4</v>
      </c>
      <c r="AO34">
        <v>5</v>
      </c>
      <c r="AP34">
        <v>2</v>
      </c>
      <c r="AQ34">
        <v>1</v>
      </c>
      <c r="AR34">
        <v>1</v>
      </c>
      <c r="AS34">
        <v>5</v>
      </c>
      <c r="AT34">
        <v>0</v>
      </c>
      <c r="AV34">
        <v>17</v>
      </c>
      <c r="AW34">
        <v>16</v>
      </c>
      <c r="AX34">
        <v>16</v>
      </c>
    </row>
    <row r="35" spans="1:50" x14ac:dyDescent="0.2">
      <c r="A35" t="s">
        <v>34</v>
      </c>
      <c r="B35" t="s">
        <v>51</v>
      </c>
      <c r="C35">
        <v>15</v>
      </c>
      <c r="D35" t="s">
        <v>36</v>
      </c>
      <c r="E35" t="s">
        <v>48</v>
      </c>
      <c r="F35" t="s">
        <v>45</v>
      </c>
      <c r="G35">
        <f t="shared" si="5"/>
        <v>1</v>
      </c>
      <c r="H35">
        <v>3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1</v>
      </c>
      <c r="M35">
        <f t="shared" si="10"/>
        <v>0</v>
      </c>
      <c r="N35">
        <v>3</v>
      </c>
      <c r="O35">
        <f t="shared" si="0"/>
        <v>0</v>
      </c>
      <c r="P35">
        <f t="shared" si="1"/>
        <v>0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11"/>
        <v>0</v>
      </c>
      <c r="V35" t="s">
        <v>46</v>
      </c>
      <c r="W35" t="s">
        <v>46</v>
      </c>
      <c r="X35" t="s">
        <v>41</v>
      </c>
      <c r="Y35" t="s">
        <v>42</v>
      </c>
      <c r="Z35">
        <v>1</v>
      </c>
      <c r="AA35">
        <v>2</v>
      </c>
      <c r="AB35">
        <v>0</v>
      </c>
      <c r="AC35" t="s">
        <v>44</v>
      </c>
      <c r="AD35" t="s">
        <v>44</v>
      </c>
      <c r="AE35">
        <f t="shared" si="12"/>
        <v>0</v>
      </c>
      <c r="AF35" t="s">
        <v>44</v>
      </c>
      <c r="AG35">
        <f t="shared" si="13"/>
        <v>0</v>
      </c>
      <c r="AH35" t="s">
        <v>43</v>
      </c>
      <c r="AI35" t="s">
        <v>44</v>
      </c>
      <c r="AJ35" t="s">
        <v>43</v>
      </c>
      <c r="AK35" t="s">
        <v>43</v>
      </c>
      <c r="AL35">
        <f t="shared" si="14"/>
        <v>1</v>
      </c>
      <c r="AM35" t="s">
        <v>44</v>
      </c>
      <c r="AN35">
        <v>5</v>
      </c>
      <c r="AO35">
        <v>3</v>
      </c>
      <c r="AP35">
        <v>2</v>
      </c>
      <c r="AQ35">
        <v>1</v>
      </c>
      <c r="AR35">
        <v>1</v>
      </c>
      <c r="AS35">
        <v>2</v>
      </c>
      <c r="AT35">
        <v>0</v>
      </c>
      <c r="AV35">
        <v>8</v>
      </c>
      <c r="AW35">
        <v>10</v>
      </c>
      <c r="AX35">
        <v>12</v>
      </c>
    </row>
    <row r="36" spans="1:50" x14ac:dyDescent="0.2">
      <c r="A36" t="s">
        <v>34</v>
      </c>
      <c r="B36" t="s">
        <v>51</v>
      </c>
      <c r="C36">
        <v>16</v>
      </c>
      <c r="D36" t="s">
        <v>36</v>
      </c>
      <c r="E36" t="s">
        <v>37</v>
      </c>
      <c r="F36" t="s">
        <v>45</v>
      </c>
      <c r="G36">
        <f t="shared" si="5"/>
        <v>1</v>
      </c>
      <c r="H36">
        <v>3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1</v>
      </c>
      <c r="M36">
        <f t="shared" si="10"/>
        <v>0</v>
      </c>
      <c r="N36">
        <v>2</v>
      </c>
      <c r="O36">
        <f t="shared" si="0"/>
        <v>0</v>
      </c>
      <c r="P36">
        <f t="shared" si="1"/>
        <v>0</v>
      </c>
      <c r="Q36">
        <f t="shared" si="2"/>
        <v>1</v>
      </c>
      <c r="R36">
        <f t="shared" si="3"/>
        <v>0</v>
      </c>
      <c r="S36">
        <f t="shared" si="4"/>
        <v>0</v>
      </c>
      <c r="T36">
        <f t="shared" si="11"/>
        <v>0</v>
      </c>
      <c r="V36" t="s">
        <v>46</v>
      </c>
      <c r="W36" t="s">
        <v>46</v>
      </c>
      <c r="X36" t="s">
        <v>50</v>
      </c>
      <c r="Y36" t="s">
        <v>42</v>
      </c>
      <c r="Z36">
        <v>1</v>
      </c>
      <c r="AA36">
        <v>1</v>
      </c>
      <c r="AB36">
        <v>0</v>
      </c>
      <c r="AC36" t="s">
        <v>44</v>
      </c>
      <c r="AD36" t="s">
        <v>43</v>
      </c>
      <c r="AE36">
        <f t="shared" si="12"/>
        <v>1</v>
      </c>
      <c r="AF36" t="s">
        <v>43</v>
      </c>
      <c r="AG36">
        <f t="shared" si="13"/>
        <v>1</v>
      </c>
      <c r="AH36" t="s">
        <v>44</v>
      </c>
      <c r="AI36" t="s">
        <v>44</v>
      </c>
      <c r="AJ36" t="s">
        <v>43</v>
      </c>
      <c r="AK36" t="s">
        <v>43</v>
      </c>
      <c r="AL36">
        <f t="shared" si="14"/>
        <v>1</v>
      </c>
      <c r="AM36" t="s">
        <v>44</v>
      </c>
      <c r="AN36">
        <v>5</v>
      </c>
      <c r="AO36">
        <v>4</v>
      </c>
      <c r="AP36">
        <v>3</v>
      </c>
      <c r="AQ36">
        <v>1</v>
      </c>
      <c r="AR36">
        <v>1</v>
      </c>
      <c r="AS36">
        <v>5</v>
      </c>
      <c r="AT36">
        <v>0</v>
      </c>
      <c r="AV36">
        <v>12</v>
      </c>
      <c r="AW36">
        <v>14</v>
      </c>
      <c r="AX36">
        <v>15</v>
      </c>
    </row>
    <row r="37" spans="1:50" x14ac:dyDescent="0.2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f t="shared" si="5"/>
        <v>1</v>
      </c>
      <c r="H37">
        <v>2</v>
      </c>
      <c r="I37">
        <f t="shared" si="6"/>
        <v>0</v>
      </c>
      <c r="J37">
        <f t="shared" si="7"/>
        <v>0</v>
      </c>
      <c r="K37">
        <f t="shared" si="8"/>
        <v>1</v>
      </c>
      <c r="L37">
        <f t="shared" si="9"/>
        <v>0</v>
      </c>
      <c r="M37">
        <f t="shared" si="10"/>
        <v>0</v>
      </c>
      <c r="N37">
        <v>3</v>
      </c>
      <c r="O37">
        <f t="shared" si="0"/>
        <v>0</v>
      </c>
      <c r="P37">
        <f t="shared" si="1"/>
        <v>0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11"/>
        <v>0</v>
      </c>
      <c r="V37" t="s">
        <v>46</v>
      </c>
      <c r="W37" t="s">
        <v>46</v>
      </c>
      <c r="X37" t="s">
        <v>46</v>
      </c>
      <c r="Y37" t="s">
        <v>47</v>
      </c>
      <c r="Z37">
        <v>2</v>
      </c>
      <c r="AA37">
        <v>1</v>
      </c>
      <c r="AB37">
        <v>0</v>
      </c>
      <c r="AC37" t="s">
        <v>44</v>
      </c>
      <c r="AD37" t="s">
        <v>43</v>
      </c>
      <c r="AE37">
        <f t="shared" si="12"/>
        <v>1</v>
      </c>
      <c r="AF37" t="s">
        <v>44</v>
      </c>
      <c r="AG37">
        <f t="shared" si="13"/>
        <v>0</v>
      </c>
      <c r="AH37" t="s">
        <v>43</v>
      </c>
      <c r="AI37" t="s">
        <v>43</v>
      </c>
      <c r="AJ37" t="s">
        <v>43</v>
      </c>
      <c r="AK37" t="s">
        <v>44</v>
      </c>
      <c r="AL37">
        <f t="shared" si="14"/>
        <v>0</v>
      </c>
      <c r="AM37" t="s">
        <v>44</v>
      </c>
      <c r="AN37">
        <v>3</v>
      </c>
      <c r="AO37">
        <v>5</v>
      </c>
      <c r="AP37">
        <v>1</v>
      </c>
      <c r="AQ37">
        <v>1</v>
      </c>
      <c r="AR37">
        <v>1</v>
      </c>
      <c r="AS37">
        <v>5</v>
      </c>
      <c r="AT37">
        <v>0</v>
      </c>
      <c r="AV37">
        <v>8</v>
      </c>
      <c r="AW37">
        <v>7</v>
      </c>
      <c r="AX37">
        <v>6</v>
      </c>
    </row>
    <row r="38" spans="1:50" x14ac:dyDescent="0.2">
      <c r="A38" t="s">
        <v>34</v>
      </c>
      <c r="B38" t="s">
        <v>51</v>
      </c>
      <c r="C38">
        <v>15</v>
      </c>
      <c r="D38" t="s">
        <v>36</v>
      </c>
      <c r="E38" t="s">
        <v>48</v>
      </c>
      <c r="F38" t="s">
        <v>45</v>
      </c>
      <c r="G38">
        <f t="shared" si="5"/>
        <v>1</v>
      </c>
      <c r="H38">
        <v>4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1</v>
      </c>
      <c r="N38">
        <v>3</v>
      </c>
      <c r="O38">
        <f t="shared" si="0"/>
        <v>0</v>
      </c>
      <c r="P38">
        <f t="shared" si="1"/>
        <v>0</v>
      </c>
      <c r="Q38">
        <f t="shared" si="2"/>
        <v>0</v>
      </c>
      <c r="R38">
        <f t="shared" si="3"/>
        <v>1</v>
      </c>
      <c r="S38">
        <f t="shared" si="4"/>
        <v>0</v>
      </c>
      <c r="T38">
        <f t="shared" si="11"/>
        <v>0</v>
      </c>
      <c r="V38" t="s">
        <v>40</v>
      </c>
      <c r="W38" t="s">
        <v>49</v>
      </c>
      <c r="X38" t="s">
        <v>50</v>
      </c>
      <c r="Y38" t="s">
        <v>42</v>
      </c>
      <c r="Z38">
        <v>1</v>
      </c>
      <c r="AA38">
        <v>3</v>
      </c>
      <c r="AB38">
        <v>0</v>
      </c>
      <c r="AC38" t="s">
        <v>44</v>
      </c>
      <c r="AD38" t="s">
        <v>43</v>
      </c>
      <c r="AE38">
        <f t="shared" si="12"/>
        <v>1</v>
      </c>
      <c r="AF38" t="s">
        <v>44</v>
      </c>
      <c r="AG38">
        <f t="shared" si="13"/>
        <v>0</v>
      </c>
      <c r="AH38" t="s">
        <v>43</v>
      </c>
      <c r="AI38" t="s">
        <v>43</v>
      </c>
      <c r="AJ38" t="s">
        <v>43</v>
      </c>
      <c r="AK38" t="s">
        <v>43</v>
      </c>
      <c r="AL38">
        <f t="shared" si="14"/>
        <v>1</v>
      </c>
      <c r="AM38" t="s">
        <v>44</v>
      </c>
      <c r="AN38">
        <v>5</v>
      </c>
      <c r="AO38">
        <v>4</v>
      </c>
      <c r="AP38">
        <v>3</v>
      </c>
      <c r="AQ38">
        <v>1</v>
      </c>
      <c r="AR38">
        <v>1</v>
      </c>
      <c r="AS38">
        <v>4</v>
      </c>
      <c r="AT38">
        <v>2</v>
      </c>
      <c r="AV38">
        <v>15</v>
      </c>
      <c r="AW38">
        <v>16</v>
      </c>
      <c r="AX38">
        <v>18</v>
      </c>
    </row>
    <row r="39" spans="1:50" x14ac:dyDescent="0.2">
      <c r="A39" t="s">
        <v>34</v>
      </c>
      <c r="B39" t="s">
        <v>51</v>
      </c>
      <c r="C39">
        <v>16</v>
      </c>
      <c r="D39" t="s">
        <v>53</v>
      </c>
      <c r="E39" t="s">
        <v>37</v>
      </c>
      <c r="F39" t="s">
        <v>38</v>
      </c>
      <c r="G39">
        <f t="shared" si="5"/>
        <v>0</v>
      </c>
      <c r="H39">
        <v>4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1</v>
      </c>
      <c r="N39">
        <v>4</v>
      </c>
      <c r="O39">
        <f t="shared" si="0"/>
        <v>0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11"/>
        <v>1</v>
      </c>
      <c r="V39" t="s">
        <v>46</v>
      </c>
      <c r="W39" t="s">
        <v>40</v>
      </c>
      <c r="X39" t="s">
        <v>52</v>
      </c>
      <c r="Y39" t="s">
        <v>42</v>
      </c>
      <c r="Z39">
        <v>2</v>
      </c>
      <c r="AA39">
        <v>3</v>
      </c>
      <c r="AB39">
        <v>0</v>
      </c>
      <c r="AC39" t="s">
        <v>44</v>
      </c>
      <c r="AD39" t="s">
        <v>43</v>
      </c>
      <c r="AE39">
        <f t="shared" si="12"/>
        <v>1</v>
      </c>
      <c r="AF39" t="s">
        <v>44</v>
      </c>
      <c r="AG39">
        <f t="shared" si="13"/>
        <v>0</v>
      </c>
      <c r="AH39" t="s">
        <v>43</v>
      </c>
      <c r="AI39" t="s">
        <v>43</v>
      </c>
      <c r="AJ39" t="s">
        <v>43</v>
      </c>
      <c r="AK39" t="s">
        <v>43</v>
      </c>
      <c r="AL39">
        <f t="shared" si="14"/>
        <v>1</v>
      </c>
      <c r="AM39" t="s">
        <v>43</v>
      </c>
      <c r="AN39">
        <v>2</v>
      </c>
      <c r="AO39">
        <v>4</v>
      </c>
      <c r="AP39">
        <v>3</v>
      </c>
      <c r="AQ39">
        <v>1</v>
      </c>
      <c r="AR39">
        <v>1</v>
      </c>
      <c r="AS39">
        <v>5</v>
      </c>
      <c r="AT39">
        <v>7</v>
      </c>
      <c r="AV39">
        <v>15</v>
      </c>
      <c r="AW39">
        <v>16</v>
      </c>
      <c r="AX39">
        <v>15</v>
      </c>
    </row>
    <row r="40" spans="1:50" x14ac:dyDescent="0.2">
      <c r="A40" t="s">
        <v>34</v>
      </c>
      <c r="B40" t="s">
        <v>35</v>
      </c>
      <c r="C40">
        <v>15</v>
      </c>
      <c r="D40" t="s">
        <v>53</v>
      </c>
      <c r="E40" t="s">
        <v>37</v>
      </c>
      <c r="F40" t="s">
        <v>45</v>
      </c>
      <c r="G40">
        <f t="shared" si="5"/>
        <v>1</v>
      </c>
      <c r="H40">
        <v>3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1</v>
      </c>
      <c r="M40">
        <f t="shared" si="10"/>
        <v>0</v>
      </c>
      <c r="N40">
        <v>4</v>
      </c>
      <c r="O40">
        <f t="shared" si="0"/>
        <v>0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11"/>
        <v>0</v>
      </c>
      <c r="V40" t="s">
        <v>49</v>
      </c>
      <c r="W40" t="s">
        <v>29</v>
      </c>
      <c r="X40" t="s">
        <v>41</v>
      </c>
      <c r="Y40" t="s">
        <v>42</v>
      </c>
      <c r="Z40">
        <v>1</v>
      </c>
      <c r="AA40">
        <v>3</v>
      </c>
      <c r="AB40">
        <v>0</v>
      </c>
      <c r="AC40" t="s">
        <v>43</v>
      </c>
      <c r="AD40" t="s">
        <v>43</v>
      </c>
      <c r="AE40">
        <f t="shared" si="12"/>
        <v>1</v>
      </c>
      <c r="AF40" t="s">
        <v>43</v>
      </c>
      <c r="AG40">
        <f t="shared" si="13"/>
        <v>1</v>
      </c>
      <c r="AH40" t="s">
        <v>43</v>
      </c>
      <c r="AI40" t="s">
        <v>43</v>
      </c>
      <c r="AJ40" t="s">
        <v>43</v>
      </c>
      <c r="AK40" t="s">
        <v>43</v>
      </c>
      <c r="AL40">
        <f t="shared" si="14"/>
        <v>1</v>
      </c>
      <c r="AM40" t="s">
        <v>44</v>
      </c>
      <c r="AN40">
        <v>4</v>
      </c>
      <c r="AO40">
        <v>3</v>
      </c>
      <c r="AP40">
        <v>2</v>
      </c>
      <c r="AQ40">
        <v>1</v>
      </c>
      <c r="AR40">
        <v>1</v>
      </c>
      <c r="AS40">
        <v>5</v>
      </c>
      <c r="AT40">
        <v>2</v>
      </c>
      <c r="AV40">
        <v>12</v>
      </c>
      <c r="AW40">
        <v>12</v>
      </c>
      <c r="AX40">
        <v>11</v>
      </c>
    </row>
    <row r="41" spans="1:50" x14ac:dyDescent="0.2">
      <c r="A41" t="s">
        <v>34</v>
      </c>
      <c r="B41" t="s">
        <v>35</v>
      </c>
      <c r="C41">
        <v>15</v>
      </c>
      <c r="D41" t="s">
        <v>53</v>
      </c>
      <c r="E41" t="s">
        <v>37</v>
      </c>
      <c r="F41" t="s">
        <v>45</v>
      </c>
      <c r="G41">
        <f t="shared" si="5"/>
        <v>1</v>
      </c>
      <c r="H41">
        <v>2</v>
      </c>
      <c r="I41">
        <f t="shared" si="6"/>
        <v>0</v>
      </c>
      <c r="J41">
        <f t="shared" si="7"/>
        <v>0</v>
      </c>
      <c r="K41">
        <f t="shared" si="8"/>
        <v>1</v>
      </c>
      <c r="L41">
        <f t="shared" si="9"/>
        <v>0</v>
      </c>
      <c r="M41">
        <f t="shared" si="10"/>
        <v>0</v>
      </c>
      <c r="N41">
        <v>2</v>
      </c>
      <c r="O41">
        <f t="shared" si="0"/>
        <v>0</v>
      </c>
      <c r="P41">
        <f t="shared" si="1"/>
        <v>0</v>
      </c>
      <c r="Q41">
        <f t="shared" si="2"/>
        <v>1</v>
      </c>
      <c r="R41">
        <f t="shared" si="3"/>
        <v>0</v>
      </c>
      <c r="S41">
        <f t="shared" si="4"/>
        <v>0</v>
      </c>
      <c r="T41">
        <f t="shared" si="11"/>
        <v>0</v>
      </c>
      <c r="V41" t="s">
        <v>39</v>
      </c>
      <c r="W41" t="s">
        <v>46</v>
      </c>
      <c r="X41" t="s">
        <v>52</v>
      </c>
      <c r="Y41" t="s">
        <v>42</v>
      </c>
      <c r="Z41">
        <v>1</v>
      </c>
      <c r="AA41">
        <v>1</v>
      </c>
      <c r="AB41">
        <v>0</v>
      </c>
      <c r="AC41" t="s">
        <v>43</v>
      </c>
      <c r="AD41" t="s">
        <v>43</v>
      </c>
      <c r="AE41">
        <f t="shared" si="12"/>
        <v>1</v>
      </c>
      <c r="AF41" t="s">
        <v>43</v>
      </c>
      <c r="AG41">
        <f t="shared" si="13"/>
        <v>1</v>
      </c>
      <c r="AH41" t="s">
        <v>43</v>
      </c>
      <c r="AI41" t="s">
        <v>43</v>
      </c>
      <c r="AJ41" t="s">
        <v>43</v>
      </c>
      <c r="AK41" t="s">
        <v>44</v>
      </c>
      <c r="AL41">
        <f t="shared" si="14"/>
        <v>0</v>
      </c>
      <c r="AM41" t="s">
        <v>44</v>
      </c>
      <c r="AN41">
        <v>4</v>
      </c>
      <c r="AO41">
        <v>3</v>
      </c>
      <c r="AP41">
        <v>1</v>
      </c>
      <c r="AQ41">
        <v>1</v>
      </c>
      <c r="AR41">
        <v>1</v>
      </c>
      <c r="AS41">
        <v>2</v>
      </c>
      <c r="AT41">
        <v>8</v>
      </c>
      <c r="AV41">
        <v>14</v>
      </c>
      <c r="AW41">
        <v>13</v>
      </c>
      <c r="AX41">
        <v>13</v>
      </c>
    </row>
    <row r="42" spans="1:50" x14ac:dyDescent="0.2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f t="shared" si="5"/>
        <v>1</v>
      </c>
      <c r="H42">
        <v>2</v>
      </c>
      <c r="I42">
        <f t="shared" si="6"/>
        <v>0</v>
      </c>
      <c r="J42">
        <f t="shared" si="7"/>
        <v>0</v>
      </c>
      <c r="K42">
        <f t="shared" si="8"/>
        <v>1</v>
      </c>
      <c r="L42">
        <f t="shared" si="9"/>
        <v>0</v>
      </c>
      <c r="M42">
        <f t="shared" si="10"/>
        <v>0</v>
      </c>
      <c r="N42">
        <v>2</v>
      </c>
      <c r="O42">
        <f t="shared" si="0"/>
        <v>0</v>
      </c>
      <c r="P42">
        <f t="shared" si="1"/>
        <v>0</v>
      </c>
      <c r="Q42">
        <f t="shared" si="2"/>
        <v>1</v>
      </c>
      <c r="R42">
        <f t="shared" si="3"/>
        <v>0</v>
      </c>
      <c r="S42">
        <f t="shared" si="4"/>
        <v>0</v>
      </c>
      <c r="T42">
        <f t="shared" si="11"/>
        <v>0</v>
      </c>
      <c r="V42" t="s">
        <v>46</v>
      </c>
      <c r="W42" t="s">
        <v>46</v>
      </c>
      <c r="X42" t="s">
        <v>50</v>
      </c>
      <c r="Y42" t="s">
        <v>42</v>
      </c>
      <c r="Z42">
        <v>2</v>
      </c>
      <c r="AA42">
        <v>2</v>
      </c>
      <c r="AB42">
        <v>1</v>
      </c>
      <c r="AC42" t="s">
        <v>44</v>
      </c>
      <c r="AD42" t="s">
        <v>43</v>
      </c>
      <c r="AE42">
        <f t="shared" si="12"/>
        <v>1</v>
      </c>
      <c r="AF42" t="s">
        <v>44</v>
      </c>
      <c r="AG42">
        <f t="shared" si="13"/>
        <v>0</v>
      </c>
      <c r="AH42" t="s">
        <v>43</v>
      </c>
      <c r="AI42" t="s">
        <v>44</v>
      </c>
      <c r="AJ42" t="s">
        <v>43</v>
      </c>
      <c r="AK42" t="s">
        <v>43</v>
      </c>
      <c r="AL42">
        <f t="shared" si="14"/>
        <v>1</v>
      </c>
      <c r="AM42" t="s">
        <v>43</v>
      </c>
      <c r="AN42">
        <v>3</v>
      </c>
      <c r="AO42">
        <v>3</v>
      </c>
      <c r="AP42">
        <v>3</v>
      </c>
      <c r="AQ42">
        <v>1</v>
      </c>
      <c r="AR42">
        <v>2</v>
      </c>
      <c r="AS42">
        <v>3</v>
      </c>
      <c r="AT42">
        <v>25</v>
      </c>
      <c r="AV42">
        <v>7</v>
      </c>
      <c r="AW42">
        <v>10</v>
      </c>
      <c r="AX42">
        <v>11</v>
      </c>
    </row>
    <row r="43" spans="1:50" x14ac:dyDescent="0.2">
      <c r="A43" t="s">
        <v>34</v>
      </c>
      <c r="B43" t="s">
        <v>51</v>
      </c>
      <c r="C43">
        <v>15</v>
      </c>
      <c r="D43" t="s">
        <v>36</v>
      </c>
      <c r="E43" t="s">
        <v>48</v>
      </c>
      <c r="F43" t="s">
        <v>45</v>
      </c>
      <c r="G43">
        <f t="shared" si="5"/>
        <v>1</v>
      </c>
      <c r="H43">
        <v>4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1</v>
      </c>
      <c r="N43">
        <v>4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1</v>
      </c>
      <c r="T43">
        <f t="shared" si="11"/>
        <v>1</v>
      </c>
      <c r="V43" t="s">
        <v>40</v>
      </c>
      <c r="W43" t="s">
        <v>46</v>
      </c>
      <c r="X43" t="s">
        <v>50</v>
      </c>
      <c r="Y43" t="s">
        <v>46</v>
      </c>
      <c r="Z43">
        <v>1</v>
      </c>
      <c r="AA43">
        <v>1</v>
      </c>
      <c r="AB43">
        <v>0</v>
      </c>
      <c r="AC43" t="s">
        <v>44</v>
      </c>
      <c r="AD43" t="s">
        <v>43</v>
      </c>
      <c r="AE43">
        <f t="shared" si="12"/>
        <v>1</v>
      </c>
      <c r="AF43" t="s">
        <v>44</v>
      </c>
      <c r="AG43">
        <f t="shared" si="13"/>
        <v>0</v>
      </c>
      <c r="AH43" t="s">
        <v>44</v>
      </c>
      <c r="AI43" t="s">
        <v>44</v>
      </c>
      <c r="AJ43" t="s">
        <v>43</v>
      </c>
      <c r="AK43" t="s">
        <v>43</v>
      </c>
      <c r="AL43">
        <f t="shared" si="14"/>
        <v>1</v>
      </c>
      <c r="AM43" t="s">
        <v>43</v>
      </c>
      <c r="AN43">
        <v>5</v>
      </c>
      <c r="AO43">
        <v>4</v>
      </c>
      <c r="AP43">
        <v>3</v>
      </c>
      <c r="AQ43">
        <v>2</v>
      </c>
      <c r="AR43">
        <v>4</v>
      </c>
      <c r="AS43">
        <v>5</v>
      </c>
      <c r="AT43">
        <v>8</v>
      </c>
      <c r="AV43">
        <v>12</v>
      </c>
      <c r="AW43">
        <v>12</v>
      </c>
      <c r="AX43">
        <v>12</v>
      </c>
    </row>
    <row r="44" spans="1:50" x14ac:dyDescent="0.2">
      <c r="A44" t="s">
        <v>34</v>
      </c>
      <c r="B44" t="s">
        <v>51</v>
      </c>
      <c r="C44">
        <v>15</v>
      </c>
      <c r="D44" t="s">
        <v>36</v>
      </c>
      <c r="E44" t="s">
        <v>37</v>
      </c>
      <c r="F44" t="s">
        <v>45</v>
      </c>
      <c r="G44">
        <f t="shared" si="5"/>
        <v>1</v>
      </c>
      <c r="H44">
        <v>4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1</v>
      </c>
      <c r="N44">
        <v>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1</v>
      </c>
      <c r="T44">
        <f t="shared" si="11"/>
        <v>1</v>
      </c>
      <c r="V44" t="s">
        <v>49</v>
      </c>
      <c r="W44" t="s">
        <v>40</v>
      </c>
      <c r="X44" t="s">
        <v>41</v>
      </c>
      <c r="Y44" t="s">
        <v>47</v>
      </c>
      <c r="Z44">
        <v>1</v>
      </c>
      <c r="AA44">
        <v>2</v>
      </c>
      <c r="AB44">
        <v>0</v>
      </c>
      <c r="AC44" t="s">
        <v>44</v>
      </c>
      <c r="AD44" t="s">
        <v>43</v>
      </c>
      <c r="AE44">
        <f t="shared" si="12"/>
        <v>1</v>
      </c>
      <c r="AF44" t="s">
        <v>44</v>
      </c>
      <c r="AG44">
        <f t="shared" si="13"/>
        <v>0</v>
      </c>
      <c r="AH44" t="s">
        <v>43</v>
      </c>
      <c r="AI44" t="s">
        <v>43</v>
      </c>
      <c r="AJ44" t="s">
        <v>43</v>
      </c>
      <c r="AK44" t="s">
        <v>43</v>
      </c>
      <c r="AL44">
        <f t="shared" si="14"/>
        <v>1</v>
      </c>
      <c r="AM44" t="s">
        <v>44</v>
      </c>
      <c r="AN44">
        <v>4</v>
      </c>
      <c r="AO44">
        <v>3</v>
      </c>
      <c r="AP44">
        <v>3</v>
      </c>
      <c r="AQ44">
        <v>1</v>
      </c>
      <c r="AR44">
        <v>1</v>
      </c>
      <c r="AS44">
        <v>5</v>
      </c>
      <c r="AT44">
        <v>2</v>
      </c>
      <c r="AV44">
        <v>19</v>
      </c>
      <c r="AW44">
        <v>18</v>
      </c>
      <c r="AX44">
        <v>18</v>
      </c>
    </row>
    <row r="45" spans="1:50" x14ac:dyDescent="0.2">
      <c r="A45" t="s">
        <v>34</v>
      </c>
      <c r="B45" t="s">
        <v>51</v>
      </c>
      <c r="C45">
        <v>15</v>
      </c>
      <c r="D45" t="s">
        <v>36</v>
      </c>
      <c r="E45" t="s">
        <v>37</v>
      </c>
      <c r="F45" t="s">
        <v>45</v>
      </c>
      <c r="G45">
        <f t="shared" si="5"/>
        <v>1</v>
      </c>
      <c r="H45">
        <v>2</v>
      </c>
      <c r="I45">
        <f t="shared" si="6"/>
        <v>0</v>
      </c>
      <c r="J45">
        <f t="shared" si="7"/>
        <v>0</v>
      </c>
      <c r="K45">
        <f t="shared" si="8"/>
        <v>1</v>
      </c>
      <c r="L45">
        <f t="shared" si="9"/>
        <v>0</v>
      </c>
      <c r="M45">
        <f t="shared" si="10"/>
        <v>0</v>
      </c>
      <c r="N45">
        <v>2</v>
      </c>
      <c r="O45">
        <f t="shared" si="0"/>
        <v>0</v>
      </c>
      <c r="P45">
        <f t="shared" si="1"/>
        <v>0</v>
      </c>
      <c r="Q45">
        <f t="shared" si="2"/>
        <v>1</v>
      </c>
      <c r="R45">
        <f t="shared" si="3"/>
        <v>0</v>
      </c>
      <c r="S45">
        <f t="shared" si="4"/>
        <v>0</v>
      </c>
      <c r="T45">
        <f t="shared" si="11"/>
        <v>0</v>
      </c>
      <c r="V45" t="s">
        <v>49</v>
      </c>
      <c r="W45" t="s">
        <v>49</v>
      </c>
      <c r="X45" t="s">
        <v>41</v>
      </c>
      <c r="Y45" t="s">
        <v>47</v>
      </c>
      <c r="Z45">
        <v>1</v>
      </c>
      <c r="AA45">
        <v>1</v>
      </c>
      <c r="AB45">
        <v>0</v>
      </c>
      <c r="AC45" t="s">
        <v>43</v>
      </c>
      <c r="AD45" t="s">
        <v>43</v>
      </c>
      <c r="AE45">
        <f t="shared" si="12"/>
        <v>1</v>
      </c>
      <c r="AF45" t="s">
        <v>44</v>
      </c>
      <c r="AG45">
        <f t="shared" si="13"/>
        <v>0</v>
      </c>
      <c r="AH45" t="s">
        <v>44</v>
      </c>
      <c r="AI45" t="s">
        <v>43</v>
      </c>
      <c r="AJ45" t="s">
        <v>43</v>
      </c>
      <c r="AK45" t="s">
        <v>43</v>
      </c>
      <c r="AL45">
        <f t="shared" si="14"/>
        <v>1</v>
      </c>
      <c r="AM45" t="s">
        <v>44</v>
      </c>
      <c r="AN45">
        <v>5</v>
      </c>
      <c r="AO45">
        <v>4</v>
      </c>
      <c r="AP45">
        <v>1</v>
      </c>
      <c r="AQ45">
        <v>1</v>
      </c>
      <c r="AR45">
        <v>1</v>
      </c>
      <c r="AS45">
        <v>1</v>
      </c>
      <c r="AT45">
        <v>0</v>
      </c>
      <c r="AV45">
        <v>8</v>
      </c>
      <c r="AW45">
        <v>8</v>
      </c>
      <c r="AX45">
        <v>11</v>
      </c>
    </row>
    <row r="46" spans="1:50" x14ac:dyDescent="0.2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f t="shared" si="5"/>
        <v>1</v>
      </c>
      <c r="H46">
        <v>2</v>
      </c>
      <c r="I46">
        <f t="shared" si="6"/>
        <v>0</v>
      </c>
      <c r="J46">
        <f t="shared" si="7"/>
        <v>0</v>
      </c>
      <c r="K46">
        <f t="shared" si="8"/>
        <v>1</v>
      </c>
      <c r="L46">
        <f t="shared" si="9"/>
        <v>0</v>
      </c>
      <c r="M46">
        <f t="shared" si="10"/>
        <v>0</v>
      </c>
      <c r="N46">
        <v>2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11"/>
        <v>0</v>
      </c>
      <c r="V46" t="s">
        <v>46</v>
      </c>
      <c r="W46" t="s">
        <v>39</v>
      </c>
      <c r="X46" t="s">
        <v>41</v>
      </c>
      <c r="Y46" t="s">
        <v>47</v>
      </c>
      <c r="Z46">
        <v>2</v>
      </c>
      <c r="AA46">
        <v>2</v>
      </c>
      <c r="AB46">
        <v>1</v>
      </c>
      <c r="AC46" t="s">
        <v>43</v>
      </c>
      <c r="AD46" t="s">
        <v>44</v>
      </c>
      <c r="AE46">
        <f t="shared" si="12"/>
        <v>0</v>
      </c>
      <c r="AF46" t="s">
        <v>44</v>
      </c>
      <c r="AG46">
        <f t="shared" si="13"/>
        <v>0</v>
      </c>
      <c r="AH46" t="s">
        <v>43</v>
      </c>
      <c r="AI46" t="s">
        <v>43</v>
      </c>
      <c r="AJ46" t="s">
        <v>43</v>
      </c>
      <c r="AK46" t="s">
        <v>43</v>
      </c>
      <c r="AL46">
        <f t="shared" si="14"/>
        <v>1</v>
      </c>
      <c r="AM46" t="s">
        <v>44</v>
      </c>
      <c r="AN46">
        <v>4</v>
      </c>
      <c r="AO46">
        <v>3</v>
      </c>
      <c r="AP46">
        <v>3</v>
      </c>
      <c r="AQ46">
        <v>2</v>
      </c>
      <c r="AR46">
        <v>2</v>
      </c>
      <c r="AS46">
        <v>5</v>
      </c>
      <c r="AT46">
        <v>14</v>
      </c>
      <c r="AV46">
        <v>10</v>
      </c>
      <c r="AW46">
        <v>10</v>
      </c>
      <c r="AX46">
        <v>9</v>
      </c>
    </row>
    <row r="47" spans="1:50" x14ac:dyDescent="0.2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f t="shared" si="5"/>
        <v>0</v>
      </c>
      <c r="H47">
        <v>4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1</v>
      </c>
      <c r="N47">
        <v>3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11"/>
        <v>0</v>
      </c>
      <c r="V47" t="s">
        <v>46</v>
      </c>
      <c r="W47" t="s">
        <v>46</v>
      </c>
      <c r="X47" t="s">
        <v>41</v>
      </c>
      <c r="Y47" t="s">
        <v>42</v>
      </c>
      <c r="Z47">
        <v>1</v>
      </c>
      <c r="AA47">
        <v>2</v>
      </c>
      <c r="AB47">
        <v>0</v>
      </c>
      <c r="AC47" t="s">
        <v>43</v>
      </c>
      <c r="AD47" t="s">
        <v>43</v>
      </c>
      <c r="AE47">
        <f t="shared" si="12"/>
        <v>1</v>
      </c>
      <c r="AF47" t="s">
        <v>43</v>
      </c>
      <c r="AG47">
        <f t="shared" si="13"/>
        <v>1</v>
      </c>
      <c r="AH47" t="s">
        <v>43</v>
      </c>
      <c r="AI47" t="s">
        <v>43</v>
      </c>
      <c r="AJ47" t="s">
        <v>43</v>
      </c>
      <c r="AK47" t="s">
        <v>43</v>
      </c>
      <c r="AL47">
        <f t="shared" si="14"/>
        <v>1</v>
      </c>
      <c r="AM47" t="s">
        <v>43</v>
      </c>
      <c r="AN47">
        <v>5</v>
      </c>
      <c r="AO47">
        <v>2</v>
      </c>
      <c r="AP47">
        <v>2</v>
      </c>
      <c r="AQ47">
        <v>1</v>
      </c>
      <c r="AR47">
        <v>1</v>
      </c>
      <c r="AS47">
        <v>5</v>
      </c>
      <c r="AT47">
        <v>8</v>
      </c>
      <c r="AV47">
        <v>8</v>
      </c>
      <c r="AW47">
        <v>8</v>
      </c>
      <c r="AX47">
        <v>6</v>
      </c>
    </row>
    <row r="48" spans="1:50" x14ac:dyDescent="0.2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f t="shared" si="5"/>
        <v>0</v>
      </c>
      <c r="H48">
        <v>3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1</v>
      </c>
      <c r="M48">
        <f t="shared" si="10"/>
        <v>0</v>
      </c>
      <c r="N48">
        <v>3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11"/>
        <v>0</v>
      </c>
      <c r="V48" t="s">
        <v>46</v>
      </c>
      <c r="W48" t="s">
        <v>49</v>
      </c>
      <c r="X48" t="s">
        <v>50</v>
      </c>
      <c r="Y48" t="s">
        <v>42</v>
      </c>
      <c r="Z48">
        <v>1</v>
      </c>
      <c r="AA48">
        <v>2</v>
      </c>
      <c r="AB48">
        <v>0</v>
      </c>
      <c r="AC48" t="s">
        <v>44</v>
      </c>
      <c r="AD48" t="s">
        <v>43</v>
      </c>
      <c r="AE48">
        <f t="shared" si="12"/>
        <v>1</v>
      </c>
      <c r="AF48" t="s">
        <v>44</v>
      </c>
      <c r="AG48">
        <f t="shared" si="13"/>
        <v>0</v>
      </c>
      <c r="AH48" t="s">
        <v>44</v>
      </c>
      <c r="AI48" t="s">
        <v>43</v>
      </c>
      <c r="AJ48" t="s">
        <v>43</v>
      </c>
      <c r="AK48" t="s">
        <v>43</v>
      </c>
      <c r="AL48">
        <f t="shared" si="14"/>
        <v>1</v>
      </c>
      <c r="AM48" t="s">
        <v>44</v>
      </c>
      <c r="AN48">
        <v>2</v>
      </c>
      <c r="AO48">
        <v>3</v>
      </c>
      <c r="AP48">
        <v>5</v>
      </c>
      <c r="AQ48">
        <v>1</v>
      </c>
      <c r="AR48">
        <v>4</v>
      </c>
      <c r="AS48">
        <v>3</v>
      </c>
      <c r="AT48">
        <v>12</v>
      </c>
      <c r="AV48">
        <v>11</v>
      </c>
      <c r="AW48">
        <v>12</v>
      </c>
      <c r="AX48">
        <v>11</v>
      </c>
    </row>
    <row r="49" spans="1:50" x14ac:dyDescent="0.2">
      <c r="A49" t="s">
        <v>34</v>
      </c>
      <c r="B49" t="s">
        <v>51</v>
      </c>
      <c r="C49">
        <v>16</v>
      </c>
      <c r="D49" t="s">
        <v>36</v>
      </c>
      <c r="E49" t="s">
        <v>37</v>
      </c>
      <c r="F49" t="s">
        <v>45</v>
      </c>
      <c r="G49">
        <f t="shared" si="5"/>
        <v>1</v>
      </c>
      <c r="H49">
        <v>4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1</v>
      </c>
      <c r="N49">
        <v>3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11"/>
        <v>0</v>
      </c>
      <c r="V49" t="s">
        <v>29</v>
      </c>
      <c r="W49" t="s">
        <v>49</v>
      </c>
      <c r="X49" t="s">
        <v>52</v>
      </c>
      <c r="Y49" t="s">
        <v>42</v>
      </c>
      <c r="Z49">
        <v>1</v>
      </c>
      <c r="AA49">
        <v>4</v>
      </c>
      <c r="AB49">
        <v>0</v>
      </c>
      <c r="AC49" t="s">
        <v>44</v>
      </c>
      <c r="AD49" t="s">
        <v>44</v>
      </c>
      <c r="AE49">
        <f t="shared" si="12"/>
        <v>0</v>
      </c>
      <c r="AF49" t="s">
        <v>44</v>
      </c>
      <c r="AG49">
        <f t="shared" si="13"/>
        <v>0</v>
      </c>
      <c r="AH49" t="s">
        <v>43</v>
      </c>
      <c r="AI49" t="s">
        <v>43</v>
      </c>
      <c r="AJ49" t="s">
        <v>43</v>
      </c>
      <c r="AK49" t="s">
        <v>43</v>
      </c>
      <c r="AL49">
        <f t="shared" si="14"/>
        <v>1</v>
      </c>
      <c r="AM49" t="s">
        <v>44</v>
      </c>
      <c r="AN49">
        <v>4</v>
      </c>
      <c r="AO49">
        <v>2</v>
      </c>
      <c r="AP49">
        <v>2</v>
      </c>
      <c r="AQ49">
        <v>1</v>
      </c>
      <c r="AR49">
        <v>1</v>
      </c>
      <c r="AS49">
        <v>2</v>
      </c>
      <c r="AT49">
        <v>4</v>
      </c>
      <c r="AV49">
        <v>19</v>
      </c>
      <c r="AW49">
        <v>19</v>
      </c>
      <c r="AX49">
        <v>20</v>
      </c>
    </row>
    <row r="50" spans="1:50" x14ac:dyDescent="0.2">
      <c r="A50" t="s">
        <v>34</v>
      </c>
      <c r="B50" t="s">
        <v>51</v>
      </c>
      <c r="C50">
        <v>15</v>
      </c>
      <c r="D50" t="s">
        <v>36</v>
      </c>
      <c r="E50" t="s">
        <v>37</v>
      </c>
      <c r="F50" t="s">
        <v>45</v>
      </c>
      <c r="G50">
        <f t="shared" si="5"/>
        <v>1</v>
      </c>
      <c r="H50">
        <v>4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1</v>
      </c>
      <c r="N50">
        <v>2</v>
      </c>
      <c r="O50">
        <f t="shared" si="0"/>
        <v>0</v>
      </c>
      <c r="P50">
        <f t="shared" si="1"/>
        <v>0</v>
      </c>
      <c r="Q50">
        <f t="shared" si="2"/>
        <v>1</v>
      </c>
      <c r="R50">
        <f t="shared" si="3"/>
        <v>0</v>
      </c>
      <c r="S50">
        <f t="shared" si="4"/>
        <v>0</v>
      </c>
      <c r="T50">
        <f t="shared" si="11"/>
        <v>0</v>
      </c>
      <c r="V50" t="s">
        <v>40</v>
      </c>
      <c r="W50" t="s">
        <v>46</v>
      </c>
      <c r="X50" t="s">
        <v>50</v>
      </c>
      <c r="Y50" t="s">
        <v>42</v>
      </c>
      <c r="Z50">
        <v>1</v>
      </c>
      <c r="AA50">
        <v>2</v>
      </c>
      <c r="AB50">
        <v>0</v>
      </c>
      <c r="AC50" t="s">
        <v>44</v>
      </c>
      <c r="AD50" t="s">
        <v>43</v>
      </c>
      <c r="AE50">
        <f t="shared" si="12"/>
        <v>1</v>
      </c>
      <c r="AF50" t="s">
        <v>43</v>
      </c>
      <c r="AG50">
        <f t="shared" si="13"/>
        <v>1</v>
      </c>
      <c r="AH50" t="s">
        <v>44</v>
      </c>
      <c r="AI50" t="s">
        <v>43</v>
      </c>
      <c r="AJ50" t="s">
        <v>43</v>
      </c>
      <c r="AK50" t="s">
        <v>44</v>
      </c>
      <c r="AL50">
        <f t="shared" si="14"/>
        <v>0</v>
      </c>
      <c r="AM50" t="s">
        <v>44</v>
      </c>
      <c r="AN50">
        <v>4</v>
      </c>
      <c r="AO50">
        <v>3</v>
      </c>
      <c r="AP50">
        <v>3</v>
      </c>
      <c r="AQ50">
        <v>2</v>
      </c>
      <c r="AR50">
        <v>2</v>
      </c>
      <c r="AS50">
        <v>5</v>
      </c>
      <c r="AT50">
        <v>2</v>
      </c>
      <c r="AV50">
        <v>15</v>
      </c>
      <c r="AW50">
        <v>15</v>
      </c>
      <c r="AX50">
        <v>14</v>
      </c>
    </row>
    <row r="51" spans="1:50" x14ac:dyDescent="0.2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f t="shared" si="5"/>
        <v>1</v>
      </c>
      <c r="H51">
        <v>4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1</v>
      </c>
      <c r="N51">
        <v>4</v>
      </c>
      <c r="O51">
        <f t="shared" si="0"/>
        <v>0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11"/>
        <v>1</v>
      </c>
      <c r="V51" t="s">
        <v>49</v>
      </c>
      <c r="W51" t="s">
        <v>40</v>
      </c>
      <c r="X51" t="s">
        <v>46</v>
      </c>
      <c r="Y51" t="s">
        <v>47</v>
      </c>
      <c r="Z51">
        <v>1</v>
      </c>
      <c r="AA51">
        <v>2</v>
      </c>
      <c r="AB51">
        <v>1</v>
      </c>
      <c r="AC51" t="s">
        <v>43</v>
      </c>
      <c r="AD51" t="s">
        <v>43</v>
      </c>
      <c r="AE51">
        <f t="shared" si="12"/>
        <v>1</v>
      </c>
      <c r="AF51" t="s">
        <v>44</v>
      </c>
      <c r="AG51">
        <f t="shared" si="13"/>
        <v>0</v>
      </c>
      <c r="AH51" t="s">
        <v>43</v>
      </c>
      <c r="AI51" t="s">
        <v>44</v>
      </c>
      <c r="AJ51" t="s">
        <v>43</v>
      </c>
      <c r="AK51" t="s">
        <v>43</v>
      </c>
      <c r="AL51">
        <f t="shared" si="14"/>
        <v>1</v>
      </c>
      <c r="AM51" t="s">
        <v>44</v>
      </c>
      <c r="AN51">
        <v>4</v>
      </c>
      <c r="AO51">
        <v>4</v>
      </c>
      <c r="AP51">
        <v>4</v>
      </c>
      <c r="AQ51">
        <v>1</v>
      </c>
      <c r="AR51">
        <v>1</v>
      </c>
      <c r="AS51">
        <v>3</v>
      </c>
      <c r="AT51">
        <v>2</v>
      </c>
      <c r="AV51">
        <v>7</v>
      </c>
      <c r="AW51">
        <v>7</v>
      </c>
      <c r="AX51">
        <v>7</v>
      </c>
    </row>
    <row r="52" spans="1:50" x14ac:dyDescent="0.2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f t="shared" si="5"/>
        <v>1</v>
      </c>
      <c r="H52">
        <v>2</v>
      </c>
      <c r="I52">
        <f t="shared" si="6"/>
        <v>0</v>
      </c>
      <c r="J52">
        <f t="shared" si="7"/>
        <v>0</v>
      </c>
      <c r="K52">
        <f t="shared" si="8"/>
        <v>1</v>
      </c>
      <c r="L52">
        <f t="shared" si="9"/>
        <v>0</v>
      </c>
      <c r="M52">
        <f t="shared" si="10"/>
        <v>0</v>
      </c>
      <c r="N52">
        <v>2</v>
      </c>
      <c r="O52">
        <f t="shared" si="0"/>
        <v>0</v>
      </c>
      <c r="P52">
        <f t="shared" si="1"/>
        <v>0</v>
      </c>
      <c r="Q52">
        <f t="shared" si="2"/>
        <v>1</v>
      </c>
      <c r="R52">
        <f t="shared" si="3"/>
        <v>0</v>
      </c>
      <c r="S52">
        <f t="shared" si="4"/>
        <v>0</v>
      </c>
      <c r="T52">
        <f t="shared" si="11"/>
        <v>0</v>
      </c>
      <c r="V52" t="s">
        <v>49</v>
      </c>
      <c r="W52" t="s">
        <v>49</v>
      </c>
      <c r="X52" t="s">
        <v>41</v>
      </c>
      <c r="Y52" t="s">
        <v>42</v>
      </c>
      <c r="Z52">
        <v>3</v>
      </c>
      <c r="AA52">
        <v>2</v>
      </c>
      <c r="AB52">
        <v>0</v>
      </c>
      <c r="AC52" t="s">
        <v>44</v>
      </c>
      <c r="AD52" t="s">
        <v>43</v>
      </c>
      <c r="AE52">
        <f t="shared" si="12"/>
        <v>1</v>
      </c>
      <c r="AF52" t="s">
        <v>43</v>
      </c>
      <c r="AG52">
        <f t="shared" si="13"/>
        <v>1</v>
      </c>
      <c r="AH52" t="s">
        <v>44</v>
      </c>
      <c r="AI52" t="s">
        <v>43</v>
      </c>
      <c r="AJ52" t="s">
        <v>43</v>
      </c>
      <c r="AK52" t="s">
        <v>43</v>
      </c>
      <c r="AL52">
        <f t="shared" si="14"/>
        <v>1</v>
      </c>
      <c r="AM52" t="s">
        <v>44</v>
      </c>
      <c r="AN52">
        <v>4</v>
      </c>
      <c r="AO52">
        <v>3</v>
      </c>
      <c r="AP52">
        <v>3</v>
      </c>
      <c r="AQ52">
        <v>2</v>
      </c>
      <c r="AR52">
        <v>3</v>
      </c>
      <c r="AS52">
        <v>4</v>
      </c>
      <c r="AT52">
        <v>2</v>
      </c>
      <c r="AV52">
        <v>12</v>
      </c>
      <c r="AW52">
        <v>13</v>
      </c>
      <c r="AX52">
        <v>13</v>
      </c>
    </row>
    <row r="53" spans="1:50" x14ac:dyDescent="0.2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f t="shared" si="5"/>
        <v>1</v>
      </c>
      <c r="H53">
        <v>4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1</v>
      </c>
      <c r="N53">
        <v>2</v>
      </c>
      <c r="O53">
        <f t="shared" si="0"/>
        <v>0</v>
      </c>
      <c r="P53">
        <f t="shared" si="1"/>
        <v>0</v>
      </c>
      <c r="Q53">
        <f t="shared" si="2"/>
        <v>1</v>
      </c>
      <c r="R53">
        <f t="shared" si="3"/>
        <v>0</v>
      </c>
      <c r="S53">
        <f t="shared" si="4"/>
        <v>0</v>
      </c>
      <c r="T53">
        <f t="shared" si="11"/>
        <v>0</v>
      </c>
      <c r="V53" t="s">
        <v>29</v>
      </c>
      <c r="W53" t="s">
        <v>46</v>
      </c>
      <c r="X53" t="s">
        <v>46</v>
      </c>
      <c r="Y53" t="s">
        <v>42</v>
      </c>
      <c r="Z53">
        <v>1</v>
      </c>
      <c r="AA53">
        <v>2</v>
      </c>
      <c r="AB53">
        <v>0</v>
      </c>
      <c r="AC53" t="s">
        <v>44</v>
      </c>
      <c r="AD53" t="s">
        <v>43</v>
      </c>
      <c r="AE53">
        <f t="shared" si="12"/>
        <v>1</v>
      </c>
      <c r="AF53" t="s">
        <v>43</v>
      </c>
      <c r="AG53">
        <f t="shared" si="13"/>
        <v>1</v>
      </c>
      <c r="AH53" t="s">
        <v>44</v>
      </c>
      <c r="AI53" t="s">
        <v>43</v>
      </c>
      <c r="AJ53" t="s">
        <v>43</v>
      </c>
      <c r="AK53" t="s">
        <v>43</v>
      </c>
      <c r="AL53">
        <f t="shared" si="14"/>
        <v>1</v>
      </c>
      <c r="AM53" t="s">
        <v>44</v>
      </c>
      <c r="AN53">
        <v>4</v>
      </c>
      <c r="AO53">
        <v>3</v>
      </c>
      <c r="AP53">
        <v>3</v>
      </c>
      <c r="AQ53">
        <v>1</v>
      </c>
      <c r="AR53">
        <v>1</v>
      </c>
      <c r="AS53">
        <v>5</v>
      </c>
      <c r="AT53">
        <v>2</v>
      </c>
      <c r="AV53">
        <v>11</v>
      </c>
      <c r="AW53">
        <v>13</v>
      </c>
      <c r="AX53">
        <v>13</v>
      </c>
    </row>
    <row r="54" spans="1:50" x14ac:dyDescent="0.2">
      <c r="A54" t="s">
        <v>34</v>
      </c>
      <c r="B54" t="s">
        <v>51</v>
      </c>
      <c r="C54">
        <v>15</v>
      </c>
      <c r="D54" t="s">
        <v>36</v>
      </c>
      <c r="E54" t="s">
        <v>48</v>
      </c>
      <c r="F54" t="s">
        <v>38</v>
      </c>
      <c r="G54">
        <f t="shared" si="5"/>
        <v>0</v>
      </c>
      <c r="H54">
        <v>4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1</v>
      </c>
      <c r="N54">
        <v>2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0</v>
      </c>
      <c r="S54">
        <f t="shared" si="4"/>
        <v>0</v>
      </c>
      <c r="T54">
        <f t="shared" si="11"/>
        <v>0</v>
      </c>
      <c r="V54" t="s">
        <v>29</v>
      </c>
      <c r="W54" t="s">
        <v>29</v>
      </c>
      <c r="X54" t="s">
        <v>46</v>
      </c>
      <c r="Y54" t="s">
        <v>47</v>
      </c>
      <c r="Z54">
        <v>2</v>
      </c>
      <c r="AA54">
        <v>1</v>
      </c>
      <c r="AB54">
        <v>1</v>
      </c>
      <c r="AC54" t="s">
        <v>44</v>
      </c>
      <c r="AD54" t="s">
        <v>44</v>
      </c>
      <c r="AE54">
        <f t="shared" si="12"/>
        <v>0</v>
      </c>
      <c r="AF54" t="s">
        <v>44</v>
      </c>
      <c r="AG54">
        <f t="shared" si="13"/>
        <v>0</v>
      </c>
      <c r="AH54" t="s">
        <v>44</v>
      </c>
      <c r="AI54" t="s">
        <v>43</v>
      </c>
      <c r="AJ54" t="s">
        <v>43</v>
      </c>
      <c r="AK54" t="s">
        <v>44</v>
      </c>
      <c r="AL54">
        <f t="shared" si="14"/>
        <v>0</v>
      </c>
      <c r="AM54" t="s">
        <v>44</v>
      </c>
      <c r="AN54">
        <v>5</v>
      </c>
      <c r="AO54">
        <v>5</v>
      </c>
      <c r="AP54">
        <v>5</v>
      </c>
      <c r="AQ54">
        <v>3</v>
      </c>
      <c r="AR54">
        <v>4</v>
      </c>
      <c r="AS54">
        <v>5</v>
      </c>
      <c r="AT54">
        <v>6</v>
      </c>
      <c r="AV54">
        <v>11</v>
      </c>
      <c r="AW54">
        <v>11</v>
      </c>
      <c r="AX54">
        <v>10</v>
      </c>
    </row>
    <row r="55" spans="1:50" x14ac:dyDescent="0.2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f t="shared" si="5"/>
        <v>1</v>
      </c>
      <c r="H55">
        <v>4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1</v>
      </c>
      <c r="N55">
        <v>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1</v>
      </c>
      <c r="T55">
        <f t="shared" si="11"/>
        <v>1</v>
      </c>
      <c r="V55" t="s">
        <v>49</v>
      </c>
      <c r="W55" t="s">
        <v>49</v>
      </c>
      <c r="X55" t="s">
        <v>41</v>
      </c>
      <c r="Y55" t="s">
        <v>42</v>
      </c>
      <c r="Z55">
        <v>1</v>
      </c>
      <c r="AA55">
        <v>1</v>
      </c>
      <c r="AB55">
        <v>0</v>
      </c>
      <c r="AC55" t="s">
        <v>43</v>
      </c>
      <c r="AD55" t="s">
        <v>43</v>
      </c>
      <c r="AE55">
        <f t="shared" si="12"/>
        <v>1</v>
      </c>
      <c r="AF55" t="s">
        <v>43</v>
      </c>
      <c r="AG55">
        <f t="shared" si="13"/>
        <v>1</v>
      </c>
      <c r="AH55" t="s">
        <v>44</v>
      </c>
      <c r="AI55" t="s">
        <v>43</v>
      </c>
      <c r="AJ55" t="s">
        <v>43</v>
      </c>
      <c r="AK55" t="s">
        <v>43</v>
      </c>
      <c r="AL55">
        <f t="shared" si="14"/>
        <v>1</v>
      </c>
      <c r="AM55" t="s">
        <v>44</v>
      </c>
      <c r="AN55">
        <v>3</v>
      </c>
      <c r="AO55">
        <v>3</v>
      </c>
      <c r="AP55">
        <v>4</v>
      </c>
      <c r="AQ55">
        <v>2</v>
      </c>
      <c r="AR55">
        <v>3</v>
      </c>
      <c r="AS55">
        <v>5</v>
      </c>
      <c r="AT55">
        <v>0</v>
      </c>
      <c r="AV55">
        <v>8</v>
      </c>
      <c r="AW55">
        <v>10</v>
      </c>
      <c r="AX55">
        <v>11</v>
      </c>
    </row>
    <row r="56" spans="1:50" x14ac:dyDescent="0.2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f t="shared" si="5"/>
        <v>0</v>
      </c>
      <c r="H56">
        <v>3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1</v>
      </c>
      <c r="M56">
        <f t="shared" si="10"/>
        <v>0</v>
      </c>
      <c r="N56">
        <v>3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1</v>
      </c>
      <c r="S56">
        <f t="shared" si="4"/>
        <v>0</v>
      </c>
      <c r="T56">
        <f t="shared" si="11"/>
        <v>0</v>
      </c>
      <c r="V56" t="s">
        <v>46</v>
      </c>
      <c r="W56" t="s">
        <v>46</v>
      </c>
      <c r="X56" t="s">
        <v>46</v>
      </c>
      <c r="Y56" t="s">
        <v>42</v>
      </c>
      <c r="Z56">
        <v>1</v>
      </c>
      <c r="AA56">
        <v>1</v>
      </c>
      <c r="AB56">
        <v>0</v>
      </c>
      <c r="AC56" t="s">
        <v>44</v>
      </c>
      <c r="AD56" t="s">
        <v>44</v>
      </c>
      <c r="AE56">
        <f t="shared" si="12"/>
        <v>0</v>
      </c>
      <c r="AF56" t="s">
        <v>43</v>
      </c>
      <c r="AG56">
        <f t="shared" si="13"/>
        <v>1</v>
      </c>
      <c r="AH56" t="s">
        <v>44</v>
      </c>
      <c r="AI56" t="s">
        <v>43</v>
      </c>
      <c r="AJ56" t="s">
        <v>43</v>
      </c>
      <c r="AK56" t="s">
        <v>43</v>
      </c>
      <c r="AL56">
        <f t="shared" si="14"/>
        <v>1</v>
      </c>
      <c r="AM56" t="s">
        <v>44</v>
      </c>
      <c r="AN56">
        <v>5</v>
      </c>
      <c r="AO56">
        <v>3</v>
      </c>
      <c r="AP56">
        <v>4</v>
      </c>
      <c r="AQ56">
        <v>4</v>
      </c>
      <c r="AR56">
        <v>4</v>
      </c>
      <c r="AS56">
        <v>1</v>
      </c>
      <c r="AT56">
        <v>6</v>
      </c>
      <c r="AV56">
        <v>10</v>
      </c>
      <c r="AW56">
        <v>13</v>
      </c>
      <c r="AX56">
        <v>13</v>
      </c>
    </row>
    <row r="57" spans="1:50" x14ac:dyDescent="0.2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f t="shared" si="5"/>
        <v>0</v>
      </c>
      <c r="H57">
        <v>2</v>
      </c>
      <c r="I57">
        <f t="shared" si="6"/>
        <v>0</v>
      </c>
      <c r="J57">
        <f t="shared" si="7"/>
        <v>0</v>
      </c>
      <c r="K57">
        <f t="shared" si="8"/>
        <v>1</v>
      </c>
      <c r="L57">
        <f t="shared" si="9"/>
        <v>0</v>
      </c>
      <c r="M57">
        <f t="shared" si="10"/>
        <v>0</v>
      </c>
      <c r="N57">
        <v>1</v>
      </c>
      <c r="O57">
        <f t="shared" si="0"/>
        <v>0</v>
      </c>
      <c r="P57">
        <f t="shared" si="1"/>
        <v>1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11"/>
        <v>0</v>
      </c>
      <c r="V57" t="s">
        <v>46</v>
      </c>
      <c r="W57" t="s">
        <v>46</v>
      </c>
      <c r="X57" t="s">
        <v>46</v>
      </c>
      <c r="Y57" t="s">
        <v>42</v>
      </c>
      <c r="Z57">
        <v>1</v>
      </c>
      <c r="AA57">
        <v>2</v>
      </c>
      <c r="AB57">
        <v>0</v>
      </c>
      <c r="AC57" t="s">
        <v>44</v>
      </c>
      <c r="AD57" t="s">
        <v>44</v>
      </c>
      <c r="AE57">
        <f t="shared" si="12"/>
        <v>0</v>
      </c>
      <c r="AF57" t="s">
        <v>43</v>
      </c>
      <c r="AG57">
        <f t="shared" si="13"/>
        <v>1</v>
      </c>
      <c r="AH57" t="s">
        <v>43</v>
      </c>
      <c r="AI57" t="s">
        <v>43</v>
      </c>
      <c r="AJ57" t="s">
        <v>43</v>
      </c>
      <c r="AK57" t="s">
        <v>43</v>
      </c>
      <c r="AL57">
        <f t="shared" si="14"/>
        <v>1</v>
      </c>
      <c r="AM57" t="s">
        <v>43</v>
      </c>
      <c r="AN57">
        <v>5</v>
      </c>
      <c r="AO57">
        <v>3</v>
      </c>
      <c r="AP57">
        <v>4</v>
      </c>
      <c r="AQ57">
        <v>1</v>
      </c>
      <c r="AR57">
        <v>1</v>
      </c>
      <c r="AS57">
        <v>2</v>
      </c>
      <c r="AT57">
        <v>8</v>
      </c>
      <c r="AV57">
        <v>8</v>
      </c>
      <c r="AW57">
        <v>9</v>
      </c>
      <c r="AX57">
        <v>10</v>
      </c>
    </row>
    <row r="58" spans="1:50" x14ac:dyDescent="0.2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f t="shared" si="5"/>
        <v>0</v>
      </c>
      <c r="H58">
        <v>4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1</v>
      </c>
      <c r="N58">
        <v>3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1</v>
      </c>
      <c r="S58">
        <f t="shared" si="4"/>
        <v>0</v>
      </c>
      <c r="T58">
        <f t="shared" si="11"/>
        <v>0</v>
      </c>
      <c r="V58" t="s">
        <v>49</v>
      </c>
      <c r="W58" t="s">
        <v>49</v>
      </c>
      <c r="X58" t="s">
        <v>52</v>
      </c>
      <c r="Y58" t="s">
        <v>42</v>
      </c>
      <c r="Z58">
        <v>1</v>
      </c>
      <c r="AA58">
        <v>2</v>
      </c>
      <c r="AB58">
        <v>0</v>
      </c>
      <c r="AC58" t="s">
        <v>44</v>
      </c>
      <c r="AD58" t="s">
        <v>43</v>
      </c>
      <c r="AE58">
        <f t="shared" si="12"/>
        <v>1</v>
      </c>
      <c r="AF58" t="s">
        <v>43</v>
      </c>
      <c r="AG58">
        <f t="shared" si="13"/>
        <v>1</v>
      </c>
      <c r="AH58" t="s">
        <v>43</v>
      </c>
      <c r="AI58" t="s">
        <v>43</v>
      </c>
      <c r="AJ58" t="s">
        <v>43</v>
      </c>
      <c r="AK58" t="s">
        <v>43</v>
      </c>
      <c r="AL58">
        <f t="shared" si="14"/>
        <v>1</v>
      </c>
      <c r="AM58" t="s">
        <v>44</v>
      </c>
      <c r="AN58">
        <v>4</v>
      </c>
      <c r="AO58">
        <v>3</v>
      </c>
      <c r="AP58">
        <v>2</v>
      </c>
      <c r="AQ58">
        <v>1</v>
      </c>
      <c r="AR58">
        <v>1</v>
      </c>
      <c r="AS58">
        <v>1</v>
      </c>
      <c r="AT58">
        <v>0</v>
      </c>
      <c r="AV58">
        <v>14</v>
      </c>
      <c r="AW58">
        <v>15</v>
      </c>
      <c r="AX58">
        <v>15</v>
      </c>
    </row>
    <row r="59" spans="1:50" x14ac:dyDescent="0.2">
      <c r="A59" t="s">
        <v>34</v>
      </c>
      <c r="B59" t="s">
        <v>51</v>
      </c>
      <c r="C59">
        <v>15</v>
      </c>
      <c r="D59" t="s">
        <v>36</v>
      </c>
      <c r="E59" t="s">
        <v>37</v>
      </c>
      <c r="F59" t="s">
        <v>45</v>
      </c>
      <c r="G59">
        <f t="shared" si="5"/>
        <v>1</v>
      </c>
      <c r="H59">
        <v>4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1</v>
      </c>
      <c r="N59">
        <v>4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1</v>
      </c>
      <c r="T59">
        <f t="shared" si="11"/>
        <v>1</v>
      </c>
      <c r="V59" t="s">
        <v>40</v>
      </c>
      <c r="W59" t="s">
        <v>29</v>
      </c>
      <c r="X59" t="s">
        <v>52</v>
      </c>
      <c r="Y59" t="s">
        <v>42</v>
      </c>
      <c r="Z59">
        <v>1</v>
      </c>
      <c r="AA59">
        <v>2</v>
      </c>
      <c r="AB59">
        <v>0</v>
      </c>
      <c r="AC59" t="s">
        <v>44</v>
      </c>
      <c r="AD59" t="s">
        <v>43</v>
      </c>
      <c r="AE59">
        <f t="shared" si="12"/>
        <v>1</v>
      </c>
      <c r="AF59" t="s">
        <v>44</v>
      </c>
      <c r="AG59">
        <f t="shared" si="13"/>
        <v>0</v>
      </c>
      <c r="AH59" t="s">
        <v>43</v>
      </c>
      <c r="AI59" t="s">
        <v>43</v>
      </c>
      <c r="AJ59" t="s">
        <v>43</v>
      </c>
      <c r="AK59" t="s">
        <v>44</v>
      </c>
      <c r="AL59">
        <f t="shared" si="14"/>
        <v>0</v>
      </c>
      <c r="AM59" t="s">
        <v>44</v>
      </c>
      <c r="AN59">
        <v>3</v>
      </c>
      <c r="AO59">
        <v>2</v>
      </c>
      <c r="AP59">
        <v>2</v>
      </c>
      <c r="AQ59">
        <v>1</v>
      </c>
      <c r="AR59">
        <v>1</v>
      </c>
      <c r="AS59">
        <v>5</v>
      </c>
      <c r="AT59">
        <v>4</v>
      </c>
      <c r="AV59">
        <v>14</v>
      </c>
      <c r="AW59">
        <v>15</v>
      </c>
      <c r="AX59">
        <v>15</v>
      </c>
    </row>
    <row r="60" spans="1:50" x14ac:dyDescent="0.2">
      <c r="A60" t="s">
        <v>34</v>
      </c>
      <c r="B60" t="s">
        <v>51</v>
      </c>
      <c r="C60">
        <v>15</v>
      </c>
      <c r="D60" t="s">
        <v>36</v>
      </c>
      <c r="E60" t="s">
        <v>48</v>
      </c>
      <c r="F60" t="s">
        <v>45</v>
      </c>
      <c r="G60">
        <f t="shared" si="5"/>
        <v>1</v>
      </c>
      <c r="H60">
        <v>1</v>
      </c>
      <c r="I60">
        <f t="shared" si="6"/>
        <v>0</v>
      </c>
      <c r="J60">
        <f t="shared" si="7"/>
        <v>1</v>
      </c>
      <c r="K60">
        <f t="shared" si="8"/>
        <v>0</v>
      </c>
      <c r="L60">
        <f t="shared" si="9"/>
        <v>0</v>
      </c>
      <c r="M60">
        <f t="shared" si="10"/>
        <v>0</v>
      </c>
      <c r="N60">
        <v>2</v>
      </c>
      <c r="O60">
        <f t="shared" si="0"/>
        <v>0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11"/>
        <v>0</v>
      </c>
      <c r="V60" t="s">
        <v>46</v>
      </c>
      <c r="W60" t="s">
        <v>39</v>
      </c>
      <c r="X60" t="s">
        <v>50</v>
      </c>
      <c r="Y60" t="s">
        <v>47</v>
      </c>
      <c r="Z60">
        <v>1</v>
      </c>
      <c r="AA60">
        <v>2</v>
      </c>
      <c r="AB60">
        <v>0</v>
      </c>
      <c r="AC60" t="s">
        <v>43</v>
      </c>
      <c r="AD60" t="s">
        <v>43</v>
      </c>
      <c r="AE60">
        <f t="shared" si="12"/>
        <v>1</v>
      </c>
      <c r="AF60" t="s">
        <v>44</v>
      </c>
      <c r="AG60">
        <f t="shared" si="13"/>
        <v>0</v>
      </c>
      <c r="AH60" t="s">
        <v>43</v>
      </c>
      <c r="AI60" t="s">
        <v>43</v>
      </c>
      <c r="AJ60" t="s">
        <v>43</v>
      </c>
      <c r="AK60" t="s">
        <v>43</v>
      </c>
      <c r="AL60">
        <f t="shared" si="14"/>
        <v>1</v>
      </c>
      <c r="AM60" t="s">
        <v>44</v>
      </c>
      <c r="AN60">
        <v>4</v>
      </c>
      <c r="AO60">
        <v>3</v>
      </c>
      <c r="AP60">
        <v>2</v>
      </c>
      <c r="AQ60">
        <v>1</v>
      </c>
      <c r="AR60">
        <v>1</v>
      </c>
      <c r="AS60">
        <v>5</v>
      </c>
      <c r="AT60">
        <v>2</v>
      </c>
      <c r="AV60">
        <v>9</v>
      </c>
      <c r="AW60">
        <v>10</v>
      </c>
      <c r="AX60">
        <v>9</v>
      </c>
    </row>
    <row r="61" spans="1:50" x14ac:dyDescent="0.2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f t="shared" si="5"/>
        <v>1</v>
      </c>
      <c r="H61">
        <v>4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1</v>
      </c>
      <c r="N61">
        <v>2</v>
      </c>
      <c r="O61">
        <f t="shared" si="0"/>
        <v>0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11"/>
        <v>0</v>
      </c>
      <c r="V61" t="s">
        <v>49</v>
      </c>
      <c r="W61" t="s">
        <v>46</v>
      </c>
      <c r="X61" t="s">
        <v>41</v>
      </c>
      <c r="Y61" t="s">
        <v>42</v>
      </c>
      <c r="Z61">
        <v>1</v>
      </c>
      <c r="AA61">
        <v>2</v>
      </c>
      <c r="AB61">
        <v>0</v>
      </c>
      <c r="AC61" t="s">
        <v>44</v>
      </c>
      <c r="AD61" t="s">
        <v>43</v>
      </c>
      <c r="AE61">
        <f t="shared" si="12"/>
        <v>1</v>
      </c>
      <c r="AF61" t="s">
        <v>44</v>
      </c>
      <c r="AG61">
        <f t="shared" si="13"/>
        <v>0</v>
      </c>
      <c r="AH61" t="s">
        <v>44</v>
      </c>
      <c r="AI61" t="s">
        <v>43</v>
      </c>
      <c r="AJ61" t="s">
        <v>43</v>
      </c>
      <c r="AK61" t="s">
        <v>43</v>
      </c>
      <c r="AL61">
        <f t="shared" si="14"/>
        <v>1</v>
      </c>
      <c r="AM61" t="s">
        <v>44</v>
      </c>
      <c r="AN61">
        <v>4</v>
      </c>
      <c r="AO61">
        <v>2</v>
      </c>
      <c r="AP61">
        <v>3</v>
      </c>
      <c r="AQ61">
        <v>1</v>
      </c>
      <c r="AR61">
        <v>1</v>
      </c>
      <c r="AS61">
        <v>5</v>
      </c>
      <c r="AT61">
        <v>2</v>
      </c>
      <c r="AV61">
        <v>15</v>
      </c>
      <c r="AW61">
        <v>16</v>
      </c>
      <c r="AX61">
        <v>16</v>
      </c>
    </row>
    <row r="62" spans="1:50" x14ac:dyDescent="0.2">
      <c r="A62" t="s">
        <v>34</v>
      </c>
      <c r="B62" t="s">
        <v>35</v>
      </c>
      <c r="C62">
        <v>16</v>
      </c>
      <c r="D62" t="s">
        <v>53</v>
      </c>
      <c r="E62" t="s">
        <v>37</v>
      </c>
      <c r="F62" t="s">
        <v>45</v>
      </c>
      <c r="G62">
        <f t="shared" si="5"/>
        <v>1</v>
      </c>
      <c r="H62">
        <v>4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1</v>
      </c>
      <c r="N62">
        <v>4</v>
      </c>
      <c r="O62">
        <f t="shared" si="0"/>
        <v>0</v>
      </c>
      <c r="P62">
        <f t="shared" si="1"/>
        <v>0</v>
      </c>
      <c r="Q62">
        <f t="shared" si="2"/>
        <v>0</v>
      </c>
      <c r="R62">
        <f t="shared" si="3"/>
        <v>0</v>
      </c>
      <c r="S62">
        <f t="shared" si="4"/>
        <v>1</v>
      </c>
      <c r="T62">
        <f t="shared" si="11"/>
        <v>1</v>
      </c>
      <c r="V62" t="s">
        <v>29</v>
      </c>
      <c r="W62" t="s">
        <v>40</v>
      </c>
      <c r="X62" t="s">
        <v>46</v>
      </c>
      <c r="Y62" t="s">
        <v>42</v>
      </c>
      <c r="Z62">
        <v>1</v>
      </c>
      <c r="AA62">
        <v>2</v>
      </c>
      <c r="AB62">
        <v>0</v>
      </c>
      <c r="AC62" t="s">
        <v>44</v>
      </c>
      <c r="AD62" t="s">
        <v>43</v>
      </c>
      <c r="AE62">
        <f t="shared" si="12"/>
        <v>1</v>
      </c>
      <c r="AF62" t="s">
        <v>44</v>
      </c>
      <c r="AG62">
        <f t="shared" si="13"/>
        <v>0</v>
      </c>
      <c r="AH62" t="s">
        <v>43</v>
      </c>
      <c r="AI62" t="s">
        <v>43</v>
      </c>
      <c r="AJ62" t="s">
        <v>43</v>
      </c>
      <c r="AK62" t="s">
        <v>44</v>
      </c>
      <c r="AL62">
        <f t="shared" si="14"/>
        <v>0</v>
      </c>
      <c r="AM62" t="s">
        <v>44</v>
      </c>
      <c r="AN62">
        <v>2</v>
      </c>
      <c r="AO62">
        <v>4</v>
      </c>
      <c r="AP62">
        <v>4</v>
      </c>
      <c r="AQ62">
        <v>2</v>
      </c>
      <c r="AR62">
        <v>3</v>
      </c>
      <c r="AS62">
        <v>4</v>
      </c>
      <c r="AT62">
        <v>6</v>
      </c>
      <c r="AV62">
        <v>10</v>
      </c>
      <c r="AW62">
        <v>11</v>
      </c>
      <c r="AX62">
        <v>11</v>
      </c>
    </row>
    <row r="63" spans="1:50" x14ac:dyDescent="0.2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f t="shared" si="5"/>
        <v>1</v>
      </c>
      <c r="H63">
        <v>1</v>
      </c>
      <c r="I63">
        <f t="shared" si="6"/>
        <v>0</v>
      </c>
      <c r="J63">
        <f t="shared" si="7"/>
        <v>1</v>
      </c>
      <c r="K63">
        <f t="shared" si="8"/>
        <v>0</v>
      </c>
      <c r="L63">
        <f t="shared" si="9"/>
        <v>0</v>
      </c>
      <c r="M63">
        <f t="shared" si="10"/>
        <v>0</v>
      </c>
      <c r="N63">
        <v>1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11"/>
        <v>0</v>
      </c>
      <c r="V63" t="s">
        <v>49</v>
      </c>
      <c r="W63" t="s">
        <v>49</v>
      </c>
      <c r="X63" t="s">
        <v>41</v>
      </c>
      <c r="Y63" t="s">
        <v>47</v>
      </c>
      <c r="Z63">
        <v>4</v>
      </c>
      <c r="AA63">
        <v>1</v>
      </c>
      <c r="AB63">
        <v>0</v>
      </c>
      <c r="AC63" t="s">
        <v>43</v>
      </c>
      <c r="AD63" t="s">
        <v>43</v>
      </c>
      <c r="AE63">
        <f t="shared" si="12"/>
        <v>1</v>
      </c>
      <c r="AF63" t="s">
        <v>44</v>
      </c>
      <c r="AG63">
        <f t="shared" si="13"/>
        <v>0</v>
      </c>
      <c r="AH63" t="s">
        <v>43</v>
      </c>
      <c r="AI63" t="s">
        <v>44</v>
      </c>
      <c r="AJ63" t="s">
        <v>43</v>
      </c>
      <c r="AK63" t="s">
        <v>43</v>
      </c>
      <c r="AL63">
        <f t="shared" si="14"/>
        <v>1</v>
      </c>
      <c r="AM63" t="s">
        <v>43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6</v>
      </c>
      <c r="AV63">
        <v>10</v>
      </c>
      <c r="AW63">
        <v>8</v>
      </c>
      <c r="AX63">
        <v>11</v>
      </c>
    </row>
    <row r="64" spans="1:50" x14ac:dyDescent="0.2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f t="shared" si="5"/>
        <v>1</v>
      </c>
      <c r="H64">
        <v>1</v>
      </c>
      <c r="I64">
        <f t="shared" si="6"/>
        <v>0</v>
      </c>
      <c r="J64">
        <f t="shared" si="7"/>
        <v>1</v>
      </c>
      <c r="K64">
        <f t="shared" si="8"/>
        <v>0</v>
      </c>
      <c r="L64">
        <f t="shared" si="9"/>
        <v>0</v>
      </c>
      <c r="M64">
        <f t="shared" si="10"/>
        <v>0</v>
      </c>
      <c r="N64">
        <v>2</v>
      </c>
      <c r="O64">
        <f t="shared" si="0"/>
        <v>0</v>
      </c>
      <c r="P64">
        <f t="shared" si="1"/>
        <v>0</v>
      </c>
      <c r="Q64">
        <f t="shared" si="2"/>
        <v>1</v>
      </c>
      <c r="R64">
        <f t="shared" si="3"/>
        <v>0</v>
      </c>
      <c r="S64">
        <f t="shared" si="4"/>
        <v>0</v>
      </c>
      <c r="T64">
        <f t="shared" si="11"/>
        <v>0</v>
      </c>
      <c r="V64" t="s">
        <v>46</v>
      </c>
      <c r="W64" t="s">
        <v>49</v>
      </c>
      <c r="X64" t="s">
        <v>52</v>
      </c>
      <c r="Y64" t="s">
        <v>47</v>
      </c>
      <c r="Z64">
        <v>1</v>
      </c>
      <c r="AA64">
        <v>2</v>
      </c>
      <c r="AB64">
        <v>0</v>
      </c>
      <c r="AC64" t="s">
        <v>43</v>
      </c>
      <c r="AD64" t="s">
        <v>44</v>
      </c>
      <c r="AE64">
        <f t="shared" si="12"/>
        <v>0</v>
      </c>
      <c r="AF64" t="s">
        <v>44</v>
      </c>
      <c r="AG64">
        <f t="shared" si="13"/>
        <v>0</v>
      </c>
      <c r="AH64" t="s">
        <v>43</v>
      </c>
      <c r="AI64" t="s">
        <v>43</v>
      </c>
      <c r="AJ64" t="s">
        <v>43</v>
      </c>
      <c r="AK64" t="s">
        <v>43</v>
      </c>
      <c r="AL64">
        <f t="shared" si="14"/>
        <v>1</v>
      </c>
      <c r="AM64" t="s">
        <v>44</v>
      </c>
      <c r="AN64">
        <v>4</v>
      </c>
      <c r="AO64">
        <v>4</v>
      </c>
      <c r="AP64">
        <v>3</v>
      </c>
      <c r="AQ64">
        <v>1</v>
      </c>
      <c r="AR64">
        <v>1</v>
      </c>
      <c r="AS64">
        <v>1</v>
      </c>
      <c r="AT64">
        <v>4</v>
      </c>
      <c r="AV64">
        <v>8</v>
      </c>
      <c r="AW64">
        <v>10</v>
      </c>
      <c r="AX64">
        <v>9</v>
      </c>
    </row>
    <row r="65" spans="1:50" x14ac:dyDescent="0.2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f t="shared" si="5"/>
        <v>1</v>
      </c>
      <c r="H65">
        <v>4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1</v>
      </c>
      <c r="N65">
        <v>3</v>
      </c>
      <c r="O65">
        <f t="shared" si="0"/>
        <v>0</v>
      </c>
      <c r="P65">
        <f t="shared" si="1"/>
        <v>0</v>
      </c>
      <c r="Q65">
        <f t="shared" si="2"/>
        <v>0</v>
      </c>
      <c r="R65">
        <f t="shared" si="3"/>
        <v>1</v>
      </c>
      <c r="S65">
        <f t="shared" si="4"/>
        <v>0</v>
      </c>
      <c r="T65">
        <f t="shared" si="11"/>
        <v>0</v>
      </c>
      <c r="V65" t="s">
        <v>40</v>
      </c>
      <c r="W65" t="s">
        <v>29</v>
      </c>
      <c r="X65" t="s">
        <v>50</v>
      </c>
      <c r="Y65" t="s">
        <v>42</v>
      </c>
      <c r="Z65">
        <v>1</v>
      </c>
      <c r="AA65">
        <v>3</v>
      </c>
      <c r="AB65">
        <v>0</v>
      </c>
      <c r="AC65" t="s">
        <v>43</v>
      </c>
      <c r="AD65" t="s">
        <v>43</v>
      </c>
      <c r="AE65">
        <f t="shared" si="12"/>
        <v>1</v>
      </c>
      <c r="AF65" t="s">
        <v>43</v>
      </c>
      <c r="AG65">
        <f t="shared" si="13"/>
        <v>1</v>
      </c>
      <c r="AH65" t="s">
        <v>43</v>
      </c>
      <c r="AI65" t="s">
        <v>43</v>
      </c>
      <c r="AJ65" t="s">
        <v>43</v>
      </c>
      <c r="AK65" t="s">
        <v>43</v>
      </c>
      <c r="AL65">
        <f t="shared" si="14"/>
        <v>1</v>
      </c>
      <c r="AM65" t="s">
        <v>44</v>
      </c>
      <c r="AN65">
        <v>3</v>
      </c>
      <c r="AO65">
        <v>4</v>
      </c>
      <c r="AP65">
        <v>4</v>
      </c>
      <c r="AQ65">
        <v>2</v>
      </c>
      <c r="AR65">
        <v>4</v>
      </c>
      <c r="AS65">
        <v>4</v>
      </c>
      <c r="AT65">
        <v>2</v>
      </c>
      <c r="AV65">
        <v>10</v>
      </c>
      <c r="AW65">
        <v>9</v>
      </c>
      <c r="AX65">
        <v>9</v>
      </c>
    </row>
    <row r="66" spans="1:50" x14ac:dyDescent="0.2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f t="shared" si="5"/>
        <v>1</v>
      </c>
      <c r="H66">
        <v>4</v>
      </c>
      <c r="I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1</v>
      </c>
      <c r="N66">
        <v>3</v>
      </c>
      <c r="O66">
        <f t="shared" ref="O66:O129" si="15" xml:space="preserve"> IF($N66=0,1,0)</f>
        <v>0</v>
      </c>
      <c r="P66">
        <f t="shared" ref="P66:P129" si="16" xml:space="preserve"> IF($N66=1,1,0)</f>
        <v>0</v>
      </c>
      <c r="Q66">
        <f t="shared" ref="Q66:Q129" si="17" xml:space="preserve"> IF($N66=2,1,0)</f>
        <v>0</v>
      </c>
      <c r="R66">
        <f t="shared" ref="R66:R129" si="18" xml:space="preserve"> IF($N66=3,1,0)</f>
        <v>1</v>
      </c>
      <c r="S66">
        <f t="shared" ref="S66:S129" si="19" xml:space="preserve"> IF($N66=4,1,0)</f>
        <v>0</v>
      </c>
      <c r="T66">
        <f t="shared" si="11"/>
        <v>0</v>
      </c>
      <c r="V66" t="s">
        <v>49</v>
      </c>
      <c r="W66" t="s">
        <v>49</v>
      </c>
      <c r="X66" t="s">
        <v>52</v>
      </c>
      <c r="Y66" t="s">
        <v>47</v>
      </c>
      <c r="Z66">
        <v>1</v>
      </c>
      <c r="AA66">
        <v>2</v>
      </c>
      <c r="AB66">
        <v>0</v>
      </c>
      <c r="AC66" t="s">
        <v>43</v>
      </c>
      <c r="AD66" t="s">
        <v>44</v>
      </c>
      <c r="AE66">
        <f t="shared" si="12"/>
        <v>0</v>
      </c>
      <c r="AF66" t="s">
        <v>44</v>
      </c>
      <c r="AG66">
        <f t="shared" si="13"/>
        <v>0</v>
      </c>
      <c r="AH66" t="s">
        <v>43</v>
      </c>
      <c r="AI66" t="s">
        <v>43</v>
      </c>
      <c r="AJ66" t="s">
        <v>43</v>
      </c>
      <c r="AK66" t="s">
        <v>43</v>
      </c>
      <c r="AL66">
        <f t="shared" si="14"/>
        <v>1</v>
      </c>
      <c r="AM66" t="s">
        <v>43</v>
      </c>
      <c r="AN66">
        <v>4</v>
      </c>
      <c r="AO66">
        <v>4</v>
      </c>
      <c r="AP66">
        <v>4</v>
      </c>
      <c r="AQ66">
        <v>2</v>
      </c>
      <c r="AR66">
        <v>4</v>
      </c>
      <c r="AS66">
        <v>2</v>
      </c>
      <c r="AT66">
        <v>0</v>
      </c>
      <c r="AV66">
        <v>10</v>
      </c>
      <c r="AW66">
        <v>10</v>
      </c>
      <c r="AX66">
        <v>10</v>
      </c>
    </row>
    <row r="67" spans="1:50" x14ac:dyDescent="0.2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f t="shared" ref="G67:G130" si="20">IF(F67="T",1,0)</f>
        <v>1</v>
      </c>
      <c r="H67">
        <v>4</v>
      </c>
      <c r="I67">
        <f t="shared" ref="I67:I130" si="21" xml:space="preserve"> IF($H67=0,1,0)</f>
        <v>0</v>
      </c>
      <c r="J67">
        <f t="shared" ref="J67:J130" si="22" xml:space="preserve"> IF($H67=1,1,0)</f>
        <v>0</v>
      </c>
      <c r="K67">
        <f t="shared" ref="K67:K130" si="23" xml:space="preserve"> IF($H67=2,1,0)</f>
        <v>0</v>
      </c>
      <c r="L67">
        <f t="shared" ref="L67:L130" si="24" xml:space="preserve"> IF($H67=3,1,0)</f>
        <v>0</v>
      </c>
      <c r="M67">
        <f t="shared" ref="M67:M130" si="25" xml:space="preserve"> IF($H67=4,1,0)</f>
        <v>1</v>
      </c>
      <c r="N67">
        <v>3</v>
      </c>
      <c r="O67">
        <f t="shared" si="15"/>
        <v>0</v>
      </c>
      <c r="P67">
        <f t="shared" si="16"/>
        <v>0</v>
      </c>
      <c r="Q67">
        <f t="shared" si="17"/>
        <v>0</v>
      </c>
      <c r="R67">
        <f t="shared" si="18"/>
        <v>1</v>
      </c>
      <c r="S67">
        <f t="shared" si="19"/>
        <v>0</v>
      </c>
      <c r="T67">
        <f t="shared" ref="T67:T130" si="26">IF(AND(M67=1,S67=1),1,0)</f>
        <v>0</v>
      </c>
      <c r="V67" t="s">
        <v>40</v>
      </c>
      <c r="W67" t="s">
        <v>49</v>
      </c>
      <c r="X67" t="s">
        <v>41</v>
      </c>
      <c r="Y67" t="s">
        <v>42</v>
      </c>
      <c r="Z67">
        <v>3</v>
      </c>
      <c r="AA67">
        <v>2</v>
      </c>
      <c r="AB67">
        <v>0</v>
      </c>
      <c r="AC67" t="s">
        <v>44</v>
      </c>
      <c r="AD67" t="s">
        <v>43</v>
      </c>
      <c r="AE67">
        <f t="shared" ref="AE67:AE130" si="27">IF(AD67="yes",1,0)</f>
        <v>1</v>
      </c>
      <c r="AF67" t="s">
        <v>44</v>
      </c>
      <c r="AG67">
        <f t="shared" ref="AG67:AG130" si="28">IF(AF67="yes",1,0)</f>
        <v>0</v>
      </c>
      <c r="AH67" t="s">
        <v>43</v>
      </c>
      <c r="AI67" t="s">
        <v>43</v>
      </c>
      <c r="AJ67" t="s">
        <v>43</v>
      </c>
      <c r="AK67" t="s">
        <v>43</v>
      </c>
      <c r="AL67">
        <f t="shared" ref="AL67:AL130" si="29">IF(AK67="yes",1,0)</f>
        <v>1</v>
      </c>
      <c r="AM67" t="s">
        <v>44</v>
      </c>
      <c r="AN67">
        <v>5</v>
      </c>
      <c r="AO67">
        <v>4</v>
      </c>
      <c r="AP67">
        <v>3</v>
      </c>
      <c r="AQ67">
        <v>1</v>
      </c>
      <c r="AR67">
        <v>2</v>
      </c>
      <c r="AS67">
        <v>1</v>
      </c>
      <c r="AT67">
        <v>2</v>
      </c>
      <c r="AV67">
        <v>16</v>
      </c>
      <c r="AW67">
        <v>15</v>
      </c>
      <c r="AX67">
        <v>15</v>
      </c>
    </row>
    <row r="68" spans="1:50" x14ac:dyDescent="0.2">
      <c r="A68" t="s">
        <v>34</v>
      </c>
      <c r="B68" t="s">
        <v>51</v>
      </c>
      <c r="C68">
        <v>15</v>
      </c>
      <c r="D68" t="s">
        <v>36</v>
      </c>
      <c r="E68" t="s">
        <v>37</v>
      </c>
      <c r="F68" t="s">
        <v>38</v>
      </c>
      <c r="G68">
        <f t="shared" si="20"/>
        <v>0</v>
      </c>
      <c r="H68">
        <v>4</v>
      </c>
      <c r="I68">
        <f t="shared" si="21"/>
        <v>0</v>
      </c>
      <c r="J68">
        <f t="shared" si="22"/>
        <v>0</v>
      </c>
      <c r="K68">
        <f t="shared" si="23"/>
        <v>0</v>
      </c>
      <c r="L68">
        <f t="shared" si="24"/>
        <v>0</v>
      </c>
      <c r="M68">
        <f t="shared" si="25"/>
        <v>1</v>
      </c>
      <c r="N68">
        <v>4</v>
      </c>
      <c r="O68">
        <f t="shared" si="15"/>
        <v>0</v>
      </c>
      <c r="P68">
        <f t="shared" si="16"/>
        <v>0</v>
      </c>
      <c r="Q68">
        <f t="shared" si="17"/>
        <v>0</v>
      </c>
      <c r="R68">
        <f t="shared" si="18"/>
        <v>0</v>
      </c>
      <c r="S68">
        <f t="shared" si="19"/>
        <v>1</v>
      </c>
      <c r="T68">
        <f t="shared" si="26"/>
        <v>1</v>
      </c>
      <c r="V68" t="s">
        <v>46</v>
      </c>
      <c r="W68" t="s">
        <v>49</v>
      </c>
      <c r="X68" t="s">
        <v>52</v>
      </c>
      <c r="Y68" t="s">
        <v>42</v>
      </c>
      <c r="Z68">
        <v>1</v>
      </c>
      <c r="AA68">
        <v>4</v>
      </c>
      <c r="AB68">
        <v>0</v>
      </c>
      <c r="AC68" t="s">
        <v>44</v>
      </c>
      <c r="AD68" t="s">
        <v>43</v>
      </c>
      <c r="AE68">
        <f t="shared" si="27"/>
        <v>1</v>
      </c>
      <c r="AF68" t="s">
        <v>44</v>
      </c>
      <c r="AG68">
        <f t="shared" si="28"/>
        <v>0</v>
      </c>
      <c r="AH68" t="s">
        <v>43</v>
      </c>
      <c r="AI68" t="s">
        <v>44</v>
      </c>
      <c r="AJ68" t="s">
        <v>43</v>
      </c>
      <c r="AK68" t="s">
        <v>43</v>
      </c>
      <c r="AL68">
        <f t="shared" si="29"/>
        <v>1</v>
      </c>
      <c r="AM68" t="s">
        <v>43</v>
      </c>
      <c r="AN68">
        <v>1</v>
      </c>
      <c r="AO68">
        <v>3</v>
      </c>
      <c r="AP68">
        <v>3</v>
      </c>
      <c r="AQ68">
        <v>5</v>
      </c>
      <c r="AR68">
        <v>5</v>
      </c>
      <c r="AS68">
        <v>3</v>
      </c>
      <c r="AT68">
        <v>4</v>
      </c>
      <c r="AV68">
        <v>13</v>
      </c>
      <c r="AW68">
        <v>13</v>
      </c>
      <c r="AX68">
        <v>12</v>
      </c>
    </row>
    <row r="69" spans="1:50" x14ac:dyDescent="0.2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f t="shared" si="20"/>
        <v>1</v>
      </c>
      <c r="H69">
        <v>3</v>
      </c>
      <c r="I69">
        <f t="shared" si="21"/>
        <v>0</v>
      </c>
      <c r="J69">
        <f t="shared" si="22"/>
        <v>0</v>
      </c>
      <c r="K69">
        <f t="shared" si="23"/>
        <v>0</v>
      </c>
      <c r="L69">
        <f t="shared" si="24"/>
        <v>1</v>
      </c>
      <c r="M69">
        <f t="shared" si="25"/>
        <v>0</v>
      </c>
      <c r="N69">
        <v>1</v>
      </c>
      <c r="O69">
        <f t="shared" si="15"/>
        <v>0</v>
      </c>
      <c r="P69">
        <f t="shared" si="16"/>
        <v>1</v>
      </c>
      <c r="Q69">
        <f t="shared" si="17"/>
        <v>0</v>
      </c>
      <c r="R69">
        <f t="shared" si="18"/>
        <v>0</v>
      </c>
      <c r="S69">
        <f t="shared" si="19"/>
        <v>0</v>
      </c>
      <c r="T69">
        <f t="shared" si="26"/>
        <v>0</v>
      </c>
      <c r="V69" t="s">
        <v>49</v>
      </c>
      <c r="W69" t="s">
        <v>46</v>
      </c>
      <c r="X69" t="s">
        <v>41</v>
      </c>
      <c r="Y69" t="s">
        <v>42</v>
      </c>
      <c r="Z69">
        <v>1</v>
      </c>
      <c r="AA69">
        <v>4</v>
      </c>
      <c r="AB69">
        <v>0</v>
      </c>
      <c r="AC69" t="s">
        <v>43</v>
      </c>
      <c r="AD69" t="s">
        <v>43</v>
      </c>
      <c r="AE69">
        <f t="shared" si="27"/>
        <v>1</v>
      </c>
      <c r="AF69" t="s">
        <v>43</v>
      </c>
      <c r="AG69">
        <f t="shared" si="28"/>
        <v>1</v>
      </c>
      <c r="AH69" t="s">
        <v>44</v>
      </c>
      <c r="AI69" t="s">
        <v>43</v>
      </c>
      <c r="AJ69" t="s">
        <v>43</v>
      </c>
      <c r="AK69" t="s">
        <v>43</v>
      </c>
      <c r="AL69">
        <f t="shared" si="29"/>
        <v>1</v>
      </c>
      <c r="AM69" t="s">
        <v>44</v>
      </c>
      <c r="AN69">
        <v>4</v>
      </c>
      <c r="AO69">
        <v>3</v>
      </c>
      <c r="AP69">
        <v>3</v>
      </c>
      <c r="AQ69">
        <v>1</v>
      </c>
      <c r="AR69">
        <v>2</v>
      </c>
      <c r="AS69">
        <v>5</v>
      </c>
      <c r="AT69">
        <v>4</v>
      </c>
      <c r="AV69">
        <v>7</v>
      </c>
      <c r="AW69">
        <v>7</v>
      </c>
      <c r="AX69">
        <v>6</v>
      </c>
    </row>
    <row r="70" spans="1:50" x14ac:dyDescent="0.2">
      <c r="A70" t="s">
        <v>34</v>
      </c>
      <c r="B70" t="s">
        <v>35</v>
      </c>
      <c r="C70">
        <v>15</v>
      </c>
      <c r="D70" t="s">
        <v>53</v>
      </c>
      <c r="E70" t="s">
        <v>48</v>
      </c>
      <c r="F70" t="s">
        <v>45</v>
      </c>
      <c r="G70">
        <f t="shared" si="20"/>
        <v>1</v>
      </c>
      <c r="H70">
        <v>2</v>
      </c>
      <c r="I70">
        <f t="shared" si="21"/>
        <v>0</v>
      </c>
      <c r="J70">
        <f t="shared" si="22"/>
        <v>0</v>
      </c>
      <c r="K70">
        <f t="shared" si="23"/>
        <v>1</v>
      </c>
      <c r="L70">
        <f t="shared" si="24"/>
        <v>0</v>
      </c>
      <c r="M70">
        <f t="shared" si="25"/>
        <v>0</v>
      </c>
      <c r="N70">
        <v>2</v>
      </c>
      <c r="O70">
        <f t="shared" si="15"/>
        <v>0</v>
      </c>
      <c r="P70">
        <f t="shared" si="16"/>
        <v>0</v>
      </c>
      <c r="Q70">
        <f t="shared" si="17"/>
        <v>1</v>
      </c>
      <c r="R70">
        <f t="shared" si="18"/>
        <v>0</v>
      </c>
      <c r="S70">
        <f t="shared" si="19"/>
        <v>0</v>
      </c>
      <c r="T70">
        <f t="shared" si="26"/>
        <v>0</v>
      </c>
      <c r="V70" t="s">
        <v>29</v>
      </c>
      <c r="W70" t="s">
        <v>49</v>
      </c>
      <c r="X70" t="s">
        <v>52</v>
      </c>
      <c r="Y70" t="s">
        <v>42</v>
      </c>
      <c r="Z70">
        <v>2</v>
      </c>
      <c r="AA70">
        <v>2</v>
      </c>
      <c r="AB70">
        <v>0</v>
      </c>
      <c r="AC70" t="s">
        <v>43</v>
      </c>
      <c r="AD70" t="s">
        <v>43</v>
      </c>
      <c r="AE70">
        <f t="shared" si="27"/>
        <v>1</v>
      </c>
      <c r="AF70" t="s">
        <v>43</v>
      </c>
      <c r="AG70">
        <f t="shared" si="28"/>
        <v>1</v>
      </c>
      <c r="AH70" t="s">
        <v>44</v>
      </c>
      <c r="AI70" t="s">
        <v>43</v>
      </c>
      <c r="AJ70" t="s">
        <v>43</v>
      </c>
      <c r="AK70" t="s">
        <v>43</v>
      </c>
      <c r="AL70">
        <f t="shared" si="29"/>
        <v>1</v>
      </c>
      <c r="AM70" t="s">
        <v>44</v>
      </c>
      <c r="AN70">
        <v>4</v>
      </c>
      <c r="AO70">
        <v>1</v>
      </c>
      <c r="AP70">
        <v>3</v>
      </c>
      <c r="AQ70">
        <v>1</v>
      </c>
      <c r="AR70">
        <v>3</v>
      </c>
      <c r="AS70">
        <v>4</v>
      </c>
      <c r="AT70">
        <v>2</v>
      </c>
      <c r="AV70">
        <v>8</v>
      </c>
      <c r="AW70">
        <v>9</v>
      </c>
      <c r="AX70">
        <v>8</v>
      </c>
    </row>
    <row r="71" spans="1:50" x14ac:dyDescent="0.2">
      <c r="A71" t="s">
        <v>34</v>
      </c>
      <c r="B71" t="s">
        <v>35</v>
      </c>
      <c r="C71">
        <v>15</v>
      </c>
      <c r="D71" t="s">
        <v>53</v>
      </c>
      <c r="E71" t="s">
        <v>48</v>
      </c>
      <c r="F71" t="s">
        <v>45</v>
      </c>
      <c r="G71">
        <f t="shared" si="20"/>
        <v>1</v>
      </c>
      <c r="H71">
        <v>3</v>
      </c>
      <c r="I71">
        <f t="shared" si="21"/>
        <v>0</v>
      </c>
      <c r="J71">
        <f t="shared" si="22"/>
        <v>0</v>
      </c>
      <c r="K71">
        <f t="shared" si="23"/>
        <v>0</v>
      </c>
      <c r="L71">
        <f t="shared" si="24"/>
        <v>1</v>
      </c>
      <c r="M71">
        <f t="shared" si="25"/>
        <v>0</v>
      </c>
      <c r="N71">
        <v>1</v>
      </c>
      <c r="O71">
        <f t="shared" si="15"/>
        <v>0</v>
      </c>
      <c r="P71">
        <f t="shared" si="16"/>
        <v>1</v>
      </c>
      <c r="Q71">
        <f t="shared" si="17"/>
        <v>0</v>
      </c>
      <c r="R71">
        <f t="shared" si="18"/>
        <v>0</v>
      </c>
      <c r="S71">
        <f t="shared" si="19"/>
        <v>0</v>
      </c>
      <c r="T71">
        <f t="shared" si="26"/>
        <v>0</v>
      </c>
      <c r="V71" t="s">
        <v>46</v>
      </c>
      <c r="W71" t="s">
        <v>46</v>
      </c>
      <c r="X71" t="s">
        <v>52</v>
      </c>
      <c r="Y71" t="s">
        <v>47</v>
      </c>
      <c r="Z71">
        <v>2</v>
      </c>
      <c r="AA71">
        <v>4</v>
      </c>
      <c r="AB71">
        <v>0</v>
      </c>
      <c r="AC71" t="s">
        <v>44</v>
      </c>
      <c r="AD71" t="s">
        <v>43</v>
      </c>
      <c r="AE71">
        <f t="shared" si="27"/>
        <v>1</v>
      </c>
      <c r="AF71" t="s">
        <v>44</v>
      </c>
      <c r="AG71">
        <f t="shared" si="28"/>
        <v>0</v>
      </c>
      <c r="AH71" t="s">
        <v>44</v>
      </c>
      <c r="AI71" t="s">
        <v>44</v>
      </c>
      <c r="AJ71" t="s">
        <v>43</v>
      </c>
      <c r="AK71" t="s">
        <v>43</v>
      </c>
      <c r="AL71">
        <f t="shared" si="29"/>
        <v>1</v>
      </c>
      <c r="AM71" t="s">
        <v>44</v>
      </c>
      <c r="AN71">
        <v>4</v>
      </c>
      <c r="AO71">
        <v>4</v>
      </c>
      <c r="AP71">
        <v>2</v>
      </c>
      <c r="AQ71">
        <v>2</v>
      </c>
      <c r="AR71">
        <v>3</v>
      </c>
      <c r="AS71">
        <v>3</v>
      </c>
      <c r="AT71">
        <v>12</v>
      </c>
      <c r="AV71">
        <v>16</v>
      </c>
      <c r="AW71">
        <v>16</v>
      </c>
      <c r="AX71">
        <v>16</v>
      </c>
    </row>
    <row r="72" spans="1:50" x14ac:dyDescent="0.2">
      <c r="A72" t="s">
        <v>34</v>
      </c>
      <c r="B72" t="s">
        <v>51</v>
      </c>
      <c r="C72">
        <v>16</v>
      </c>
      <c r="D72" t="s">
        <v>36</v>
      </c>
      <c r="E72" t="s">
        <v>37</v>
      </c>
      <c r="F72" t="s">
        <v>45</v>
      </c>
      <c r="G72">
        <f t="shared" si="20"/>
        <v>1</v>
      </c>
      <c r="H72">
        <v>3</v>
      </c>
      <c r="I72">
        <f t="shared" si="21"/>
        <v>0</v>
      </c>
      <c r="J72">
        <f t="shared" si="22"/>
        <v>0</v>
      </c>
      <c r="K72">
        <f t="shared" si="23"/>
        <v>0</v>
      </c>
      <c r="L72">
        <f t="shared" si="24"/>
        <v>1</v>
      </c>
      <c r="M72">
        <f t="shared" si="25"/>
        <v>0</v>
      </c>
      <c r="N72">
        <v>1</v>
      </c>
      <c r="O72">
        <f t="shared" si="15"/>
        <v>0</v>
      </c>
      <c r="P72">
        <f t="shared" si="16"/>
        <v>1</v>
      </c>
      <c r="Q72">
        <f t="shared" si="17"/>
        <v>0</v>
      </c>
      <c r="R72">
        <f t="shared" si="18"/>
        <v>0</v>
      </c>
      <c r="S72">
        <f t="shared" si="19"/>
        <v>0</v>
      </c>
      <c r="T72">
        <f t="shared" si="26"/>
        <v>0</v>
      </c>
      <c r="V72" t="s">
        <v>46</v>
      </c>
      <c r="W72" t="s">
        <v>46</v>
      </c>
      <c r="X72" t="s">
        <v>52</v>
      </c>
      <c r="Y72" t="s">
        <v>47</v>
      </c>
      <c r="Z72">
        <v>2</v>
      </c>
      <c r="AA72">
        <v>4</v>
      </c>
      <c r="AB72">
        <v>0</v>
      </c>
      <c r="AC72" t="s">
        <v>44</v>
      </c>
      <c r="AD72" t="s">
        <v>43</v>
      </c>
      <c r="AE72">
        <f t="shared" si="27"/>
        <v>1</v>
      </c>
      <c r="AF72" t="s">
        <v>43</v>
      </c>
      <c r="AG72">
        <f t="shared" si="28"/>
        <v>1</v>
      </c>
      <c r="AH72" t="s">
        <v>44</v>
      </c>
      <c r="AI72" t="s">
        <v>43</v>
      </c>
      <c r="AJ72" t="s">
        <v>43</v>
      </c>
      <c r="AK72" t="s">
        <v>43</v>
      </c>
      <c r="AL72">
        <f t="shared" si="29"/>
        <v>1</v>
      </c>
      <c r="AM72" t="s">
        <v>44</v>
      </c>
      <c r="AN72">
        <v>4</v>
      </c>
      <c r="AO72">
        <v>3</v>
      </c>
      <c r="AP72">
        <v>2</v>
      </c>
      <c r="AQ72">
        <v>1</v>
      </c>
      <c r="AR72">
        <v>1</v>
      </c>
      <c r="AS72">
        <v>5</v>
      </c>
      <c r="AT72">
        <v>0</v>
      </c>
      <c r="AV72">
        <v>13</v>
      </c>
      <c r="AW72">
        <v>15</v>
      </c>
      <c r="AX72">
        <v>15</v>
      </c>
    </row>
    <row r="73" spans="1:50" x14ac:dyDescent="0.2">
      <c r="A73" t="s">
        <v>34</v>
      </c>
      <c r="B73" t="s">
        <v>51</v>
      </c>
      <c r="C73">
        <v>15</v>
      </c>
      <c r="D73" t="s">
        <v>36</v>
      </c>
      <c r="E73" t="s">
        <v>37</v>
      </c>
      <c r="F73" t="s">
        <v>45</v>
      </c>
      <c r="G73">
        <f t="shared" si="20"/>
        <v>1</v>
      </c>
      <c r="H73">
        <v>4</v>
      </c>
      <c r="I73">
        <f t="shared" si="21"/>
        <v>0</v>
      </c>
      <c r="J73">
        <f t="shared" si="22"/>
        <v>0</v>
      </c>
      <c r="K73">
        <f t="shared" si="23"/>
        <v>0</v>
      </c>
      <c r="L73">
        <f t="shared" si="24"/>
        <v>0</v>
      </c>
      <c r="M73">
        <f t="shared" si="25"/>
        <v>1</v>
      </c>
      <c r="N73">
        <v>2</v>
      </c>
      <c r="O73">
        <f t="shared" si="15"/>
        <v>0</v>
      </c>
      <c r="P73">
        <f t="shared" si="16"/>
        <v>0</v>
      </c>
      <c r="Q73">
        <f t="shared" si="17"/>
        <v>1</v>
      </c>
      <c r="R73">
        <f t="shared" si="18"/>
        <v>0</v>
      </c>
      <c r="S73">
        <f t="shared" si="19"/>
        <v>0</v>
      </c>
      <c r="T73">
        <f t="shared" si="26"/>
        <v>0</v>
      </c>
      <c r="V73" t="s">
        <v>46</v>
      </c>
      <c r="W73" t="s">
        <v>46</v>
      </c>
      <c r="X73" t="s">
        <v>41</v>
      </c>
      <c r="Y73" t="s">
        <v>42</v>
      </c>
      <c r="Z73">
        <v>1</v>
      </c>
      <c r="AA73">
        <v>4</v>
      </c>
      <c r="AB73">
        <v>0</v>
      </c>
      <c r="AC73" t="s">
        <v>44</v>
      </c>
      <c r="AD73" t="s">
        <v>44</v>
      </c>
      <c r="AE73">
        <f t="shared" si="27"/>
        <v>0</v>
      </c>
      <c r="AF73" t="s">
        <v>44</v>
      </c>
      <c r="AG73">
        <f t="shared" si="28"/>
        <v>0</v>
      </c>
      <c r="AH73" t="s">
        <v>44</v>
      </c>
      <c r="AI73" t="s">
        <v>43</v>
      </c>
      <c r="AJ73" t="s">
        <v>43</v>
      </c>
      <c r="AK73" t="s">
        <v>43</v>
      </c>
      <c r="AL73">
        <f t="shared" si="29"/>
        <v>1</v>
      </c>
      <c r="AM73" t="s">
        <v>44</v>
      </c>
      <c r="AN73">
        <v>3</v>
      </c>
      <c r="AO73">
        <v>3</v>
      </c>
      <c r="AP73">
        <v>3</v>
      </c>
      <c r="AQ73">
        <v>1</v>
      </c>
      <c r="AR73">
        <v>1</v>
      </c>
      <c r="AS73">
        <v>3</v>
      </c>
      <c r="AT73">
        <v>0</v>
      </c>
      <c r="AV73">
        <v>10</v>
      </c>
      <c r="AW73">
        <v>10</v>
      </c>
      <c r="AX73">
        <v>10</v>
      </c>
    </row>
    <row r="74" spans="1:50" x14ac:dyDescent="0.2">
      <c r="A74" t="s">
        <v>34</v>
      </c>
      <c r="B74" t="s">
        <v>35</v>
      </c>
      <c r="C74">
        <v>15</v>
      </c>
      <c r="D74" t="s">
        <v>53</v>
      </c>
      <c r="E74" t="s">
        <v>37</v>
      </c>
      <c r="F74" t="s">
        <v>45</v>
      </c>
      <c r="G74">
        <f t="shared" si="20"/>
        <v>1</v>
      </c>
      <c r="H74">
        <v>1</v>
      </c>
      <c r="I74">
        <f t="shared" si="21"/>
        <v>0</v>
      </c>
      <c r="J74">
        <f t="shared" si="22"/>
        <v>1</v>
      </c>
      <c r="K74">
        <f t="shared" si="23"/>
        <v>0</v>
      </c>
      <c r="L74">
        <f t="shared" si="24"/>
        <v>0</v>
      </c>
      <c r="M74">
        <f t="shared" si="25"/>
        <v>0</v>
      </c>
      <c r="N74">
        <v>1</v>
      </c>
      <c r="O74">
        <f t="shared" si="15"/>
        <v>0</v>
      </c>
      <c r="P74">
        <f t="shared" si="16"/>
        <v>1</v>
      </c>
      <c r="Q74">
        <f t="shared" si="17"/>
        <v>0</v>
      </c>
      <c r="R74">
        <f t="shared" si="18"/>
        <v>0</v>
      </c>
      <c r="S74">
        <f t="shared" si="19"/>
        <v>0</v>
      </c>
      <c r="T74">
        <f t="shared" si="26"/>
        <v>0</v>
      </c>
      <c r="V74" t="s">
        <v>46</v>
      </c>
      <c r="W74" t="s">
        <v>46</v>
      </c>
      <c r="X74" t="s">
        <v>52</v>
      </c>
      <c r="Y74" t="s">
        <v>42</v>
      </c>
      <c r="Z74">
        <v>1</v>
      </c>
      <c r="AA74">
        <v>2</v>
      </c>
      <c r="AB74">
        <v>2</v>
      </c>
      <c r="AC74" t="s">
        <v>43</v>
      </c>
      <c r="AD74" t="s">
        <v>43</v>
      </c>
      <c r="AE74">
        <f t="shared" si="27"/>
        <v>1</v>
      </c>
      <c r="AF74" t="s">
        <v>44</v>
      </c>
      <c r="AG74">
        <f t="shared" si="28"/>
        <v>0</v>
      </c>
      <c r="AH74" t="s">
        <v>44</v>
      </c>
      <c r="AI74" t="s">
        <v>44</v>
      </c>
      <c r="AJ74" t="s">
        <v>43</v>
      </c>
      <c r="AK74" t="s">
        <v>43</v>
      </c>
      <c r="AL74">
        <f t="shared" si="29"/>
        <v>1</v>
      </c>
      <c r="AM74" t="s">
        <v>43</v>
      </c>
      <c r="AN74">
        <v>3</v>
      </c>
      <c r="AO74">
        <v>3</v>
      </c>
      <c r="AP74">
        <v>4</v>
      </c>
      <c r="AQ74">
        <v>2</v>
      </c>
      <c r="AR74">
        <v>4</v>
      </c>
      <c r="AS74">
        <v>5</v>
      </c>
      <c r="AT74">
        <v>2</v>
      </c>
      <c r="AV74">
        <v>8</v>
      </c>
      <c r="AW74">
        <v>6</v>
      </c>
      <c r="AX74">
        <v>5</v>
      </c>
    </row>
    <row r="75" spans="1:50" x14ac:dyDescent="0.2">
      <c r="A75" t="s">
        <v>34</v>
      </c>
      <c r="B75" t="s">
        <v>51</v>
      </c>
      <c r="C75">
        <v>16</v>
      </c>
      <c r="D75" t="s">
        <v>36</v>
      </c>
      <c r="E75" t="s">
        <v>37</v>
      </c>
      <c r="F75" t="s">
        <v>45</v>
      </c>
      <c r="G75">
        <f t="shared" si="20"/>
        <v>1</v>
      </c>
      <c r="H75">
        <v>3</v>
      </c>
      <c r="I75">
        <f t="shared" si="21"/>
        <v>0</v>
      </c>
      <c r="J75">
        <f t="shared" si="22"/>
        <v>0</v>
      </c>
      <c r="K75">
        <f t="shared" si="23"/>
        <v>0</v>
      </c>
      <c r="L75">
        <f t="shared" si="24"/>
        <v>1</v>
      </c>
      <c r="M75">
        <f t="shared" si="25"/>
        <v>0</v>
      </c>
      <c r="N75">
        <v>1</v>
      </c>
      <c r="O75">
        <f t="shared" si="15"/>
        <v>0</v>
      </c>
      <c r="P75">
        <f t="shared" si="16"/>
        <v>1</v>
      </c>
      <c r="Q75">
        <f t="shared" si="17"/>
        <v>0</v>
      </c>
      <c r="R75">
        <f t="shared" si="18"/>
        <v>0</v>
      </c>
      <c r="S75">
        <f t="shared" si="19"/>
        <v>0</v>
      </c>
      <c r="T75">
        <f t="shared" si="26"/>
        <v>0</v>
      </c>
      <c r="V75" t="s">
        <v>46</v>
      </c>
      <c r="W75" t="s">
        <v>46</v>
      </c>
      <c r="X75" t="s">
        <v>52</v>
      </c>
      <c r="Y75" t="s">
        <v>42</v>
      </c>
      <c r="Z75">
        <v>1</v>
      </c>
      <c r="AA75">
        <v>1</v>
      </c>
      <c r="AB75">
        <v>0</v>
      </c>
      <c r="AC75" t="s">
        <v>44</v>
      </c>
      <c r="AD75" t="s">
        <v>44</v>
      </c>
      <c r="AE75">
        <f t="shared" si="27"/>
        <v>0</v>
      </c>
      <c r="AF75" t="s">
        <v>44</v>
      </c>
      <c r="AG75">
        <f t="shared" si="28"/>
        <v>0</v>
      </c>
      <c r="AH75" t="s">
        <v>43</v>
      </c>
      <c r="AI75" t="s">
        <v>43</v>
      </c>
      <c r="AJ75" t="s">
        <v>43</v>
      </c>
      <c r="AK75" t="s">
        <v>44</v>
      </c>
      <c r="AL75">
        <f t="shared" si="29"/>
        <v>0</v>
      </c>
      <c r="AM75" t="s">
        <v>44</v>
      </c>
      <c r="AN75">
        <v>5</v>
      </c>
      <c r="AO75">
        <v>3</v>
      </c>
      <c r="AP75">
        <v>2</v>
      </c>
      <c r="AQ75">
        <v>2</v>
      </c>
      <c r="AR75">
        <v>2</v>
      </c>
      <c r="AS75">
        <v>5</v>
      </c>
      <c r="AT75">
        <v>2</v>
      </c>
      <c r="AV75">
        <v>12</v>
      </c>
      <c r="AW75">
        <v>12</v>
      </c>
      <c r="AX75">
        <v>14</v>
      </c>
    </row>
    <row r="76" spans="1:50" x14ac:dyDescent="0.2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f t="shared" si="20"/>
        <v>1</v>
      </c>
      <c r="H76">
        <v>3</v>
      </c>
      <c r="I76">
        <f t="shared" si="21"/>
        <v>0</v>
      </c>
      <c r="J76">
        <f t="shared" si="22"/>
        <v>0</v>
      </c>
      <c r="K76">
        <f t="shared" si="23"/>
        <v>0</v>
      </c>
      <c r="L76">
        <f t="shared" si="24"/>
        <v>1</v>
      </c>
      <c r="M76">
        <f t="shared" si="25"/>
        <v>0</v>
      </c>
      <c r="N76">
        <v>3</v>
      </c>
      <c r="O76">
        <f t="shared" si="15"/>
        <v>0</v>
      </c>
      <c r="P76">
        <f t="shared" si="16"/>
        <v>0</v>
      </c>
      <c r="Q76">
        <f t="shared" si="17"/>
        <v>0</v>
      </c>
      <c r="R76">
        <f t="shared" si="18"/>
        <v>1</v>
      </c>
      <c r="S76">
        <f t="shared" si="19"/>
        <v>0</v>
      </c>
      <c r="T76">
        <f t="shared" si="26"/>
        <v>0</v>
      </c>
      <c r="V76" t="s">
        <v>46</v>
      </c>
      <c r="W76" t="s">
        <v>49</v>
      </c>
      <c r="X76" t="s">
        <v>50</v>
      </c>
      <c r="Y76" t="s">
        <v>42</v>
      </c>
      <c r="Z76">
        <v>1</v>
      </c>
      <c r="AA76">
        <v>2</v>
      </c>
      <c r="AB76">
        <v>0</v>
      </c>
      <c r="AC76" t="s">
        <v>43</v>
      </c>
      <c r="AD76" t="s">
        <v>43</v>
      </c>
      <c r="AE76">
        <f t="shared" si="27"/>
        <v>1</v>
      </c>
      <c r="AF76" t="s">
        <v>43</v>
      </c>
      <c r="AG76">
        <f t="shared" si="28"/>
        <v>1</v>
      </c>
      <c r="AH76" t="s">
        <v>43</v>
      </c>
      <c r="AI76" t="s">
        <v>43</v>
      </c>
      <c r="AJ76" t="s">
        <v>43</v>
      </c>
      <c r="AK76" t="s">
        <v>43</v>
      </c>
      <c r="AL76">
        <f t="shared" si="29"/>
        <v>1</v>
      </c>
      <c r="AM76" t="s">
        <v>44</v>
      </c>
      <c r="AN76">
        <v>4</v>
      </c>
      <c r="AO76">
        <v>3</v>
      </c>
      <c r="AP76">
        <v>3</v>
      </c>
      <c r="AQ76">
        <v>2</v>
      </c>
      <c r="AR76">
        <v>4</v>
      </c>
      <c r="AS76">
        <v>5</v>
      </c>
      <c r="AT76">
        <v>54</v>
      </c>
      <c r="AV76">
        <v>11</v>
      </c>
      <c r="AW76">
        <v>12</v>
      </c>
      <c r="AX76">
        <v>11</v>
      </c>
    </row>
    <row r="77" spans="1:50" x14ac:dyDescent="0.2">
      <c r="A77" t="s">
        <v>34</v>
      </c>
      <c r="B77" t="s">
        <v>51</v>
      </c>
      <c r="C77">
        <v>15</v>
      </c>
      <c r="D77" t="s">
        <v>36</v>
      </c>
      <c r="E77" t="s">
        <v>37</v>
      </c>
      <c r="F77" t="s">
        <v>45</v>
      </c>
      <c r="G77">
        <f t="shared" si="20"/>
        <v>1</v>
      </c>
      <c r="H77">
        <v>4</v>
      </c>
      <c r="I77">
        <f t="shared" si="21"/>
        <v>0</v>
      </c>
      <c r="J77">
        <f t="shared" si="22"/>
        <v>0</v>
      </c>
      <c r="K77">
        <f t="shared" si="23"/>
        <v>0</v>
      </c>
      <c r="L77">
        <f t="shared" si="24"/>
        <v>0</v>
      </c>
      <c r="M77">
        <f t="shared" si="25"/>
        <v>1</v>
      </c>
      <c r="N77">
        <v>3</v>
      </c>
      <c r="O77">
        <f t="shared" si="15"/>
        <v>0</v>
      </c>
      <c r="P77">
        <f t="shared" si="16"/>
        <v>0</v>
      </c>
      <c r="Q77">
        <f t="shared" si="17"/>
        <v>0</v>
      </c>
      <c r="R77">
        <f t="shared" si="18"/>
        <v>1</v>
      </c>
      <c r="S77">
        <f t="shared" si="19"/>
        <v>0</v>
      </c>
      <c r="T77">
        <f t="shared" si="26"/>
        <v>0</v>
      </c>
      <c r="V77" t="s">
        <v>40</v>
      </c>
      <c r="W77" t="s">
        <v>46</v>
      </c>
      <c r="X77" t="s">
        <v>50</v>
      </c>
      <c r="Y77" t="s">
        <v>42</v>
      </c>
      <c r="Z77">
        <v>1</v>
      </c>
      <c r="AA77">
        <v>2</v>
      </c>
      <c r="AB77">
        <v>0</v>
      </c>
      <c r="AC77" t="s">
        <v>44</v>
      </c>
      <c r="AD77" t="s">
        <v>43</v>
      </c>
      <c r="AE77">
        <f t="shared" si="27"/>
        <v>1</v>
      </c>
      <c r="AF77" t="s">
        <v>43</v>
      </c>
      <c r="AG77">
        <f t="shared" si="28"/>
        <v>1</v>
      </c>
      <c r="AH77" t="s">
        <v>43</v>
      </c>
      <c r="AI77" t="s">
        <v>43</v>
      </c>
      <c r="AJ77" t="s">
        <v>43</v>
      </c>
      <c r="AK77" t="s">
        <v>43</v>
      </c>
      <c r="AL77">
        <f t="shared" si="29"/>
        <v>1</v>
      </c>
      <c r="AM77" t="s">
        <v>44</v>
      </c>
      <c r="AN77">
        <v>4</v>
      </c>
      <c r="AO77">
        <v>3</v>
      </c>
      <c r="AP77">
        <v>3</v>
      </c>
      <c r="AQ77">
        <v>2</v>
      </c>
      <c r="AR77">
        <v>3</v>
      </c>
      <c r="AS77">
        <v>5</v>
      </c>
      <c r="AT77">
        <v>6</v>
      </c>
      <c r="AV77">
        <v>9</v>
      </c>
      <c r="AW77">
        <v>9</v>
      </c>
      <c r="AX77">
        <v>10</v>
      </c>
    </row>
    <row r="78" spans="1:50" x14ac:dyDescent="0.2">
      <c r="A78" t="s">
        <v>34</v>
      </c>
      <c r="B78" t="s">
        <v>51</v>
      </c>
      <c r="C78">
        <v>15</v>
      </c>
      <c r="D78" t="s">
        <v>36</v>
      </c>
      <c r="E78" t="s">
        <v>37</v>
      </c>
      <c r="F78" t="s">
        <v>45</v>
      </c>
      <c r="G78">
        <f t="shared" si="20"/>
        <v>1</v>
      </c>
      <c r="H78">
        <v>4</v>
      </c>
      <c r="I78">
        <f t="shared" si="21"/>
        <v>0</v>
      </c>
      <c r="J78">
        <f t="shared" si="22"/>
        <v>0</v>
      </c>
      <c r="K78">
        <f t="shared" si="23"/>
        <v>0</v>
      </c>
      <c r="L78">
        <f t="shared" si="24"/>
        <v>0</v>
      </c>
      <c r="M78">
        <f t="shared" si="25"/>
        <v>1</v>
      </c>
      <c r="N78">
        <v>0</v>
      </c>
      <c r="O78">
        <f t="shared" si="15"/>
        <v>1</v>
      </c>
      <c r="P78">
        <f t="shared" si="16"/>
        <v>0</v>
      </c>
      <c r="Q78">
        <f t="shared" si="17"/>
        <v>0</v>
      </c>
      <c r="R78">
        <f t="shared" si="18"/>
        <v>0</v>
      </c>
      <c r="S78">
        <f t="shared" si="19"/>
        <v>0</v>
      </c>
      <c r="T78">
        <f t="shared" si="26"/>
        <v>0</v>
      </c>
      <c r="V78" t="s">
        <v>40</v>
      </c>
      <c r="W78" t="s">
        <v>46</v>
      </c>
      <c r="X78" t="s">
        <v>41</v>
      </c>
      <c r="Y78" t="s">
        <v>42</v>
      </c>
      <c r="Z78">
        <v>2</v>
      </c>
      <c r="AA78">
        <v>4</v>
      </c>
      <c r="AB78">
        <v>0</v>
      </c>
      <c r="AC78" t="s">
        <v>44</v>
      </c>
      <c r="AD78" t="s">
        <v>44</v>
      </c>
      <c r="AE78">
        <f t="shared" si="27"/>
        <v>0</v>
      </c>
      <c r="AF78" t="s">
        <v>44</v>
      </c>
      <c r="AG78">
        <f t="shared" si="28"/>
        <v>0</v>
      </c>
      <c r="AH78" t="s">
        <v>43</v>
      </c>
      <c r="AI78" t="s">
        <v>43</v>
      </c>
      <c r="AJ78" t="s">
        <v>43</v>
      </c>
      <c r="AK78" t="s">
        <v>43</v>
      </c>
      <c r="AL78">
        <f t="shared" si="29"/>
        <v>1</v>
      </c>
      <c r="AM78" t="s">
        <v>44</v>
      </c>
      <c r="AN78">
        <v>3</v>
      </c>
      <c r="AO78">
        <v>4</v>
      </c>
      <c r="AP78">
        <v>3</v>
      </c>
      <c r="AQ78">
        <v>1</v>
      </c>
      <c r="AR78">
        <v>1</v>
      </c>
      <c r="AS78">
        <v>1</v>
      </c>
      <c r="AT78">
        <v>8</v>
      </c>
      <c r="AV78">
        <v>11</v>
      </c>
      <c r="AW78">
        <v>11</v>
      </c>
      <c r="AX78">
        <v>10</v>
      </c>
    </row>
    <row r="79" spans="1:50" x14ac:dyDescent="0.2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f t="shared" si="20"/>
        <v>1</v>
      </c>
      <c r="H79">
        <v>2</v>
      </c>
      <c r="I79">
        <f t="shared" si="21"/>
        <v>0</v>
      </c>
      <c r="J79">
        <f t="shared" si="22"/>
        <v>0</v>
      </c>
      <c r="K79">
        <f t="shared" si="23"/>
        <v>1</v>
      </c>
      <c r="L79">
        <f t="shared" si="24"/>
        <v>0</v>
      </c>
      <c r="M79">
        <f t="shared" si="25"/>
        <v>0</v>
      </c>
      <c r="N79">
        <v>2</v>
      </c>
      <c r="O79">
        <f t="shared" si="15"/>
        <v>0</v>
      </c>
      <c r="P79">
        <f t="shared" si="16"/>
        <v>0</v>
      </c>
      <c r="Q79">
        <f t="shared" si="17"/>
        <v>1</v>
      </c>
      <c r="R79">
        <f t="shared" si="18"/>
        <v>0</v>
      </c>
      <c r="S79">
        <f t="shared" si="19"/>
        <v>0</v>
      </c>
      <c r="T79">
        <f t="shared" si="26"/>
        <v>0</v>
      </c>
      <c r="V79" t="s">
        <v>46</v>
      </c>
      <c r="W79" t="s">
        <v>46</v>
      </c>
      <c r="X79" t="s">
        <v>52</v>
      </c>
      <c r="Y79" t="s">
        <v>42</v>
      </c>
      <c r="Z79">
        <v>1</v>
      </c>
      <c r="AA79">
        <v>4</v>
      </c>
      <c r="AB79">
        <v>0</v>
      </c>
      <c r="AC79" t="s">
        <v>44</v>
      </c>
      <c r="AD79" t="s">
        <v>44</v>
      </c>
      <c r="AE79">
        <f t="shared" si="27"/>
        <v>0</v>
      </c>
      <c r="AF79" t="s">
        <v>43</v>
      </c>
      <c r="AG79">
        <f t="shared" si="28"/>
        <v>1</v>
      </c>
      <c r="AH79" t="s">
        <v>44</v>
      </c>
      <c r="AI79" t="s">
        <v>43</v>
      </c>
      <c r="AJ79" t="s">
        <v>43</v>
      </c>
      <c r="AK79" t="s">
        <v>43</v>
      </c>
      <c r="AL79">
        <f t="shared" si="29"/>
        <v>1</v>
      </c>
      <c r="AM79" t="s">
        <v>43</v>
      </c>
      <c r="AN79">
        <v>5</v>
      </c>
      <c r="AO79">
        <v>2</v>
      </c>
      <c r="AP79">
        <v>3</v>
      </c>
      <c r="AQ79">
        <v>1</v>
      </c>
      <c r="AR79">
        <v>3</v>
      </c>
      <c r="AS79">
        <v>3</v>
      </c>
      <c r="AT79">
        <v>0</v>
      </c>
      <c r="AV79">
        <v>11</v>
      </c>
      <c r="AW79">
        <v>11</v>
      </c>
      <c r="AX79">
        <v>11</v>
      </c>
    </row>
    <row r="80" spans="1:50" x14ac:dyDescent="0.2">
      <c r="A80" t="s">
        <v>34</v>
      </c>
      <c r="B80" t="s">
        <v>51</v>
      </c>
      <c r="C80">
        <v>17</v>
      </c>
      <c r="D80" t="s">
        <v>36</v>
      </c>
      <c r="E80" t="s">
        <v>37</v>
      </c>
      <c r="F80" t="s">
        <v>45</v>
      </c>
      <c r="G80">
        <f t="shared" si="20"/>
        <v>1</v>
      </c>
      <c r="H80">
        <v>2</v>
      </c>
      <c r="I80">
        <f t="shared" si="21"/>
        <v>0</v>
      </c>
      <c r="J80">
        <f t="shared" si="22"/>
        <v>0</v>
      </c>
      <c r="K80">
        <f t="shared" si="23"/>
        <v>1</v>
      </c>
      <c r="L80">
        <f t="shared" si="24"/>
        <v>0</v>
      </c>
      <c r="M80">
        <f t="shared" si="25"/>
        <v>0</v>
      </c>
      <c r="N80">
        <v>1</v>
      </c>
      <c r="O80">
        <f t="shared" si="15"/>
        <v>0</v>
      </c>
      <c r="P80">
        <f t="shared" si="16"/>
        <v>1</v>
      </c>
      <c r="Q80">
        <f t="shared" si="17"/>
        <v>0</v>
      </c>
      <c r="R80">
        <f t="shared" si="18"/>
        <v>0</v>
      </c>
      <c r="S80">
        <f t="shared" si="19"/>
        <v>0</v>
      </c>
      <c r="T80">
        <f t="shared" si="26"/>
        <v>0</v>
      </c>
      <c r="V80" t="s">
        <v>46</v>
      </c>
      <c r="W80" t="s">
        <v>46</v>
      </c>
      <c r="X80" t="s">
        <v>50</v>
      </c>
      <c r="Y80" t="s">
        <v>42</v>
      </c>
      <c r="Z80">
        <v>2</v>
      </c>
      <c r="AA80">
        <v>1</v>
      </c>
      <c r="AB80">
        <v>3</v>
      </c>
      <c r="AC80" t="s">
        <v>43</v>
      </c>
      <c r="AD80" t="s">
        <v>43</v>
      </c>
      <c r="AE80">
        <f t="shared" si="27"/>
        <v>1</v>
      </c>
      <c r="AF80" t="s">
        <v>44</v>
      </c>
      <c r="AG80">
        <f t="shared" si="28"/>
        <v>0</v>
      </c>
      <c r="AH80" t="s">
        <v>43</v>
      </c>
      <c r="AI80" t="s">
        <v>43</v>
      </c>
      <c r="AJ80" t="s">
        <v>44</v>
      </c>
      <c r="AK80" t="s">
        <v>43</v>
      </c>
      <c r="AL80">
        <f t="shared" si="29"/>
        <v>1</v>
      </c>
      <c r="AM80" t="s">
        <v>44</v>
      </c>
      <c r="AN80">
        <v>4</v>
      </c>
      <c r="AO80">
        <v>5</v>
      </c>
      <c r="AP80">
        <v>1</v>
      </c>
      <c r="AQ80">
        <v>1</v>
      </c>
      <c r="AR80">
        <v>1</v>
      </c>
      <c r="AS80">
        <v>3</v>
      </c>
      <c r="AT80">
        <v>2</v>
      </c>
      <c r="AV80">
        <v>8</v>
      </c>
      <c r="AW80">
        <v>8</v>
      </c>
      <c r="AX80">
        <v>10</v>
      </c>
    </row>
    <row r="81" spans="1:50" x14ac:dyDescent="0.2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f t="shared" si="20"/>
        <v>1</v>
      </c>
      <c r="H81">
        <v>3</v>
      </c>
      <c r="I81">
        <f t="shared" si="21"/>
        <v>0</v>
      </c>
      <c r="J81">
        <f t="shared" si="22"/>
        <v>0</v>
      </c>
      <c r="K81">
        <f t="shared" si="23"/>
        <v>0</v>
      </c>
      <c r="L81">
        <f t="shared" si="24"/>
        <v>1</v>
      </c>
      <c r="M81">
        <f t="shared" si="25"/>
        <v>0</v>
      </c>
      <c r="N81">
        <v>4</v>
      </c>
      <c r="O81">
        <f t="shared" si="15"/>
        <v>0</v>
      </c>
      <c r="P81">
        <f t="shared" si="16"/>
        <v>0</v>
      </c>
      <c r="Q81">
        <f t="shared" si="17"/>
        <v>0</v>
      </c>
      <c r="R81">
        <f t="shared" si="18"/>
        <v>0</v>
      </c>
      <c r="S81">
        <f t="shared" si="19"/>
        <v>1</v>
      </c>
      <c r="T81">
        <f t="shared" si="26"/>
        <v>0</v>
      </c>
      <c r="V81" t="s">
        <v>39</v>
      </c>
      <c r="W81" t="s">
        <v>46</v>
      </c>
      <c r="X81" t="s">
        <v>41</v>
      </c>
      <c r="Y81" t="s">
        <v>42</v>
      </c>
      <c r="Z81">
        <v>1</v>
      </c>
      <c r="AA81">
        <v>2</v>
      </c>
      <c r="AB81">
        <v>0</v>
      </c>
      <c r="AC81" t="s">
        <v>44</v>
      </c>
      <c r="AD81" t="s">
        <v>43</v>
      </c>
      <c r="AE81">
        <f t="shared" si="27"/>
        <v>1</v>
      </c>
      <c r="AF81" t="s">
        <v>44</v>
      </c>
      <c r="AG81">
        <f t="shared" si="28"/>
        <v>0</v>
      </c>
      <c r="AH81" t="s">
        <v>44</v>
      </c>
      <c r="AI81" t="s">
        <v>43</v>
      </c>
      <c r="AJ81" t="s">
        <v>43</v>
      </c>
      <c r="AK81" t="s">
        <v>43</v>
      </c>
      <c r="AL81">
        <f t="shared" si="29"/>
        <v>1</v>
      </c>
      <c r="AM81" t="s">
        <v>44</v>
      </c>
      <c r="AN81">
        <v>2</v>
      </c>
      <c r="AO81">
        <v>4</v>
      </c>
      <c r="AP81">
        <v>3</v>
      </c>
      <c r="AQ81">
        <v>1</v>
      </c>
      <c r="AR81">
        <v>2</v>
      </c>
      <c r="AS81">
        <v>3</v>
      </c>
      <c r="AT81">
        <v>12</v>
      </c>
      <c r="AV81">
        <v>5</v>
      </c>
      <c r="AW81">
        <v>5</v>
      </c>
      <c r="AX81">
        <v>5</v>
      </c>
    </row>
    <row r="82" spans="1:50" x14ac:dyDescent="0.2">
      <c r="A82" t="s">
        <v>34</v>
      </c>
      <c r="B82" t="s">
        <v>51</v>
      </c>
      <c r="C82">
        <v>15</v>
      </c>
      <c r="D82" t="s">
        <v>36</v>
      </c>
      <c r="E82" t="s">
        <v>37</v>
      </c>
      <c r="F82" t="s">
        <v>45</v>
      </c>
      <c r="G82">
        <f t="shared" si="20"/>
        <v>1</v>
      </c>
      <c r="H82">
        <v>2</v>
      </c>
      <c r="I82">
        <f t="shared" si="21"/>
        <v>0</v>
      </c>
      <c r="J82">
        <f t="shared" si="22"/>
        <v>0</v>
      </c>
      <c r="K82">
        <f t="shared" si="23"/>
        <v>1</v>
      </c>
      <c r="L82">
        <f t="shared" si="24"/>
        <v>0</v>
      </c>
      <c r="M82">
        <f t="shared" si="25"/>
        <v>0</v>
      </c>
      <c r="N82">
        <v>3</v>
      </c>
      <c r="O82">
        <f t="shared" si="15"/>
        <v>0</v>
      </c>
      <c r="P82">
        <f t="shared" si="16"/>
        <v>0</v>
      </c>
      <c r="Q82">
        <f t="shared" si="17"/>
        <v>0</v>
      </c>
      <c r="R82">
        <f t="shared" si="18"/>
        <v>1</v>
      </c>
      <c r="S82">
        <f t="shared" si="19"/>
        <v>0</v>
      </c>
      <c r="T82">
        <f t="shared" si="26"/>
        <v>0</v>
      </c>
      <c r="V82" t="s">
        <v>46</v>
      </c>
      <c r="W82" t="s">
        <v>49</v>
      </c>
      <c r="X82" t="s">
        <v>41</v>
      </c>
      <c r="Y82" t="s">
        <v>47</v>
      </c>
      <c r="Z82">
        <v>1</v>
      </c>
      <c r="AA82">
        <v>1</v>
      </c>
      <c r="AB82">
        <v>0</v>
      </c>
      <c r="AC82" t="s">
        <v>43</v>
      </c>
      <c r="AD82" t="s">
        <v>43</v>
      </c>
      <c r="AE82">
        <f t="shared" si="27"/>
        <v>1</v>
      </c>
      <c r="AF82" t="s">
        <v>43</v>
      </c>
      <c r="AG82">
        <f t="shared" si="28"/>
        <v>1</v>
      </c>
      <c r="AH82" t="s">
        <v>43</v>
      </c>
      <c r="AI82" t="s">
        <v>44</v>
      </c>
      <c r="AJ82" t="s">
        <v>43</v>
      </c>
      <c r="AK82" t="s">
        <v>43</v>
      </c>
      <c r="AL82">
        <f t="shared" si="29"/>
        <v>1</v>
      </c>
      <c r="AM82" t="s">
        <v>43</v>
      </c>
      <c r="AN82">
        <v>3</v>
      </c>
      <c r="AO82">
        <v>2</v>
      </c>
      <c r="AP82">
        <v>2</v>
      </c>
      <c r="AQ82">
        <v>1</v>
      </c>
      <c r="AR82">
        <v>3</v>
      </c>
      <c r="AS82">
        <v>3</v>
      </c>
      <c r="AT82">
        <v>2</v>
      </c>
      <c r="AV82">
        <v>10</v>
      </c>
      <c r="AW82">
        <v>12</v>
      </c>
      <c r="AX82">
        <v>12</v>
      </c>
    </row>
    <row r="83" spans="1:50" x14ac:dyDescent="0.2">
      <c r="A83" t="s">
        <v>34</v>
      </c>
      <c r="B83" t="s">
        <v>51</v>
      </c>
      <c r="C83">
        <v>15</v>
      </c>
      <c r="D83" t="s">
        <v>36</v>
      </c>
      <c r="E83" t="s">
        <v>37</v>
      </c>
      <c r="F83" t="s">
        <v>45</v>
      </c>
      <c r="G83">
        <f t="shared" si="20"/>
        <v>1</v>
      </c>
      <c r="H83">
        <v>2</v>
      </c>
      <c r="I83">
        <f t="shared" si="21"/>
        <v>0</v>
      </c>
      <c r="J83">
        <f t="shared" si="22"/>
        <v>0</v>
      </c>
      <c r="K83">
        <f t="shared" si="23"/>
        <v>1</v>
      </c>
      <c r="L83">
        <f t="shared" si="24"/>
        <v>0</v>
      </c>
      <c r="M83">
        <f t="shared" si="25"/>
        <v>0</v>
      </c>
      <c r="N83">
        <v>3</v>
      </c>
      <c r="O83">
        <f t="shared" si="15"/>
        <v>0</v>
      </c>
      <c r="P83">
        <f t="shared" si="16"/>
        <v>0</v>
      </c>
      <c r="Q83">
        <f t="shared" si="17"/>
        <v>0</v>
      </c>
      <c r="R83">
        <f t="shared" si="18"/>
        <v>1</v>
      </c>
      <c r="S83">
        <f t="shared" si="19"/>
        <v>0</v>
      </c>
      <c r="T83">
        <f t="shared" si="26"/>
        <v>0</v>
      </c>
      <c r="V83" t="s">
        <v>46</v>
      </c>
      <c r="W83" t="s">
        <v>46</v>
      </c>
      <c r="X83" t="s">
        <v>50</v>
      </c>
      <c r="Y83" t="s">
        <v>42</v>
      </c>
      <c r="Z83">
        <v>1</v>
      </c>
      <c r="AA83">
        <v>3</v>
      </c>
      <c r="AB83">
        <v>0</v>
      </c>
      <c r="AC83" t="s">
        <v>43</v>
      </c>
      <c r="AD83" t="s">
        <v>44</v>
      </c>
      <c r="AE83">
        <f t="shared" si="27"/>
        <v>0</v>
      </c>
      <c r="AF83" t="s">
        <v>43</v>
      </c>
      <c r="AG83">
        <f t="shared" si="28"/>
        <v>1</v>
      </c>
      <c r="AH83" t="s">
        <v>44</v>
      </c>
      <c r="AI83" t="s">
        <v>44</v>
      </c>
      <c r="AJ83" t="s">
        <v>43</v>
      </c>
      <c r="AK83" t="s">
        <v>43</v>
      </c>
      <c r="AL83">
        <f t="shared" si="29"/>
        <v>1</v>
      </c>
      <c r="AM83" t="s">
        <v>44</v>
      </c>
      <c r="AN83">
        <v>5</v>
      </c>
      <c r="AO83">
        <v>3</v>
      </c>
      <c r="AP83">
        <v>2</v>
      </c>
      <c r="AQ83">
        <v>1</v>
      </c>
      <c r="AR83">
        <v>2</v>
      </c>
      <c r="AS83">
        <v>5</v>
      </c>
      <c r="AT83">
        <v>4</v>
      </c>
      <c r="AV83">
        <v>11</v>
      </c>
      <c r="AW83">
        <v>10</v>
      </c>
      <c r="AX83">
        <v>11</v>
      </c>
    </row>
    <row r="84" spans="1:50" x14ac:dyDescent="0.2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f t="shared" si="20"/>
        <v>1</v>
      </c>
      <c r="H84">
        <v>3</v>
      </c>
      <c r="I84">
        <f t="shared" si="21"/>
        <v>0</v>
      </c>
      <c r="J84">
        <f t="shared" si="22"/>
        <v>0</v>
      </c>
      <c r="K84">
        <f t="shared" si="23"/>
        <v>0</v>
      </c>
      <c r="L84">
        <f t="shared" si="24"/>
        <v>1</v>
      </c>
      <c r="M84">
        <f t="shared" si="25"/>
        <v>0</v>
      </c>
      <c r="N84">
        <v>2</v>
      </c>
      <c r="O84">
        <f t="shared" si="15"/>
        <v>0</v>
      </c>
      <c r="P84">
        <f t="shared" si="16"/>
        <v>0</v>
      </c>
      <c r="Q84">
        <f t="shared" si="17"/>
        <v>1</v>
      </c>
      <c r="R84">
        <f t="shared" si="18"/>
        <v>0</v>
      </c>
      <c r="S84">
        <f t="shared" si="19"/>
        <v>0</v>
      </c>
      <c r="T84">
        <f t="shared" si="26"/>
        <v>0</v>
      </c>
      <c r="V84" t="s">
        <v>49</v>
      </c>
      <c r="W84" t="s">
        <v>46</v>
      </c>
      <c r="X84" t="s">
        <v>52</v>
      </c>
      <c r="Y84" t="s">
        <v>42</v>
      </c>
      <c r="Z84">
        <v>1</v>
      </c>
      <c r="AA84">
        <v>2</v>
      </c>
      <c r="AB84">
        <v>0</v>
      </c>
      <c r="AC84" t="s">
        <v>44</v>
      </c>
      <c r="AD84" t="s">
        <v>43</v>
      </c>
      <c r="AE84">
        <f t="shared" si="27"/>
        <v>1</v>
      </c>
      <c r="AF84" t="s">
        <v>43</v>
      </c>
      <c r="AG84">
        <f t="shared" si="28"/>
        <v>1</v>
      </c>
      <c r="AH84" t="s">
        <v>44</v>
      </c>
      <c r="AI84" t="s">
        <v>43</v>
      </c>
      <c r="AJ84" t="s">
        <v>43</v>
      </c>
      <c r="AK84" t="s">
        <v>43</v>
      </c>
      <c r="AL84">
        <f t="shared" si="29"/>
        <v>1</v>
      </c>
      <c r="AM84" t="s">
        <v>44</v>
      </c>
      <c r="AN84">
        <v>4</v>
      </c>
      <c r="AO84">
        <v>4</v>
      </c>
      <c r="AP84">
        <v>4</v>
      </c>
      <c r="AQ84">
        <v>1</v>
      </c>
      <c r="AR84">
        <v>1</v>
      </c>
      <c r="AS84">
        <v>5</v>
      </c>
      <c r="AT84">
        <v>10</v>
      </c>
      <c r="AV84">
        <v>7</v>
      </c>
      <c r="AW84">
        <v>6</v>
      </c>
      <c r="AX84">
        <v>6</v>
      </c>
    </row>
    <row r="85" spans="1:50" x14ac:dyDescent="0.2">
      <c r="A85" t="s">
        <v>34</v>
      </c>
      <c r="B85" t="s">
        <v>51</v>
      </c>
      <c r="C85">
        <v>15</v>
      </c>
      <c r="D85" t="s">
        <v>36</v>
      </c>
      <c r="E85" t="s">
        <v>48</v>
      </c>
      <c r="F85" t="s">
        <v>45</v>
      </c>
      <c r="G85">
        <f t="shared" si="20"/>
        <v>1</v>
      </c>
      <c r="H85">
        <v>2</v>
      </c>
      <c r="I85">
        <f t="shared" si="21"/>
        <v>0</v>
      </c>
      <c r="J85">
        <f t="shared" si="22"/>
        <v>0</v>
      </c>
      <c r="K85">
        <f t="shared" si="23"/>
        <v>1</v>
      </c>
      <c r="L85">
        <f t="shared" si="24"/>
        <v>0</v>
      </c>
      <c r="M85">
        <f t="shared" si="25"/>
        <v>0</v>
      </c>
      <c r="N85">
        <v>2</v>
      </c>
      <c r="O85">
        <f t="shared" si="15"/>
        <v>0</v>
      </c>
      <c r="P85">
        <f t="shared" si="16"/>
        <v>0</v>
      </c>
      <c r="Q85">
        <f t="shared" si="17"/>
        <v>1</v>
      </c>
      <c r="R85">
        <f t="shared" si="18"/>
        <v>0</v>
      </c>
      <c r="S85">
        <f t="shared" si="19"/>
        <v>0</v>
      </c>
      <c r="T85">
        <f t="shared" si="26"/>
        <v>0</v>
      </c>
      <c r="V85" t="s">
        <v>49</v>
      </c>
      <c r="W85" t="s">
        <v>49</v>
      </c>
      <c r="X85" t="s">
        <v>50</v>
      </c>
      <c r="Y85" t="s">
        <v>42</v>
      </c>
      <c r="Z85">
        <v>2</v>
      </c>
      <c r="AA85">
        <v>2</v>
      </c>
      <c r="AB85">
        <v>0</v>
      </c>
      <c r="AC85" t="s">
        <v>44</v>
      </c>
      <c r="AD85" t="s">
        <v>44</v>
      </c>
      <c r="AE85">
        <f t="shared" si="27"/>
        <v>0</v>
      </c>
      <c r="AF85" t="s">
        <v>43</v>
      </c>
      <c r="AG85">
        <f t="shared" si="28"/>
        <v>1</v>
      </c>
      <c r="AH85" t="s">
        <v>43</v>
      </c>
      <c r="AI85" t="s">
        <v>43</v>
      </c>
      <c r="AJ85" t="s">
        <v>43</v>
      </c>
      <c r="AK85" t="s">
        <v>43</v>
      </c>
      <c r="AL85">
        <f t="shared" si="29"/>
        <v>1</v>
      </c>
      <c r="AM85" t="s">
        <v>44</v>
      </c>
      <c r="AN85">
        <v>5</v>
      </c>
      <c r="AO85">
        <v>3</v>
      </c>
      <c r="AP85">
        <v>3</v>
      </c>
      <c r="AQ85">
        <v>1</v>
      </c>
      <c r="AR85">
        <v>3</v>
      </c>
      <c r="AS85">
        <v>4</v>
      </c>
      <c r="AT85">
        <v>4</v>
      </c>
      <c r="AV85">
        <v>15</v>
      </c>
      <c r="AW85">
        <v>15</v>
      </c>
      <c r="AX85">
        <v>15</v>
      </c>
    </row>
    <row r="86" spans="1:50" x14ac:dyDescent="0.2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f t="shared" si="20"/>
        <v>1</v>
      </c>
      <c r="H86">
        <v>1</v>
      </c>
      <c r="I86">
        <f t="shared" si="21"/>
        <v>0</v>
      </c>
      <c r="J86">
        <f t="shared" si="22"/>
        <v>1</v>
      </c>
      <c r="K86">
        <f t="shared" si="23"/>
        <v>0</v>
      </c>
      <c r="L86">
        <f t="shared" si="24"/>
        <v>0</v>
      </c>
      <c r="M86">
        <f t="shared" si="25"/>
        <v>0</v>
      </c>
      <c r="N86">
        <v>1</v>
      </c>
      <c r="O86">
        <f t="shared" si="15"/>
        <v>0</v>
      </c>
      <c r="P86">
        <f t="shared" si="16"/>
        <v>1</v>
      </c>
      <c r="Q86">
        <f t="shared" si="17"/>
        <v>0</v>
      </c>
      <c r="R86">
        <f t="shared" si="18"/>
        <v>0</v>
      </c>
      <c r="S86">
        <f t="shared" si="19"/>
        <v>0</v>
      </c>
      <c r="T86">
        <f t="shared" si="26"/>
        <v>0</v>
      </c>
      <c r="V86" t="s">
        <v>46</v>
      </c>
      <c r="W86" t="s">
        <v>46</v>
      </c>
      <c r="X86" t="s">
        <v>50</v>
      </c>
      <c r="Y86" t="s">
        <v>47</v>
      </c>
      <c r="Z86">
        <v>1</v>
      </c>
      <c r="AA86">
        <v>2</v>
      </c>
      <c r="AB86">
        <v>0</v>
      </c>
      <c r="AC86" t="s">
        <v>44</v>
      </c>
      <c r="AD86" t="s">
        <v>43</v>
      </c>
      <c r="AE86">
        <f t="shared" si="27"/>
        <v>1</v>
      </c>
      <c r="AF86" t="s">
        <v>44</v>
      </c>
      <c r="AG86">
        <f t="shared" si="28"/>
        <v>0</v>
      </c>
      <c r="AH86" t="s">
        <v>43</v>
      </c>
      <c r="AI86" t="s">
        <v>44</v>
      </c>
      <c r="AJ86" t="s">
        <v>43</v>
      </c>
      <c r="AK86" t="s">
        <v>43</v>
      </c>
      <c r="AL86">
        <f t="shared" si="29"/>
        <v>1</v>
      </c>
      <c r="AM86" t="s">
        <v>44</v>
      </c>
      <c r="AN86">
        <v>4</v>
      </c>
      <c r="AO86">
        <v>3</v>
      </c>
      <c r="AP86">
        <v>2</v>
      </c>
      <c r="AQ86">
        <v>2</v>
      </c>
      <c r="AR86">
        <v>3</v>
      </c>
      <c r="AS86">
        <v>4</v>
      </c>
      <c r="AT86">
        <v>2</v>
      </c>
      <c r="AV86">
        <v>9</v>
      </c>
      <c r="AW86">
        <v>10</v>
      </c>
      <c r="AX86">
        <v>10</v>
      </c>
    </row>
    <row r="87" spans="1:50" x14ac:dyDescent="0.2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f t="shared" si="20"/>
        <v>1</v>
      </c>
      <c r="H87">
        <v>4</v>
      </c>
      <c r="I87">
        <f t="shared" si="21"/>
        <v>0</v>
      </c>
      <c r="J87">
        <f t="shared" si="22"/>
        <v>0</v>
      </c>
      <c r="K87">
        <f t="shared" si="23"/>
        <v>0</v>
      </c>
      <c r="L87">
        <f t="shared" si="24"/>
        <v>0</v>
      </c>
      <c r="M87">
        <f t="shared" si="25"/>
        <v>1</v>
      </c>
      <c r="N87">
        <v>4</v>
      </c>
      <c r="O87">
        <f t="shared" si="15"/>
        <v>0</v>
      </c>
      <c r="P87">
        <f t="shared" si="16"/>
        <v>0</v>
      </c>
      <c r="Q87">
        <f t="shared" si="17"/>
        <v>0</v>
      </c>
      <c r="R87">
        <f t="shared" si="18"/>
        <v>0</v>
      </c>
      <c r="S87">
        <f t="shared" si="19"/>
        <v>1</v>
      </c>
      <c r="T87">
        <f t="shared" si="26"/>
        <v>1</v>
      </c>
      <c r="V87" t="s">
        <v>49</v>
      </c>
      <c r="W87" t="s">
        <v>49</v>
      </c>
      <c r="X87" t="s">
        <v>52</v>
      </c>
      <c r="Y87" t="s">
        <v>47</v>
      </c>
      <c r="Z87">
        <v>2</v>
      </c>
      <c r="AA87">
        <v>2</v>
      </c>
      <c r="AB87">
        <v>2</v>
      </c>
      <c r="AC87" t="s">
        <v>44</v>
      </c>
      <c r="AD87" t="s">
        <v>44</v>
      </c>
      <c r="AE87">
        <f t="shared" si="27"/>
        <v>0</v>
      </c>
      <c r="AF87" t="s">
        <v>43</v>
      </c>
      <c r="AG87">
        <f t="shared" si="28"/>
        <v>1</v>
      </c>
      <c r="AH87" t="s">
        <v>44</v>
      </c>
      <c r="AI87" t="s">
        <v>43</v>
      </c>
      <c r="AJ87" t="s">
        <v>43</v>
      </c>
      <c r="AK87" t="s">
        <v>43</v>
      </c>
      <c r="AL87">
        <f t="shared" si="29"/>
        <v>1</v>
      </c>
      <c r="AM87" t="s">
        <v>43</v>
      </c>
      <c r="AN87">
        <v>4</v>
      </c>
      <c r="AO87">
        <v>4</v>
      </c>
      <c r="AP87">
        <v>4</v>
      </c>
      <c r="AQ87">
        <v>2</v>
      </c>
      <c r="AR87">
        <v>3</v>
      </c>
      <c r="AS87">
        <v>5</v>
      </c>
      <c r="AT87">
        <v>6</v>
      </c>
      <c r="AV87">
        <v>7</v>
      </c>
      <c r="AW87">
        <v>9</v>
      </c>
      <c r="AX87">
        <v>8</v>
      </c>
    </row>
    <row r="88" spans="1:50" x14ac:dyDescent="0.2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f t="shared" si="20"/>
        <v>1</v>
      </c>
      <c r="H88">
        <v>2</v>
      </c>
      <c r="I88">
        <f t="shared" si="21"/>
        <v>0</v>
      </c>
      <c r="J88">
        <f t="shared" si="22"/>
        <v>0</v>
      </c>
      <c r="K88">
        <f t="shared" si="23"/>
        <v>1</v>
      </c>
      <c r="L88">
        <f t="shared" si="24"/>
        <v>0</v>
      </c>
      <c r="M88">
        <f t="shared" si="25"/>
        <v>0</v>
      </c>
      <c r="N88">
        <v>2</v>
      </c>
      <c r="O88">
        <f t="shared" si="15"/>
        <v>0</v>
      </c>
      <c r="P88">
        <f t="shared" si="16"/>
        <v>0</v>
      </c>
      <c r="Q88">
        <f t="shared" si="17"/>
        <v>1</v>
      </c>
      <c r="R88">
        <f t="shared" si="18"/>
        <v>0</v>
      </c>
      <c r="S88">
        <f t="shared" si="19"/>
        <v>0</v>
      </c>
      <c r="T88">
        <f t="shared" si="26"/>
        <v>0</v>
      </c>
      <c r="V88" t="s">
        <v>39</v>
      </c>
      <c r="W88" t="s">
        <v>46</v>
      </c>
      <c r="X88" t="s">
        <v>41</v>
      </c>
      <c r="Y88" t="s">
        <v>42</v>
      </c>
      <c r="Z88">
        <v>1</v>
      </c>
      <c r="AA88">
        <v>2</v>
      </c>
      <c r="AB88">
        <v>0</v>
      </c>
      <c r="AC88" t="s">
        <v>44</v>
      </c>
      <c r="AD88" t="s">
        <v>43</v>
      </c>
      <c r="AE88">
        <f t="shared" si="27"/>
        <v>1</v>
      </c>
      <c r="AF88" t="s">
        <v>44</v>
      </c>
      <c r="AG88">
        <f t="shared" si="28"/>
        <v>0</v>
      </c>
      <c r="AH88" t="s">
        <v>44</v>
      </c>
      <c r="AI88" t="s">
        <v>43</v>
      </c>
      <c r="AJ88" t="s">
        <v>43</v>
      </c>
      <c r="AK88" t="s">
        <v>44</v>
      </c>
      <c r="AL88">
        <f t="shared" si="29"/>
        <v>0</v>
      </c>
      <c r="AM88" t="s">
        <v>44</v>
      </c>
      <c r="AN88">
        <v>4</v>
      </c>
      <c r="AO88">
        <v>3</v>
      </c>
      <c r="AP88">
        <v>4</v>
      </c>
      <c r="AQ88">
        <v>1</v>
      </c>
      <c r="AR88">
        <v>2</v>
      </c>
      <c r="AS88">
        <v>2</v>
      </c>
      <c r="AT88">
        <v>4</v>
      </c>
      <c r="AV88">
        <v>8</v>
      </c>
      <c r="AW88">
        <v>7</v>
      </c>
      <c r="AX88">
        <v>6</v>
      </c>
    </row>
    <row r="89" spans="1:50" x14ac:dyDescent="0.2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f t="shared" si="20"/>
        <v>1</v>
      </c>
      <c r="H89">
        <v>4</v>
      </c>
      <c r="I89">
        <f t="shared" si="21"/>
        <v>0</v>
      </c>
      <c r="J89">
        <f t="shared" si="22"/>
        <v>0</v>
      </c>
      <c r="K89">
        <f t="shared" si="23"/>
        <v>0</v>
      </c>
      <c r="L89">
        <f t="shared" si="24"/>
        <v>0</v>
      </c>
      <c r="M89">
        <f t="shared" si="25"/>
        <v>1</v>
      </c>
      <c r="N89">
        <v>2</v>
      </c>
      <c r="O89">
        <f t="shared" si="15"/>
        <v>0</v>
      </c>
      <c r="P89">
        <f t="shared" si="16"/>
        <v>0</v>
      </c>
      <c r="Q89">
        <f t="shared" si="17"/>
        <v>1</v>
      </c>
      <c r="R89">
        <f t="shared" si="18"/>
        <v>0</v>
      </c>
      <c r="S89">
        <f t="shared" si="19"/>
        <v>0</v>
      </c>
      <c r="T89">
        <f t="shared" si="26"/>
        <v>0</v>
      </c>
      <c r="V89" t="s">
        <v>46</v>
      </c>
      <c r="W89" t="s">
        <v>46</v>
      </c>
      <c r="X89" t="s">
        <v>52</v>
      </c>
      <c r="Y89" t="s">
        <v>42</v>
      </c>
      <c r="Z89">
        <v>1</v>
      </c>
      <c r="AA89">
        <v>3</v>
      </c>
      <c r="AB89">
        <v>0</v>
      </c>
      <c r="AC89" t="s">
        <v>44</v>
      </c>
      <c r="AD89" t="s">
        <v>43</v>
      </c>
      <c r="AE89">
        <f t="shared" si="27"/>
        <v>1</v>
      </c>
      <c r="AF89" t="s">
        <v>44</v>
      </c>
      <c r="AG89">
        <f t="shared" si="28"/>
        <v>0</v>
      </c>
      <c r="AH89" t="s">
        <v>43</v>
      </c>
      <c r="AI89" t="s">
        <v>43</v>
      </c>
      <c r="AJ89" t="s">
        <v>43</v>
      </c>
      <c r="AK89" t="s">
        <v>43</v>
      </c>
      <c r="AL89">
        <f t="shared" si="29"/>
        <v>1</v>
      </c>
      <c r="AM89" t="s">
        <v>44</v>
      </c>
      <c r="AN89">
        <v>5</v>
      </c>
      <c r="AO89">
        <v>3</v>
      </c>
      <c r="AP89">
        <v>3</v>
      </c>
      <c r="AQ89">
        <v>1</v>
      </c>
      <c r="AR89">
        <v>3</v>
      </c>
      <c r="AS89">
        <v>1</v>
      </c>
      <c r="AT89">
        <v>4</v>
      </c>
      <c r="AV89">
        <v>13</v>
      </c>
      <c r="AW89">
        <v>14</v>
      </c>
      <c r="AX89">
        <v>14</v>
      </c>
    </row>
    <row r="90" spans="1:50" x14ac:dyDescent="0.2">
      <c r="A90" t="s">
        <v>34</v>
      </c>
      <c r="B90" t="s">
        <v>51</v>
      </c>
      <c r="C90">
        <v>16</v>
      </c>
      <c r="D90" t="s">
        <v>36</v>
      </c>
      <c r="E90" t="s">
        <v>37</v>
      </c>
      <c r="F90" t="s">
        <v>45</v>
      </c>
      <c r="G90">
        <f t="shared" si="20"/>
        <v>1</v>
      </c>
      <c r="H90">
        <v>2</v>
      </c>
      <c r="I90">
        <f t="shared" si="21"/>
        <v>0</v>
      </c>
      <c r="J90">
        <f t="shared" si="22"/>
        <v>0</v>
      </c>
      <c r="K90">
        <f t="shared" si="23"/>
        <v>1</v>
      </c>
      <c r="L90">
        <f t="shared" si="24"/>
        <v>0</v>
      </c>
      <c r="M90">
        <f t="shared" si="25"/>
        <v>0</v>
      </c>
      <c r="N90">
        <v>2</v>
      </c>
      <c r="O90">
        <f t="shared" si="15"/>
        <v>0</v>
      </c>
      <c r="P90">
        <f t="shared" si="16"/>
        <v>0</v>
      </c>
      <c r="Q90">
        <f t="shared" si="17"/>
        <v>1</v>
      </c>
      <c r="R90">
        <f t="shared" si="18"/>
        <v>0</v>
      </c>
      <c r="S90">
        <f t="shared" si="19"/>
        <v>0</v>
      </c>
      <c r="T90">
        <f t="shared" si="26"/>
        <v>0</v>
      </c>
      <c r="V90" t="s">
        <v>49</v>
      </c>
      <c r="W90" t="s">
        <v>46</v>
      </c>
      <c r="X90" t="s">
        <v>52</v>
      </c>
      <c r="Y90" t="s">
        <v>47</v>
      </c>
      <c r="Z90">
        <v>2</v>
      </c>
      <c r="AA90">
        <v>2</v>
      </c>
      <c r="AB90">
        <v>1</v>
      </c>
      <c r="AC90" t="s">
        <v>44</v>
      </c>
      <c r="AD90" t="s">
        <v>44</v>
      </c>
      <c r="AE90">
        <f t="shared" si="27"/>
        <v>0</v>
      </c>
      <c r="AF90" t="s">
        <v>43</v>
      </c>
      <c r="AG90">
        <f t="shared" si="28"/>
        <v>1</v>
      </c>
      <c r="AH90" t="s">
        <v>43</v>
      </c>
      <c r="AI90" t="s">
        <v>44</v>
      </c>
      <c r="AJ90" t="s">
        <v>43</v>
      </c>
      <c r="AK90" t="s">
        <v>43</v>
      </c>
      <c r="AL90">
        <f t="shared" si="29"/>
        <v>1</v>
      </c>
      <c r="AM90" t="s">
        <v>44</v>
      </c>
      <c r="AN90">
        <v>4</v>
      </c>
      <c r="AO90">
        <v>4</v>
      </c>
      <c r="AP90">
        <v>2</v>
      </c>
      <c r="AQ90">
        <v>1</v>
      </c>
      <c r="AR90">
        <v>1</v>
      </c>
      <c r="AS90">
        <v>3</v>
      </c>
      <c r="AT90">
        <v>12</v>
      </c>
      <c r="AV90">
        <v>11</v>
      </c>
      <c r="AW90">
        <v>10</v>
      </c>
      <c r="AX90">
        <v>10</v>
      </c>
    </row>
    <row r="91" spans="1:50" x14ac:dyDescent="0.2">
      <c r="A91" t="s">
        <v>34</v>
      </c>
      <c r="B91" t="s">
        <v>51</v>
      </c>
      <c r="C91">
        <v>16</v>
      </c>
      <c r="D91" t="s">
        <v>36</v>
      </c>
      <c r="E91" t="s">
        <v>48</v>
      </c>
      <c r="F91" t="s">
        <v>38</v>
      </c>
      <c r="G91">
        <f t="shared" si="20"/>
        <v>0</v>
      </c>
      <c r="H91">
        <v>4</v>
      </c>
      <c r="I91">
        <f t="shared" si="21"/>
        <v>0</v>
      </c>
      <c r="J91">
        <f t="shared" si="22"/>
        <v>0</v>
      </c>
      <c r="K91">
        <f t="shared" si="23"/>
        <v>0</v>
      </c>
      <c r="L91">
        <f t="shared" si="24"/>
        <v>0</v>
      </c>
      <c r="M91">
        <f t="shared" si="25"/>
        <v>1</v>
      </c>
      <c r="N91">
        <v>4</v>
      </c>
      <c r="O91">
        <f t="shared" si="15"/>
        <v>0</v>
      </c>
      <c r="P91">
        <f t="shared" si="16"/>
        <v>0</v>
      </c>
      <c r="Q91">
        <f t="shared" si="17"/>
        <v>0</v>
      </c>
      <c r="R91">
        <f t="shared" si="18"/>
        <v>0</v>
      </c>
      <c r="S91">
        <f t="shared" si="19"/>
        <v>1</v>
      </c>
      <c r="T91">
        <f t="shared" si="26"/>
        <v>1</v>
      </c>
      <c r="V91" t="s">
        <v>40</v>
      </c>
      <c r="W91" t="s">
        <v>29</v>
      </c>
      <c r="X91" t="s">
        <v>52</v>
      </c>
      <c r="Y91" t="s">
        <v>42</v>
      </c>
      <c r="Z91">
        <v>1</v>
      </c>
      <c r="AA91">
        <v>2</v>
      </c>
      <c r="AB91">
        <v>0</v>
      </c>
      <c r="AC91" t="s">
        <v>44</v>
      </c>
      <c r="AD91" t="s">
        <v>43</v>
      </c>
      <c r="AE91">
        <f t="shared" si="27"/>
        <v>1</v>
      </c>
      <c r="AF91" t="s">
        <v>44</v>
      </c>
      <c r="AG91">
        <f t="shared" si="28"/>
        <v>0</v>
      </c>
      <c r="AH91" t="s">
        <v>44</v>
      </c>
      <c r="AI91" t="s">
        <v>43</v>
      </c>
      <c r="AJ91" t="s">
        <v>43</v>
      </c>
      <c r="AK91" t="s">
        <v>44</v>
      </c>
      <c r="AL91">
        <f t="shared" si="29"/>
        <v>0</v>
      </c>
      <c r="AM91" t="s">
        <v>44</v>
      </c>
      <c r="AN91">
        <v>4</v>
      </c>
      <c r="AO91">
        <v>1</v>
      </c>
      <c r="AP91">
        <v>3</v>
      </c>
      <c r="AQ91">
        <v>3</v>
      </c>
      <c r="AR91">
        <v>5</v>
      </c>
      <c r="AS91">
        <v>5</v>
      </c>
      <c r="AT91">
        <v>18</v>
      </c>
      <c r="AV91">
        <v>8</v>
      </c>
      <c r="AW91">
        <v>6</v>
      </c>
      <c r="AX91">
        <v>7</v>
      </c>
    </row>
    <row r="92" spans="1:50" x14ac:dyDescent="0.2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f t="shared" si="20"/>
        <v>1</v>
      </c>
      <c r="H92">
        <v>3</v>
      </c>
      <c r="I92">
        <f t="shared" si="21"/>
        <v>0</v>
      </c>
      <c r="J92">
        <f t="shared" si="22"/>
        <v>0</v>
      </c>
      <c r="K92">
        <f t="shared" si="23"/>
        <v>0</v>
      </c>
      <c r="L92">
        <f t="shared" si="24"/>
        <v>1</v>
      </c>
      <c r="M92">
        <f t="shared" si="25"/>
        <v>0</v>
      </c>
      <c r="N92">
        <v>3</v>
      </c>
      <c r="O92">
        <f t="shared" si="15"/>
        <v>0</v>
      </c>
      <c r="P92">
        <f t="shared" si="16"/>
        <v>0</v>
      </c>
      <c r="Q92">
        <f t="shared" si="17"/>
        <v>0</v>
      </c>
      <c r="R92">
        <f t="shared" si="18"/>
        <v>1</v>
      </c>
      <c r="S92">
        <f t="shared" si="19"/>
        <v>0</v>
      </c>
      <c r="T92">
        <f t="shared" si="26"/>
        <v>0</v>
      </c>
      <c r="V92" t="s">
        <v>46</v>
      </c>
      <c r="W92" t="s">
        <v>46</v>
      </c>
      <c r="X92" t="s">
        <v>50</v>
      </c>
      <c r="Y92" t="s">
        <v>42</v>
      </c>
      <c r="Z92">
        <v>1</v>
      </c>
      <c r="AA92">
        <v>3</v>
      </c>
      <c r="AB92">
        <v>0</v>
      </c>
      <c r="AC92" t="s">
        <v>44</v>
      </c>
      <c r="AD92" t="s">
        <v>43</v>
      </c>
      <c r="AE92">
        <f t="shared" si="27"/>
        <v>1</v>
      </c>
      <c r="AF92" t="s">
        <v>43</v>
      </c>
      <c r="AG92">
        <f t="shared" si="28"/>
        <v>1</v>
      </c>
      <c r="AH92" t="s">
        <v>44</v>
      </c>
      <c r="AI92" t="s">
        <v>43</v>
      </c>
      <c r="AJ92" t="s">
        <v>43</v>
      </c>
      <c r="AK92" t="s">
        <v>43</v>
      </c>
      <c r="AL92">
        <f t="shared" si="29"/>
        <v>1</v>
      </c>
      <c r="AM92" t="s">
        <v>43</v>
      </c>
      <c r="AN92">
        <v>4</v>
      </c>
      <c r="AO92">
        <v>3</v>
      </c>
      <c r="AP92">
        <v>3</v>
      </c>
      <c r="AQ92">
        <v>1</v>
      </c>
      <c r="AR92">
        <v>3</v>
      </c>
      <c r="AS92">
        <v>4</v>
      </c>
      <c r="AT92">
        <v>0</v>
      </c>
      <c r="AV92">
        <v>7</v>
      </c>
      <c r="AW92">
        <v>7</v>
      </c>
      <c r="AX92">
        <v>8</v>
      </c>
    </row>
    <row r="93" spans="1:50" x14ac:dyDescent="0.2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f t="shared" si="20"/>
        <v>1</v>
      </c>
      <c r="H93">
        <v>4</v>
      </c>
      <c r="I93">
        <f t="shared" si="21"/>
        <v>0</v>
      </c>
      <c r="J93">
        <f t="shared" si="22"/>
        <v>0</v>
      </c>
      <c r="K93">
        <f t="shared" si="23"/>
        <v>0</v>
      </c>
      <c r="L93">
        <f t="shared" si="24"/>
        <v>0</v>
      </c>
      <c r="M93">
        <f t="shared" si="25"/>
        <v>1</v>
      </c>
      <c r="N93">
        <v>3</v>
      </c>
      <c r="O93">
        <f t="shared" si="15"/>
        <v>0</v>
      </c>
      <c r="P93">
        <f t="shared" si="16"/>
        <v>0</v>
      </c>
      <c r="Q93">
        <f t="shared" si="17"/>
        <v>0</v>
      </c>
      <c r="R93">
        <f t="shared" si="18"/>
        <v>1</v>
      </c>
      <c r="S93">
        <f t="shared" si="19"/>
        <v>0</v>
      </c>
      <c r="T93">
        <f t="shared" si="26"/>
        <v>0</v>
      </c>
      <c r="V93" t="s">
        <v>49</v>
      </c>
      <c r="W93" t="s">
        <v>46</v>
      </c>
      <c r="X93" t="s">
        <v>52</v>
      </c>
      <c r="Y93" t="s">
        <v>42</v>
      </c>
      <c r="Z93">
        <v>1</v>
      </c>
      <c r="AA93">
        <v>1</v>
      </c>
      <c r="AB93">
        <v>0</v>
      </c>
      <c r="AC93" t="s">
        <v>44</v>
      </c>
      <c r="AD93" t="s">
        <v>44</v>
      </c>
      <c r="AE93">
        <f t="shared" si="27"/>
        <v>0</v>
      </c>
      <c r="AF93" t="s">
        <v>43</v>
      </c>
      <c r="AG93">
        <f t="shared" si="28"/>
        <v>1</v>
      </c>
      <c r="AH93" t="s">
        <v>43</v>
      </c>
      <c r="AI93" t="s">
        <v>43</v>
      </c>
      <c r="AJ93" t="s">
        <v>43</v>
      </c>
      <c r="AK93" t="s">
        <v>43</v>
      </c>
      <c r="AL93">
        <f t="shared" si="29"/>
        <v>1</v>
      </c>
      <c r="AM93" t="s">
        <v>44</v>
      </c>
      <c r="AN93">
        <v>4</v>
      </c>
      <c r="AO93">
        <v>5</v>
      </c>
      <c r="AP93">
        <v>5</v>
      </c>
      <c r="AQ93">
        <v>1</v>
      </c>
      <c r="AR93">
        <v>3</v>
      </c>
      <c r="AS93">
        <v>1</v>
      </c>
      <c r="AT93">
        <v>4</v>
      </c>
      <c r="AV93">
        <v>16</v>
      </c>
      <c r="AW93">
        <v>17</v>
      </c>
      <c r="AX93">
        <v>18</v>
      </c>
    </row>
    <row r="94" spans="1:50" x14ac:dyDescent="0.2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f t="shared" si="20"/>
        <v>1</v>
      </c>
      <c r="H94">
        <v>3</v>
      </c>
      <c r="I94">
        <f t="shared" si="21"/>
        <v>0</v>
      </c>
      <c r="J94">
        <f t="shared" si="22"/>
        <v>0</v>
      </c>
      <c r="K94">
        <f t="shared" si="23"/>
        <v>0</v>
      </c>
      <c r="L94">
        <f t="shared" si="24"/>
        <v>1</v>
      </c>
      <c r="M94">
        <f t="shared" si="25"/>
        <v>0</v>
      </c>
      <c r="N94">
        <v>1</v>
      </c>
      <c r="O94">
        <f t="shared" si="15"/>
        <v>0</v>
      </c>
      <c r="P94">
        <f t="shared" si="16"/>
        <v>1</v>
      </c>
      <c r="Q94">
        <f t="shared" si="17"/>
        <v>0</v>
      </c>
      <c r="R94">
        <f t="shared" si="18"/>
        <v>0</v>
      </c>
      <c r="S94">
        <f t="shared" si="19"/>
        <v>0</v>
      </c>
      <c r="T94">
        <f t="shared" si="26"/>
        <v>0</v>
      </c>
      <c r="V94" t="s">
        <v>46</v>
      </c>
      <c r="W94" t="s">
        <v>46</v>
      </c>
      <c r="X94" t="s">
        <v>50</v>
      </c>
      <c r="Y94" t="s">
        <v>47</v>
      </c>
      <c r="Z94">
        <v>1</v>
      </c>
      <c r="AA94">
        <v>2</v>
      </c>
      <c r="AB94">
        <v>0</v>
      </c>
      <c r="AC94" t="s">
        <v>43</v>
      </c>
      <c r="AD94" t="s">
        <v>43</v>
      </c>
      <c r="AE94">
        <f t="shared" si="27"/>
        <v>1</v>
      </c>
      <c r="AF94" t="s">
        <v>44</v>
      </c>
      <c r="AG94">
        <f t="shared" si="28"/>
        <v>0</v>
      </c>
      <c r="AH94" t="s">
        <v>44</v>
      </c>
      <c r="AI94" t="s">
        <v>43</v>
      </c>
      <c r="AJ94" t="s">
        <v>43</v>
      </c>
      <c r="AK94" t="s">
        <v>44</v>
      </c>
      <c r="AL94">
        <f t="shared" si="29"/>
        <v>0</v>
      </c>
      <c r="AM94" t="s">
        <v>44</v>
      </c>
      <c r="AN94">
        <v>3</v>
      </c>
      <c r="AO94">
        <v>3</v>
      </c>
      <c r="AP94">
        <v>3</v>
      </c>
      <c r="AQ94">
        <v>2</v>
      </c>
      <c r="AR94">
        <v>3</v>
      </c>
      <c r="AS94">
        <v>2</v>
      </c>
      <c r="AT94">
        <v>4</v>
      </c>
      <c r="AV94">
        <v>7</v>
      </c>
      <c r="AW94">
        <v>6</v>
      </c>
      <c r="AX94">
        <v>6</v>
      </c>
    </row>
    <row r="95" spans="1:50" x14ac:dyDescent="0.2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f t="shared" si="20"/>
        <v>1</v>
      </c>
      <c r="H95">
        <v>4</v>
      </c>
      <c r="I95">
        <f t="shared" si="21"/>
        <v>0</v>
      </c>
      <c r="J95">
        <f t="shared" si="22"/>
        <v>0</v>
      </c>
      <c r="K95">
        <f t="shared" si="23"/>
        <v>0</v>
      </c>
      <c r="L95">
        <f t="shared" si="24"/>
        <v>0</v>
      </c>
      <c r="M95">
        <f t="shared" si="25"/>
        <v>1</v>
      </c>
      <c r="N95">
        <v>2</v>
      </c>
      <c r="O95">
        <f t="shared" si="15"/>
        <v>0</v>
      </c>
      <c r="P95">
        <f t="shared" si="16"/>
        <v>0</v>
      </c>
      <c r="Q95">
        <f t="shared" si="17"/>
        <v>1</v>
      </c>
      <c r="R95">
        <f t="shared" si="18"/>
        <v>0</v>
      </c>
      <c r="S95">
        <f t="shared" si="19"/>
        <v>0</v>
      </c>
      <c r="T95">
        <f t="shared" si="26"/>
        <v>0</v>
      </c>
      <c r="V95" t="s">
        <v>40</v>
      </c>
      <c r="W95" t="s">
        <v>49</v>
      </c>
      <c r="X95" t="s">
        <v>50</v>
      </c>
      <c r="Y95" t="s">
        <v>42</v>
      </c>
      <c r="Z95">
        <v>2</v>
      </c>
      <c r="AA95">
        <v>2</v>
      </c>
      <c r="AB95">
        <v>0</v>
      </c>
      <c r="AC95" t="s">
        <v>44</v>
      </c>
      <c r="AD95" t="s">
        <v>43</v>
      </c>
      <c r="AE95">
        <f t="shared" si="27"/>
        <v>1</v>
      </c>
      <c r="AF95" t="s">
        <v>43</v>
      </c>
      <c r="AG95">
        <f t="shared" si="28"/>
        <v>1</v>
      </c>
      <c r="AH95" t="s">
        <v>43</v>
      </c>
      <c r="AI95" t="s">
        <v>43</v>
      </c>
      <c r="AJ95" t="s">
        <v>43</v>
      </c>
      <c r="AK95" t="s">
        <v>43</v>
      </c>
      <c r="AL95">
        <f t="shared" si="29"/>
        <v>1</v>
      </c>
      <c r="AM95" t="s">
        <v>44</v>
      </c>
      <c r="AN95">
        <v>5</v>
      </c>
      <c r="AO95">
        <v>3</v>
      </c>
      <c r="AP95">
        <v>3</v>
      </c>
      <c r="AQ95">
        <v>1</v>
      </c>
      <c r="AR95">
        <v>1</v>
      </c>
      <c r="AS95">
        <v>1</v>
      </c>
      <c r="AT95">
        <v>0</v>
      </c>
      <c r="AV95">
        <v>11</v>
      </c>
      <c r="AW95">
        <v>10</v>
      </c>
      <c r="AX95">
        <v>10</v>
      </c>
    </row>
    <row r="96" spans="1:50" x14ac:dyDescent="0.2">
      <c r="A96" t="s">
        <v>34</v>
      </c>
      <c r="B96" t="s">
        <v>51</v>
      </c>
      <c r="C96">
        <v>15</v>
      </c>
      <c r="D96" t="s">
        <v>36</v>
      </c>
      <c r="E96" t="s">
        <v>48</v>
      </c>
      <c r="F96" t="s">
        <v>45</v>
      </c>
      <c r="G96">
        <f t="shared" si="20"/>
        <v>1</v>
      </c>
      <c r="H96">
        <v>2</v>
      </c>
      <c r="I96">
        <f t="shared" si="21"/>
        <v>0</v>
      </c>
      <c r="J96">
        <f t="shared" si="22"/>
        <v>0</v>
      </c>
      <c r="K96">
        <f t="shared" si="23"/>
        <v>1</v>
      </c>
      <c r="L96">
        <f t="shared" si="24"/>
        <v>0</v>
      </c>
      <c r="M96">
        <f t="shared" si="25"/>
        <v>0</v>
      </c>
      <c r="N96">
        <v>2</v>
      </c>
      <c r="O96">
        <f t="shared" si="15"/>
        <v>0</v>
      </c>
      <c r="P96">
        <f t="shared" si="16"/>
        <v>0</v>
      </c>
      <c r="Q96">
        <f t="shared" si="17"/>
        <v>1</v>
      </c>
      <c r="R96">
        <f t="shared" si="18"/>
        <v>0</v>
      </c>
      <c r="S96">
        <f t="shared" si="19"/>
        <v>0</v>
      </c>
      <c r="T96">
        <f t="shared" si="26"/>
        <v>0</v>
      </c>
      <c r="V96" t="s">
        <v>49</v>
      </c>
      <c r="W96" t="s">
        <v>29</v>
      </c>
      <c r="X96" t="s">
        <v>52</v>
      </c>
      <c r="Y96" t="s">
        <v>42</v>
      </c>
      <c r="Z96">
        <v>1</v>
      </c>
      <c r="AA96">
        <v>4</v>
      </c>
      <c r="AB96">
        <v>0</v>
      </c>
      <c r="AC96" t="s">
        <v>44</v>
      </c>
      <c r="AD96" t="s">
        <v>43</v>
      </c>
      <c r="AE96">
        <f t="shared" si="27"/>
        <v>1</v>
      </c>
      <c r="AF96" t="s">
        <v>44</v>
      </c>
      <c r="AG96">
        <f t="shared" si="28"/>
        <v>0</v>
      </c>
      <c r="AH96" t="s">
        <v>43</v>
      </c>
      <c r="AI96" t="s">
        <v>43</v>
      </c>
      <c r="AJ96" t="s">
        <v>43</v>
      </c>
      <c r="AK96" t="s">
        <v>43</v>
      </c>
      <c r="AL96">
        <f t="shared" si="29"/>
        <v>1</v>
      </c>
      <c r="AM96" t="s">
        <v>44</v>
      </c>
      <c r="AN96">
        <v>4</v>
      </c>
      <c r="AO96">
        <v>3</v>
      </c>
      <c r="AP96">
        <v>4</v>
      </c>
      <c r="AQ96">
        <v>1</v>
      </c>
      <c r="AR96">
        <v>1</v>
      </c>
      <c r="AS96">
        <v>4</v>
      </c>
      <c r="AT96">
        <v>6</v>
      </c>
      <c r="AV96">
        <v>11</v>
      </c>
      <c r="AW96">
        <v>13</v>
      </c>
      <c r="AX96">
        <v>14</v>
      </c>
    </row>
    <row r="97" spans="1:50" x14ac:dyDescent="0.2">
      <c r="A97" t="s">
        <v>34</v>
      </c>
      <c r="B97" t="s">
        <v>35</v>
      </c>
      <c r="C97">
        <v>15</v>
      </c>
      <c r="D97" t="s">
        <v>53</v>
      </c>
      <c r="E97" t="s">
        <v>37</v>
      </c>
      <c r="F97" t="s">
        <v>45</v>
      </c>
      <c r="G97">
        <f t="shared" si="20"/>
        <v>1</v>
      </c>
      <c r="H97">
        <v>1</v>
      </c>
      <c r="I97">
        <f t="shared" si="21"/>
        <v>0</v>
      </c>
      <c r="J97">
        <f t="shared" si="22"/>
        <v>1</v>
      </c>
      <c r="K97">
        <f t="shared" si="23"/>
        <v>0</v>
      </c>
      <c r="L97">
        <f t="shared" si="24"/>
        <v>0</v>
      </c>
      <c r="M97">
        <f t="shared" si="25"/>
        <v>0</v>
      </c>
      <c r="N97">
        <v>1</v>
      </c>
      <c r="O97">
        <f t="shared" si="15"/>
        <v>0</v>
      </c>
      <c r="P97">
        <f t="shared" si="16"/>
        <v>1</v>
      </c>
      <c r="Q97">
        <f t="shared" si="17"/>
        <v>0</v>
      </c>
      <c r="R97">
        <f t="shared" si="18"/>
        <v>0</v>
      </c>
      <c r="S97">
        <f t="shared" si="19"/>
        <v>0</v>
      </c>
      <c r="T97">
        <f t="shared" si="26"/>
        <v>0</v>
      </c>
      <c r="V97" t="s">
        <v>39</v>
      </c>
      <c r="W97" t="s">
        <v>46</v>
      </c>
      <c r="X97" t="s">
        <v>50</v>
      </c>
      <c r="Y97" t="s">
        <v>42</v>
      </c>
      <c r="Z97">
        <v>2</v>
      </c>
      <c r="AA97">
        <v>4</v>
      </c>
      <c r="AB97">
        <v>1</v>
      </c>
      <c r="AC97" t="s">
        <v>43</v>
      </c>
      <c r="AD97" t="s">
        <v>43</v>
      </c>
      <c r="AE97">
        <f t="shared" si="27"/>
        <v>1</v>
      </c>
      <c r="AF97" t="s">
        <v>43</v>
      </c>
      <c r="AG97">
        <f t="shared" si="28"/>
        <v>1</v>
      </c>
      <c r="AH97" t="s">
        <v>43</v>
      </c>
      <c r="AI97" t="s">
        <v>43</v>
      </c>
      <c r="AJ97" t="s">
        <v>43</v>
      </c>
      <c r="AK97" t="s">
        <v>43</v>
      </c>
      <c r="AL97">
        <f t="shared" si="29"/>
        <v>1</v>
      </c>
      <c r="AM97" t="s">
        <v>44</v>
      </c>
      <c r="AN97">
        <v>3</v>
      </c>
      <c r="AO97">
        <v>1</v>
      </c>
      <c r="AP97">
        <v>2</v>
      </c>
      <c r="AQ97">
        <v>1</v>
      </c>
      <c r="AR97">
        <v>1</v>
      </c>
      <c r="AS97">
        <v>1</v>
      </c>
      <c r="AT97">
        <v>2</v>
      </c>
      <c r="AV97">
        <v>7</v>
      </c>
      <c r="AW97">
        <v>10</v>
      </c>
      <c r="AX97">
        <v>10</v>
      </c>
    </row>
    <row r="98" spans="1:50" x14ac:dyDescent="0.2">
      <c r="A98" t="s">
        <v>34</v>
      </c>
      <c r="B98" t="s">
        <v>51</v>
      </c>
      <c r="C98">
        <v>16</v>
      </c>
      <c r="D98" t="s">
        <v>53</v>
      </c>
      <c r="E98" t="s">
        <v>37</v>
      </c>
      <c r="F98" t="s">
        <v>45</v>
      </c>
      <c r="G98">
        <f t="shared" si="20"/>
        <v>1</v>
      </c>
      <c r="H98">
        <v>4</v>
      </c>
      <c r="I98">
        <f t="shared" si="21"/>
        <v>0</v>
      </c>
      <c r="J98">
        <f t="shared" si="22"/>
        <v>0</v>
      </c>
      <c r="K98">
        <f t="shared" si="23"/>
        <v>0</v>
      </c>
      <c r="L98">
        <f t="shared" si="24"/>
        <v>0</v>
      </c>
      <c r="M98">
        <f t="shared" si="25"/>
        <v>1</v>
      </c>
      <c r="N98">
        <v>3</v>
      </c>
      <c r="O98">
        <f t="shared" si="15"/>
        <v>0</v>
      </c>
      <c r="P98">
        <f t="shared" si="16"/>
        <v>0</v>
      </c>
      <c r="Q98">
        <f t="shared" si="17"/>
        <v>0</v>
      </c>
      <c r="R98">
        <f t="shared" si="18"/>
        <v>1</v>
      </c>
      <c r="S98">
        <f t="shared" si="19"/>
        <v>0</v>
      </c>
      <c r="T98">
        <f t="shared" si="26"/>
        <v>0</v>
      </c>
      <c r="V98" t="s">
        <v>49</v>
      </c>
      <c r="W98" t="s">
        <v>46</v>
      </c>
      <c r="X98" t="s">
        <v>52</v>
      </c>
      <c r="Y98" t="s">
        <v>42</v>
      </c>
      <c r="Z98">
        <v>2</v>
      </c>
      <c r="AA98">
        <v>1</v>
      </c>
      <c r="AB98">
        <v>0</v>
      </c>
      <c r="AC98" t="s">
        <v>43</v>
      </c>
      <c r="AD98" t="s">
        <v>43</v>
      </c>
      <c r="AE98">
        <f t="shared" si="27"/>
        <v>1</v>
      </c>
      <c r="AF98" t="s">
        <v>44</v>
      </c>
      <c r="AG98">
        <f t="shared" si="28"/>
        <v>0</v>
      </c>
      <c r="AH98" t="s">
        <v>43</v>
      </c>
      <c r="AI98" t="s">
        <v>44</v>
      </c>
      <c r="AJ98" t="s">
        <v>43</v>
      </c>
      <c r="AK98" t="s">
        <v>43</v>
      </c>
      <c r="AL98">
        <f t="shared" si="29"/>
        <v>1</v>
      </c>
      <c r="AM98" t="s">
        <v>44</v>
      </c>
      <c r="AN98">
        <v>3</v>
      </c>
      <c r="AO98">
        <v>3</v>
      </c>
      <c r="AP98">
        <v>3</v>
      </c>
      <c r="AQ98">
        <v>1</v>
      </c>
      <c r="AR98">
        <v>1</v>
      </c>
      <c r="AS98">
        <v>4</v>
      </c>
      <c r="AT98">
        <v>2</v>
      </c>
      <c r="AV98">
        <v>11</v>
      </c>
      <c r="AW98">
        <v>15</v>
      </c>
      <c r="AX98">
        <v>15</v>
      </c>
    </row>
    <row r="99" spans="1:50" x14ac:dyDescent="0.2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f t="shared" si="20"/>
        <v>1</v>
      </c>
      <c r="H99">
        <v>2</v>
      </c>
      <c r="I99">
        <f t="shared" si="21"/>
        <v>0</v>
      </c>
      <c r="J99">
        <f t="shared" si="22"/>
        <v>0</v>
      </c>
      <c r="K99">
        <f t="shared" si="23"/>
        <v>1</v>
      </c>
      <c r="L99">
        <f t="shared" si="24"/>
        <v>0</v>
      </c>
      <c r="M99">
        <f t="shared" si="25"/>
        <v>0</v>
      </c>
      <c r="N99">
        <v>1</v>
      </c>
      <c r="O99">
        <f t="shared" si="15"/>
        <v>0</v>
      </c>
      <c r="P99">
        <f t="shared" si="16"/>
        <v>1</v>
      </c>
      <c r="Q99">
        <f t="shared" si="17"/>
        <v>0</v>
      </c>
      <c r="R99">
        <f t="shared" si="18"/>
        <v>0</v>
      </c>
      <c r="S99">
        <f t="shared" si="19"/>
        <v>0</v>
      </c>
      <c r="T99">
        <f t="shared" si="26"/>
        <v>0</v>
      </c>
      <c r="V99" t="s">
        <v>46</v>
      </c>
      <c r="W99" t="s">
        <v>46</v>
      </c>
      <c r="X99" t="s">
        <v>41</v>
      </c>
      <c r="Y99" t="s">
        <v>42</v>
      </c>
      <c r="Z99">
        <v>1</v>
      </c>
      <c r="AA99">
        <v>2</v>
      </c>
      <c r="AB99">
        <v>0</v>
      </c>
      <c r="AC99" t="s">
        <v>44</v>
      </c>
      <c r="AD99" t="s">
        <v>43</v>
      </c>
      <c r="AE99">
        <f t="shared" si="27"/>
        <v>1</v>
      </c>
      <c r="AF99" t="s">
        <v>43</v>
      </c>
      <c r="AG99">
        <f t="shared" si="28"/>
        <v>1</v>
      </c>
      <c r="AH99" t="s">
        <v>44</v>
      </c>
      <c r="AI99" t="s">
        <v>43</v>
      </c>
      <c r="AJ99" t="s">
        <v>43</v>
      </c>
      <c r="AK99" t="s">
        <v>44</v>
      </c>
      <c r="AL99">
        <f t="shared" si="29"/>
        <v>0</v>
      </c>
      <c r="AM99" t="s">
        <v>43</v>
      </c>
      <c r="AN99">
        <v>4</v>
      </c>
      <c r="AO99">
        <v>3</v>
      </c>
      <c r="AP99">
        <v>5</v>
      </c>
      <c r="AQ99">
        <v>1</v>
      </c>
      <c r="AR99">
        <v>1</v>
      </c>
      <c r="AS99">
        <v>5</v>
      </c>
      <c r="AT99">
        <v>2</v>
      </c>
      <c r="AV99">
        <v>8</v>
      </c>
      <c r="AW99">
        <v>9</v>
      </c>
      <c r="AX99">
        <v>10</v>
      </c>
    </row>
    <row r="100" spans="1:50" x14ac:dyDescent="0.2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f t="shared" si="20"/>
        <v>1</v>
      </c>
      <c r="H100">
        <v>4</v>
      </c>
      <c r="I100">
        <f t="shared" si="21"/>
        <v>0</v>
      </c>
      <c r="J100">
        <f t="shared" si="22"/>
        <v>0</v>
      </c>
      <c r="K100">
        <f t="shared" si="23"/>
        <v>0</v>
      </c>
      <c r="L100">
        <f t="shared" si="24"/>
        <v>0</v>
      </c>
      <c r="M100">
        <f t="shared" si="25"/>
        <v>1</v>
      </c>
      <c r="N100">
        <v>4</v>
      </c>
      <c r="O100">
        <f t="shared" si="15"/>
        <v>0</v>
      </c>
      <c r="P100">
        <f t="shared" si="16"/>
        <v>0</v>
      </c>
      <c r="Q100">
        <f t="shared" si="17"/>
        <v>0</v>
      </c>
      <c r="R100">
        <f t="shared" si="18"/>
        <v>0</v>
      </c>
      <c r="S100">
        <f t="shared" si="19"/>
        <v>1</v>
      </c>
      <c r="T100">
        <f t="shared" si="26"/>
        <v>1</v>
      </c>
      <c r="V100" t="s">
        <v>46</v>
      </c>
      <c r="W100" t="s">
        <v>46</v>
      </c>
      <c r="X100" t="s">
        <v>52</v>
      </c>
      <c r="Y100" t="s">
        <v>42</v>
      </c>
      <c r="Z100">
        <v>1</v>
      </c>
      <c r="AA100">
        <v>1</v>
      </c>
      <c r="AB100">
        <v>0</v>
      </c>
      <c r="AC100" t="s">
        <v>44</v>
      </c>
      <c r="AD100" t="s">
        <v>44</v>
      </c>
      <c r="AE100">
        <f t="shared" si="27"/>
        <v>0</v>
      </c>
      <c r="AF100" t="s">
        <v>44</v>
      </c>
      <c r="AG100">
        <f t="shared" si="28"/>
        <v>0</v>
      </c>
      <c r="AH100" t="s">
        <v>43</v>
      </c>
      <c r="AI100" t="s">
        <v>44</v>
      </c>
      <c r="AJ100" t="s">
        <v>43</v>
      </c>
      <c r="AK100" t="s">
        <v>43</v>
      </c>
      <c r="AL100">
        <f t="shared" si="29"/>
        <v>1</v>
      </c>
      <c r="AM100" t="s">
        <v>44</v>
      </c>
      <c r="AN100">
        <v>5</v>
      </c>
      <c r="AO100">
        <v>3</v>
      </c>
      <c r="AP100">
        <v>4</v>
      </c>
      <c r="AQ100">
        <v>1</v>
      </c>
      <c r="AR100">
        <v>2</v>
      </c>
      <c r="AS100">
        <v>1</v>
      </c>
      <c r="AT100">
        <v>6</v>
      </c>
      <c r="AV100">
        <v>11</v>
      </c>
      <c r="AW100">
        <v>14</v>
      </c>
      <c r="AX100">
        <v>14</v>
      </c>
    </row>
    <row r="101" spans="1:50" x14ac:dyDescent="0.2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f t="shared" si="20"/>
        <v>1</v>
      </c>
      <c r="H101">
        <v>4</v>
      </c>
      <c r="I101">
        <f t="shared" si="21"/>
        <v>0</v>
      </c>
      <c r="J101">
        <f t="shared" si="22"/>
        <v>0</v>
      </c>
      <c r="K101">
        <f t="shared" si="23"/>
        <v>0</v>
      </c>
      <c r="L101">
        <f t="shared" si="24"/>
        <v>0</v>
      </c>
      <c r="M101">
        <f t="shared" si="25"/>
        <v>1</v>
      </c>
      <c r="N101">
        <v>3</v>
      </c>
      <c r="O101">
        <f t="shared" si="15"/>
        <v>0</v>
      </c>
      <c r="P101">
        <f t="shared" si="16"/>
        <v>0</v>
      </c>
      <c r="Q101">
        <f t="shared" si="17"/>
        <v>0</v>
      </c>
      <c r="R101">
        <f t="shared" si="18"/>
        <v>1</v>
      </c>
      <c r="S101">
        <f t="shared" si="19"/>
        <v>0</v>
      </c>
      <c r="T101">
        <f t="shared" si="26"/>
        <v>0</v>
      </c>
      <c r="V101" t="s">
        <v>46</v>
      </c>
      <c r="W101" t="s">
        <v>39</v>
      </c>
      <c r="X101" t="s">
        <v>41</v>
      </c>
      <c r="Y101" t="s">
        <v>42</v>
      </c>
      <c r="Z101">
        <v>1</v>
      </c>
      <c r="AA101">
        <v>3</v>
      </c>
      <c r="AB101">
        <v>0</v>
      </c>
      <c r="AC101" t="s">
        <v>43</v>
      </c>
      <c r="AD101" t="s">
        <v>43</v>
      </c>
      <c r="AE101">
        <f t="shared" si="27"/>
        <v>1</v>
      </c>
      <c r="AF101" t="s">
        <v>43</v>
      </c>
      <c r="AG101">
        <f t="shared" si="28"/>
        <v>1</v>
      </c>
      <c r="AH101" t="s">
        <v>44</v>
      </c>
      <c r="AI101" t="s">
        <v>43</v>
      </c>
      <c r="AJ101" t="s">
        <v>43</v>
      </c>
      <c r="AK101" t="s">
        <v>43</v>
      </c>
      <c r="AL101">
        <f t="shared" si="29"/>
        <v>1</v>
      </c>
      <c r="AM101" t="s">
        <v>44</v>
      </c>
      <c r="AN101">
        <v>5</v>
      </c>
      <c r="AO101">
        <v>3</v>
      </c>
      <c r="AP101">
        <v>5</v>
      </c>
      <c r="AQ101">
        <v>1</v>
      </c>
      <c r="AR101">
        <v>1</v>
      </c>
      <c r="AS101">
        <v>3</v>
      </c>
      <c r="AT101">
        <v>0</v>
      </c>
      <c r="AV101">
        <v>7</v>
      </c>
      <c r="AW101">
        <v>9</v>
      </c>
      <c r="AX101">
        <v>8</v>
      </c>
    </row>
    <row r="102" spans="1:50" x14ac:dyDescent="0.2">
      <c r="A102" t="s">
        <v>34</v>
      </c>
      <c r="B102" t="s">
        <v>51</v>
      </c>
      <c r="C102">
        <v>16</v>
      </c>
      <c r="D102" t="s">
        <v>36</v>
      </c>
      <c r="E102" t="s">
        <v>37</v>
      </c>
      <c r="F102" t="s">
        <v>45</v>
      </c>
      <c r="G102">
        <f t="shared" si="20"/>
        <v>1</v>
      </c>
      <c r="H102">
        <v>4</v>
      </c>
      <c r="I102">
        <f t="shared" si="21"/>
        <v>0</v>
      </c>
      <c r="J102">
        <f t="shared" si="22"/>
        <v>0</v>
      </c>
      <c r="K102">
        <f t="shared" si="23"/>
        <v>0</v>
      </c>
      <c r="L102">
        <f t="shared" si="24"/>
        <v>0</v>
      </c>
      <c r="M102">
        <f t="shared" si="25"/>
        <v>1</v>
      </c>
      <c r="N102">
        <v>4</v>
      </c>
      <c r="O102">
        <f t="shared" si="15"/>
        <v>0</v>
      </c>
      <c r="P102">
        <f t="shared" si="16"/>
        <v>0</v>
      </c>
      <c r="Q102">
        <f t="shared" si="17"/>
        <v>0</v>
      </c>
      <c r="R102">
        <f t="shared" si="18"/>
        <v>0</v>
      </c>
      <c r="S102">
        <f t="shared" si="19"/>
        <v>1</v>
      </c>
      <c r="T102">
        <f t="shared" si="26"/>
        <v>1</v>
      </c>
      <c r="V102" t="s">
        <v>49</v>
      </c>
      <c r="W102" t="s">
        <v>49</v>
      </c>
      <c r="X102" t="s">
        <v>46</v>
      </c>
      <c r="Y102" t="s">
        <v>42</v>
      </c>
      <c r="Z102">
        <v>1</v>
      </c>
      <c r="AA102">
        <v>1</v>
      </c>
      <c r="AB102">
        <v>0</v>
      </c>
      <c r="AC102" t="s">
        <v>43</v>
      </c>
      <c r="AD102" t="s">
        <v>43</v>
      </c>
      <c r="AE102">
        <f t="shared" si="27"/>
        <v>1</v>
      </c>
      <c r="AF102" t="s">
        <v>43</v>
      </c>
      <c r="AG102">
        <f t="shared" si="28"/>
        <v>1</v>
      </c>
      <c r="AH102" t="s">
        <v>43</v>
      </c>
      <c r="AI102" t="s">
        <v>43</v>
      </c>
      <c r="AJ102" t="s">
        <v>43</v>
      </c>
      <c r="AK102" t="s">
        <v>43</v>
      </c>
      <c r="AL102">
        <f t="shared" si="29"/>
        <v>1</v>
      </c>
      <c r="AM102" t="s">
        <v>44</v>
      </c>
      <c r="AN102">
        <v>4</v>
      </c>
      <c r="AO102">
        <v>5</v>
      </c>
      <c r="AP102">
        <v>5</v>
      </c>
      <c r="AQ102">
        <v>5</v>
      </c>
      <c r="AR102">
        <v>5</v>
      </c>
      <c r="AS102">
        <v>4</v>
      </c>
      <c r="AT102">
        <v>14</v>
      </c>
      <c r="AV102">
        <v>7</v>
      </c>
      <c r="AW102">
        <v>7</v>
      </c>
      <c r="AX102">
        <v>5</v>
      </c>
    </row>
    <row r="103" spans="1:50" x14ac:dyDescent="0.2">
      <c r="A103" t="s">
        <v>34</v>
      </c>
      <c r="B103" t="s">
        <v>51</v>
      </c>
      <c r="C103">
        <v>16</v>
      </c>
      <c r="D103" t="s">
        <v>36</v>
      </c>
      <c r="E103" t="s">
        <v>37</v>
      </c>
      <c r="F103" t="s">
        <v>45</v>
      </c>
      <c r="G103">
        <f t="shared" si="20"/>
        <v>1</v>
      </c>
      <c r="H103">
        <v>4</v>
      </c>
      <c r="I103">
        <f t="shared" si="21"/>
        <v>0</v>
      </c>
      <c r="J103">
        <f t="shared" si="22"/>
        <v>0</v>
      </c>
      <c r="K103">
        <f t="shared" si="23"/>
        <v>0</v>
      </c>
      <c r="L103">
        <f t="shared" si="24"/>
        <v>0</v>
      </c>
      <c r="M103">
        <f t="shared" si="25"/>
        <v>1</v>
      </c>
      <c r="N103">
        <v>4</v>
      </c>
      <c r="O103">
        <f t="shared" si="15"/>
        <v>0</v>
      </c>
      <c r="P103">
        <f t="shared" si="16"/>
        <v>0</v>
      </c>
      <c r="Q103">
        <f t="shared" si="17"/>
        <v>0</v>
      </c>
      <c r="R103">
        <f t="shared" si="18"/>
        <v>0</v>
      </c>
      <c r="S103">
        <f t="shared" si="19"/>
        <v>1</v>
      </c>
      <c r="T103">
        <f t="shared" si="26"/>
        <v>1</v>
      </c>
      <c r="V103" t="s">
        <v>49</v>
      </c>
      <c r="W103" t="s">
        <v>40</v>
      </c>
      <c r="X103" t="s">
        <v>46</v>
      </c>
      <c r="Y103" t="s">
        <v>47</v>
      </c>
      <c r="Z103">
        <v>1</v>
      </c>
      <c r="AA103">
        <v>3</v>
      </c>
      <c r="AB103">
        <v>0</v>
      </c>
      <c r="AC103" t="s">
        <v>44</v>
      </c>
      <c r="AD103" t="s">
        <v>43</v>
      </c>
      <c r="AE103">
        <f t="shared" si="27"/>
        <v>1</v>
      </c>
      <c r="AF103" t="s">
        <v>44</v>
      </c>
      <c r="AG103">
        <f t="shared" si="28"/>
        <v>0</v>
      </c>
      <c r="AH103" t="s">
        <v>43</v>
      </c>
      <c r="AI103" t="s">
        <v>43</v>
      </c>
      <c r="AJ103" t="s">
        <v>43</v>
      </c>
      <c r="AK103" t="s">
        <v>43</v>
      </c>
      <c r="AL103">
        <f t="shared" si="29"/>
        <v>1</v>
      </c>
      <c r="AM103" t="s">
        <v>43</v>
      </c>
      <c r="AN103">
        <v>4</v>
      </c>
      <c r="AO103">
        <v>4</v>
      </c>
      <c r="AP103">
        <v>3</v>
      </c>
      <c r="AQ103">
        <v>1</v>
      </c>
      <c r="AR103">
        <v>1</v>
      </c>
      <c r="AS103">
        <v>4</v>
      </c>
      <c r="AT103">
        <v>0</v>
      </c>
      <c r="AV103">
        <v>16</v>
      </c>
      <c r="AW103">
        <v>17</v>
      </c>
      <c r="AX103">
        <v>17</v>
      </c>
    </row>
    <row r="104" spans="1:50" x14ac:dyDescent="0.2">
      <c r="A104" t="s">
        <v>34</v>
      </c>
      <c r="B104" t="s">
        <v>51</v>
      </c>
      <c r="C104">
        <v>15</v>
      </c>
      <c r="D104" t="s">
        <v>36</v>
      </c>
      <c r="E104" t="s">
        <v>37</v>
      </c>
      <c r="F104" t="s">
        <v>45</v>
      </c>
      <c r="G104">
        <f t="shared" si="20"/>
        <v>1</v>
      </c>
      <c r="H104">
        <v>4</v>
      </c>
      <c r="I104">
        <f t="shared" si="21"/>
        <v>0</v>
      </c>
      <c r="J104">
        <f t="shared" si="22"/>
        <v>0</v>
      </c>
      <c r="K104">
        <f t="shared" si="23"/>
        <v>0</v>
      </c>
      <c r="L104">
        <f t="shared" si="24"/>
        <v>0</v>
      </c>
      <c r="M104">
        <f t="shared" si="25"/>
        <v>1</v>
      </c>
      <c r="N104">
        <v>4</v>
      </c>
      <c r="O104">
        <f t="shared" si="15"/>
        <v>0</v>
      </c>
      <c r="P104">
        <f t="shared" si="16"/>
        <v>0</v>
      </c>
      <c r="Q104">
        <f t="shared" si="17"/>
        <v>0</v>
      </c>
      <c r="R104">
        <f t="shared" si="18"/>
        <v>0</v>
      </c>
      <c r="S104">
        <f t="shared" si="19"/>
        <v>1</v>
      </c>
      <c r="T104">
        <f t="shared" si="26"/>
        <v>1</v>
      </c>
      <c r="V104" t="s">
        <v>49</v>
      </c>
      <c r="W104" t="s">
        <v>46</v>
      </c>
      <c r="X104" t="s">
        <v>41</v>
      </c>
      <c r="Y104" t="s">
        <v>42</v>
      </c>
      <c r="Z104">
        <v>1</v>
      </c>
      <c r="AA104">
        <v>1</v>
      </c>
      <c r="AB104">
        <v>0</v>
      </c>
      <c r="AC104" t="s">
        <v>44</v>
      </c>
      <c r="AD104" t="s">
        <v>43</v>
      </c>
      <c r="AE104">
        <f t="shared" si="27"/>
        <v>1</v>
      </c>
      <c r="AF104" t="s">
        <v>44</v>
      </c>
      <c r="AG104">
        <f t="shared" si="28"/>
        <v>0</v>
      </c>
      <c r="AH104" t="s">
        <v>43</v>
      </c>
      <c r="AI104" t="s">
        <v>44</v>
      </c>
      <c r="AJ104" t="s">
        <v>43</v>
      </c>
      <c r="AK104" t="s">
        <v>43</v>
      </c>
      <c r="AL104">
        <f t="shared" si="29"/>
        <v>1</v>
      </c>
      <c r="AM104" t="s">
        <v>44</v>
      </c>
      <c r="AN104">
        <v>5</v>
      </c>
      <c r="AO104">
        <v>3</v>
      </c>
      <c r="AP104">
        <v>3</v>
      </c>
      <c r="AQ104">
        <v>1</v>
      </c>
      <c r="AR104">
        <v>1</v>
      </c>
      <c r="AS104">
        <v>5</v>
      </c>
      <c r="AT104">
        <v>4</v>
      </c>
      <c r="AV104">
        <v>10</v>
      </c>
      <c r="AW104">
        <v>13</v>
      </c>
      <c r="AX104">
        <v>14</v>
      </c>
    </row>
    <row r="105" spans="1:50" x14ac:dyDescent="0.2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f t="shared" si="20"/>
        <v>1</v>
      </c>
      <c r="H105">
        <v>3</v>
      </c>
      <c r="I105">
        <f t="shared" si="21"/>
        <v>0</v>
      </c>
      <c r="J105">
        <f t="shared" si="22"/>
        <v>0</v>
      </c>
      <c r="K105">
        <f t="shared" si="23"/>
        <v>0</v>
      </c>
      <c r="L105">
        <f t="shared" si="24"/>
        <v>1</v>
      </c>
      <c r="M105">
        <f t="shared" si="25"/>
        <v>0</v>
      </c>
      <c r="N105">
        <v>2</v>
      </c>
      <c r="O105">
        <f t="shared" si="15"/>
        <v>0</v>
      </c>
      <c r="P105">
        <f t="shared" si="16"/>
        <v>0</v>
      </c>
      <c r="Q105">
        <f t="shared" si="17"/>
        <v>1</v>
      </c>
      <c r="R105">
        <f t="shared" si="18"/>
        <v>0</v>
      </c>
      <c r="S105">
        <f t="shared" si="19"/>
        <v>0</v>
      </c>
      <c r="T105">
        <f t="shared" si="26"/>
        <v>0</v>
      </c>
      <c r="V105" t="s">
        <v>49</v>
      </c>
      <c r="W105" t="s">
        <v>46</v>
      </c>
      <c r="X105" t="s">
        <v>50</v>
      </c>
      <c r="Y105" t="s">
        <v>42</v>
      </c>
      <c r="Z105">
        <v>2</v>
      </c>
      <c r="AA105">
        <v>2</v>
      </c>
      <c r="AB105">
        <v>0</v>
      </c>
      <c r="AC105" t="s">
        <v>43</v>
      </c>
      <c r="AD105" t="s">
        <v>43</v>
      </c>
      <c r="AE105">
        <f t="shared" si="27"/>
        <v>1</v>
      </c>
      <c r="AF105" t="s">
        <v>43</v>
      </c>
      <c r="AG105">
        <f t="shared" si="28"/>
        <v>1</v>
      </c>
      <c r="AH105" t="s">
        <v>44</v>
      </c>
      <c r="AI105" t="s">
        <v>43</v>
      </c>
      <c r="AJ105" t="s">
        <v>43</v>
      </c>
      <c r="AK105" t="s">
        <v>43</v>
      </c>
      <c r="AL105">
        <f t="shared" si="29"/>
        <v>1</v>
      </c>
      <c r="AM105" t="s">
        <v>44</v>
      </c>
      <c r="AN105">
        <v>4</v>
      </c>
      <c r="AO105">
        <v>3</v>
      </c>
      <c r="AP105">
        <v>5</v>
      </c>
      <c r="AQ105">
        <v>1</v>
      </c>
      <c r="AR105">
        <v>1</v>
      </c>
      <c r="AS105">
        <v>2</v>
      </c>
      <c r="AT105">
        <v>26</v>
      </c>
      <c r="AV105">
        <v>7</v>
      </c>
      <c r="AW105">
        <v>6</v>
      </c>
      <c r="AX105">
        <v>6</v>
      </c>
    </row>
    <row r="106" spans="1:50" x14ac:dyDescent="0.2">
      <c r="A106" t="s">
        <v>34</v>
      </c>
      <c r="B106" t="s">
        <v>51</v>
      </c>
      <c r="C106">
        <v>15</v>
      </c>
      <c r="D106" t="s">
        <v>36</v>
      </c>
      <c r="E106" t="s">
        <v>37</v>
      </c>
      <c r="F106" t="s">
        <v>38</v>
      </c>
      <c r="G106">
        <f t="shared" si="20"/>
        <v>0</v>
      </c>
      <c r="H106">
        <v>3</v>
      </c>
      <c r="I106">
        <f t="shared" si="21"/>
        <v>0</v>
      </c>
      <c r="J106">
        <f t="shared" si="22"/>
        <v>0</v>
      </c>
      <c r="K106">
        <f t="shared" si="23"/>
        <v>0</v>
      </c>
      <c r="L106">
        <f t="shared" si="24"/>
        <v>1</v>
      </c>
      <c r="M106">
        <f t="shared" si="25"/>
        <v>0</v>
      </c>
      <c r="N106">
        <v>4</v>
      </c>
      <c r="O106">
        <f t="shared" si="15"/>
        <v>0</v>
      </c>
      <c r="P106">
        <f t="shared" si="16"/>
        <v>0</v>
      </c>
      <c r="Q106">
        <f t="shared" si="17"/>
        <v>0</v>
      </c>
      <c r="R106">
        <f t="shared" si="18"/>
        <v>0</v>
      </c>
      <c r="S106">
        <f t="shared" si="19"/>
        <v>1</v>
      </c>
      <c r="T106">
        <f t="shared" si="26"/>
        <v>0</v>
      </c>
      <c r="V106" t="s">
        <v>49</v>
      </c>
      <c r="W106" t="s">
        <v>46</v>
      </c>
      <c r="X106" t="s">
        <v>41</v>
      </c>
      <c r="Y106" t="s">
        <v>42</v>
      </c>
      <c r="Z106">
        <v>1</v>
      </c>
      <c r="AA106">
        <v>2</v>
      </c>
      <c r="AB106">
        <v>0</v>
      </c>
      <c r="AC106" t="s">
        <v>44</v>
      </c>
      <c r="AD106" t="s">
        <v>43</v>
      </c>
      <c r="AE106">
        <f t="shared" si="27"/>
        <v>1</v>
      </c>
      <c r="AF106" t="s">
        <v>43</v>
      </c>
      <c r="AG106">
        <f t="shared" si="28"/>
        <v>1</v>
      </c>
      <c r="AH106" t="s">
        <v>43</v>
      </c>
      <c r="AI106" t="s">
        <v>43</v>
      </c>
      <c r="AJ106" t="s">
        <v>43</v>
      </c>
      <c r="AK106" t="s">
        <v>43</v>
      </c>
      <c r="AL106">
        <f t="shared" si="29"/>
        <v>1</v>
      </c>
      <c r="AM106" t="s">
        <v>44</v>
      </c>
      <c r="AN106">
        <v>5</v>
      </c>
      <c r="AO106">
        <v>4</v>
      </c>
      <c r="AP106">
        <v>4</v>
      </c>
      <c r="AQ106">
        <v>1</v>
      </c>
      <c r="AR106">
        <v>1</v>
      </c>
      <c r="AS106">
        <v>1</v>
      </c>
      <c r="AT106">
        <v>0</v>
      </c>
      <c r="AV106">
        <v>16</v>
      </c>
      <c r="AW106">
        <v>18</v>
      </c>
      <c r="AX106">
        <v>18</v>
      </c>
    </row>
    <row r="107" spans="1:50" x14ac:dyDescent="0.2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f t="shared" si="20"/>
        <v>0</v>
      </c>
      <c r="H107">
        <v>3</v>
      </c>
      <c r="I107">
        <f t="shared" si="21"/>
        <v>0</v>
      </c>
      <c r="J107">
        <f t="shared" si="22"/>
        <v>0</v>
      </c>
      <c r="K107">
        <f t="shared" si="23"/>
        <v>0</v>
      </c>
      <c r="L107">
        <f t="shared" si="24"/>
        <v>1</v>
      </c>
      <c r="M107">
        <f t="shared" si="25"/>
        <v>0</v>
      </c>
      <c r="N107">
        <v>3</v>
      </c>
      <c r="O107">
        <f t="shared" si="15"/>
        <v>0</v>
      </c>
      <c r="P107">
        <f t="shared" si="16"/>
        <v>0</v>
      </c>
      <c r="Q107">
        <f t="shared" si="17"/>
        <v>0</v>
      </c>
      <c r="R107">
        <f t="shared" si="18"/>
        <v>1</v>
      </c>
      <c r="S107">
        <f t="shared" si="19"/>
        <v>0</v>
      </c>
      <c r="T107">
        <f t="shared" si="26"/>
        <v>0</v>
      </c>
      <c r="V107" t="s">
        <v>46</v>
      </c>
      <c r="W107" t="s">
        <v>29</v>
      </c>
      <c r="X107" t="s">
        <v>52</v>
      </c>
      <c r="Y107" t="s">
        <v>47</v>
      </c>
      <c r="Z107">
        <v>1</v>
      </c>
      <c r="AA107">
        <v>4</v>
      </c>
      <c r="AB107">
        <v>0</v>
      </c>
      <c r="AC107" t="s">
        <v>43</v>
      </c>
      <c r="AD107" t="s">
        <v>44</v>
      </c>
      <c r="AE107">
        <f t="shared" si="27"/>
        <v>0</v>
      </c>
      <c r="AF107" t="s">
        <v>44</v>
      </c>
      <c r="AG107">
        <f t="shared" si="28"/>
        <v>0</v>
      </c>
      <c r="AH107" t="s">
        <v>44</v>
      </c>
      <c r="AI107" t="s">
        <v>43</v>
      </c>
      <c r="AJ107" t="s">
        <v>43</v>
      </c>
      <c r="AK107" t="s">
        <v>44</v>
      </c>
      <c r="AL107">
        <f t="shared" si="29"/>
        <v>0</v>
      </c>
      <c r="AM107" t="s">
        <v>44</v>
      </c>
      <c r="AN107">
        <v>4</v>
      </c>
      <c r="AO107">
        <v>3</v>
      </c>
      <c r="AP107">
        <v>3</v>
      </c>
      <c r="AQ107">
        <v>1</v>
      </c>
      <c r="AR107">
        <v>1</v>
      </c>
      <c r="AS107">
        <v>4</v>
      </c>
      <c r="AT107">
        <v>10</v>
      </c>
      <c r="AV107">
        <v>10</v>
      </c>
      <c r="AW107">
        <v>11</v>
      </c>
      <c r="AX107">
        <v>11</v>
      </c>
    </row>
    <row r="108" spans="1:50" x14ac:dyDescent="0.2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f t="shared" si="20"/>
        <v>1</v>
      </c>
      <c r="H108">
        <v>2</v>
      </c>
      <c r="I108">
        <f t="shared" si="21"/>
        <v>0</v>
      </c>
      <c r="J108">
        <f t="shared" si="22"/>
        <v>0</v>
      </c>
      <c r="K108">
        <f t="shared" si="23"/>
        <v>1</v>
      </c>
      <c r="L108">
        <f t="shared" si="24"/>
        <v>0</v>
      </c>
      <c r="M108">
        <f t="shared" si="25"/>
        <v>0</v>
      </c>
      <c r="N108">
        <v>2</v>
      </c>
      <c r="O108">
        <f t="shared" si="15"/>
        <v>0</v>
      </c>
      <c r="P108">
        <f t="shared" si="16"/>
        <v>0</v>
      </c>
      <c r="Q108">
        <f t="shared" si="17"/>
        <v>1</v>
      </c>
      <c r="R108">
        <f t="shared" si="18"/>
        <v>0</v>
      </c>
      <c r="S108">
        <f t="shared" si="19"/>
        <v>0</v>
      </c>
      <c r="T108">
        <f t="shared" si="26"/>
        <v>0</v>
      </c>
      <c r="V108" t="s">
        <v>46</v>
      </c>
      <c r="W108" t="s">
        <v>46</v>
      </c>
      <c r="X108" t="s">
        <v>41</v>
      </c>
      <c r="Y108" t="s">
        <v>42</v>
      </c>
      <c r="Z108">
        <v>1</v>
      </c>
      <c r="AA108">
        <v>4</v>
      </c>
      <c r="AB108">
        <v>0</v>
      </c>
      <c r="AC108" t="s">
        <v>43</v>
      </c>
      <c r="AD108" t="s">
        <v>43</v>
      </c>
      <c r="AE108">
        <f t="shared" si="27"/>
        <v>1</v>
      </c>
      <c r="AF108" t="s">
        <v>43</v>
      </c>
      <c r="AG108">
        <f t="shared" si="28"/>
        <v>1</v>
      </c>
      <c r="AH108" t="s">
        <v>44</v>
      </c>
      <c r="AI108" t="s">
        <v>43</v>
      </c>
      <c r="AJ108" t="s">
        <v>43</v>
      </c>
      <c r="AK108" t="s">
        <v>43</v>
      </c>
      <c r="AL108">
        <f t="shared" si="29"/>
        <v>1</v>
      </c>
      <c r="AM108" t="s">
        <v>44</v>
      </c>
      <c r="AN108">
        <v>5</v>
      </c>
      <c r="AO108">
        <v>1</v>
      </c>
      <c r="AP108">
        <v>2</v>
      </c>
      <c r="AQ108">
        <v>1</v>
      </c>
      <c r="AR108">
        <v>1</v>
      </c>
      <c r="AS108">
        <v>3</v>
      </c>
      <c r="AT108">
        <v>8</v>
      </c>
      <c r="AV108">
        <v>7</v>
      </c>
      <c r="AW108">
        <v>8</v>
      </c>
      <c r="AX108">
        <v>8</v>
      </c>
    </row>
    <row r="109" spans="1:50" x14ac:dyDescent="0.2">
      <c r="A109" t="s">
        <v>34</v>
      </c>
      <c r="B109" t="s">
        <v>51</v>
      </c>
      <c r="C109">
        <v>16</v>
      </c>
      <c r="D109" t="s">
        <v>36</v>
      </c>
      <c r="E109" t="s">
        <v>37</v>
      </c>
      <c r="F109" t="s">
        <v>45</v>
      </c>
      <c r="G109">
        <f t="shared" si="20"/>
        <v>1</v>
      </c>
      <c r="H109">
        <v>3</v>
      </c>
      <c r="I109">
        <f t="shared" si="21"/>
        <v>0</v>
      </c>
      <c r="J109">
        <f t="shared" si="22"/>
        <v>0</v>
      </c>
      <c r="K109">
        <f t="shared" si="23"/>
        <v>0</v>
      </c>
      <c r="L109">
        <f t="shared" si="24"/>
        <v>1</v>
      </c>
      <c r="M109">
        <f t="shared" si="25"/>
        <v>0</v>
      </c>
      <c r="N109">
        <v>3</v>
      </c>
      <c r="O109">
        <f t="shared" si="15"/>
        <v>0</v>
      </c>
      <c r="P109">
        <f t="shared" si="16"/>
        <v>0</v>
      </c>
      <c r="Q109">
        <f t="shared" si="17"/>
        <v>0</v>
      </c>
      <c r="R109">
        <f t="shared" si="18"/>
        <v>1</v>
      </c>
      <c r="S109">
        <f t="shared" si="19"/>
        <v>0</v>
      </c>
      <c r="T109">
        <f t="shared" si="26"/>
        <v>0</v>
      </c>
      <c r="V109" t="s">
        <v>49</v>
      </c>
      <c r="W109" t="s">
        <v>46</v>
      </c>
      <c r="X109" t="s">
        <v>50</v>
      </c>
      <c r="Y109" t="s">
        <v>47</v>
      </c>
      <c r="Z109">
        <v>1</v>
      </c>
      <c r="AA109">
        <v>3</v>
      </c>
      <c r="AB109">
        <v>0</v>
      </c>
      <c r="AC109" t="s">
        <v>44</v>
      </c>
      <c r="AD109" t="s">
        <v>43</v>
      </c>
      <c r="AE109">
        <f t="shared" si="27"/>
        <v>1</v>
      </c>
      <c r="AF109" t="s">
        <v>44</v>
      </c>
      <c r="AG109">
        <f t="shared" si="28"/>
        <v>0</v>
      </c>
      <c r="AH109" t="s">
        <v>43</v>
      </c>
      <c r="AI109" t="s">
        <v>43</v>
      </c>
      <c r="AJ109" t="s">
        <v>43</v>
      </c>
      <c r="AK109" t="s">
        <v>43</v>
      </c>
      <c r="AL109">
        <f t="shared" si="29"/>
        <v>1</v>
      </c>
      <c r="AM109" t="s">
        <v>44</v>
      </c>
      <c r="AN109">
        <v>5</v>
      </c>
      <c r="AO109">
        <v>3</v>
      </c>
      <c r="AP109">
        <v>3</v>
      </c>
      <c r="AQ109">
        <v>1</v>
      </c>
      <c r="AR109">
        <v>1</v>
      </c>
      <c r="AS109">
        <v>5</v>
      </c>
      <c r="AT109">
        <v>2</v>
      </c>
      <c r="AV109">
        <v>16</v>
      </c>
      <c r="AW109">
        <v>18</v>
      </c>
      <c r="AX109">
        <v>18</v>
      </c>
    </row>
    <row r="110" spans="1:50" x14ac:dyDescent="0.2">
      <c r="A110" t="s">
        <v>34</v>
      </c>
      <c r="B110" t="s">
        <v>51</v>
      </c>
      <c r="C110">
        <v>15</v>
      </c>
      <c r="D110" t="s">
        <v>53</v>
      </c>
      <c r="E110" t="s">
        <v>37</v>
      </c>
      <c r="F110" t="s">
        <v>45</v>
      </c>
      <c r="G110">
        <f t="shared" si="20"/>
        <v>1</v>
      </c>
      <c r="H110">
        <v>4</v>
      </c>
      <c r="I110">
        <f t="shared" si="21"/>
        <v>0</v>
      </c>
      <c r="J110">
        <f t="shared" si="22"/>
        <v>0</v>
      </c>
      <c r="K110">
        <f t="shared" si="23"/>
        <v>0</v>
      </c>
      <c r="L110">
        <f t="shared" si="24"/>
        <v>0</v>
      </c>
      <c r="M110">
        <f t="shared" si="25"/>
        <v>1</v>
      </c>
      <c r="N110">
        <v>4</v>
      </c>
      <c r="O110">
        <f t="shared" si="15"/>
        <v>0</v>
      </c>
      <c r="P110">
        <f t="shared" si="16"/>
        <v>0</v>
      </c>
      <c r="Q110">
        <f t="shared" si="17"/>
        <v>0</v>
      </c>
      <c r="R110">
        <f t="shared" si="18"/>
        <v>0</v>
      </c>
      <c r="S110">
        <f t="shared" si="19"/>
        <v>1</v>
      </c>
      <c r="T110">
        <f t="shared" si="26"/>
        <v>1</v>
      </c>
      <c r="V110" t="s">
        <v>46</v>
      </c>
      <c r="W110" t="s">
        <v>46</v>
      </c>
      <c r="X110" t="s">
        <v>50</v>
      </c>
      <c r="Y110" t="s">
        <v>47</v>
      </c>
      <c r="Z110">
        <v>4</v>
      </c>
      <c r="AA110">
        <v>4</v>
      </c>
      <c r="AB110">
        <v>0</v>
      </c>
      <c r="AC110" t="s">
        <v>44</v>
      </c>
      <c r="AD110" t="s">
        <v>43</v>
      </c>
      <c r="AE110">
        <f t="shared" si="27"/>
        <v>1</v>
      </c>
      <c r="AF110" t="s">
        <v>43</v>
      </c>
      <c r="AG110">
        <f t="shared" si="28"/>
        <v>1</v>
      </c>
      <c r="AH110" t="s">
        <v>43</v>
      </c>
      <c r="AI110" t="s">
        <v>43</v>
      </c>
      <c r="AJ110" t="s">
        <v>43</v>
      </c>
      <c r="AK110" t="s">
        <v>43</v>
      </c>
      <c r="AL110">
        <f t="shared" si="29"/>
        <v>1</v>
      </c>
      <c r="AM110" t="s">
        <v>43</v>
      </c>
      <c r="AN110">
        <v>1</v>
      </c>
      <c r="AO110">
        <v>3</v>
      </c>
      <c r="AP110">
        <v>5</v>
      </c>
      <c r="AQ110">
        <v>3</v>
      </c>
      <c r="AR110">
        <v>5</v>
      </c>
      <c r="AS110">
        <v>1</v>
      </c>
      <c r="AT110">
        <v>6</v>
      </c>
      <c r="AV110">
        <v>10</v>
      </c>
      <c r="AW110">
        <v>13</v>
      </c>
      <c r="AX110">
        <v>13</v>
      </c>
    </row>
    <row r="111" spans="1:50" x14ac:dyDescent="0.2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f t="shared" si="20"/>
        <v>1</v>
      </c>
      <c r="H111">
        <v>4</v>
      </c>
      <c r="I111">
        <f t="shared" si="21"/>
        <v>0</v>
      </c>
      <c r="J111">
        <f t="shared" si="22"/>
        <v>0</v>
      </c>
      <c r="K111">
        <f t="shared" si="23"/>
        <v>0</v>
      </c>
      <c r="L111">
        <f t="shared" si="24"/>
        <v>0</v>
      </c>
      <c r="M111">
        <f t="shared" si="25"/>
        <v>1</v>
      </c>
      <c r="N111">
        <v>4</v>
      </c>
      <c r="O111">
        <f t="shared" si="15"/>
        <v>0</v>
      </c>
      <c r="P111">
        <f t="shared" si="16"/>
        <v>0</v>
      </c>
      <c r="Q111">
        <f t="shared" si="17"/>
        <v>0</v>
      </c>
      <c r="R111">
        <f t="shared" si="18"/>
        <v>0</v>
      </c>
      <c r="S111">
        <f t="shared" si="19"/>
        <v>1</v>
      </c>
      <c r="T111">
        <f t="shared" si="26"/>
        <v>1</v>
      </c>
      <c r="V111" t="s">
        <v>29</v>
      </c>
      <c r="W111" t="s">
        <v>29</v>
      </c>
      <c r="X111" t="s">
        <v>46</v>
      </c>
      <c r="Y111" t="s">
        <v>42</v>
      </c>
      <c r="Z111">
        <v>1</v>
      </c>
      <c r="AA111">
        <v>3</v>
      </c>
      <c r="AB111">
        <v>0</v>
      </c>
      <c r="AC111" t="s">
        <v>44</v>
      </c>
      <c r="AD111" t="s">
        <v>43</v>
      </c>
      <c r="AE111">
        <f t="shared" si="27"/>
        <v>1</v>
      </c>
      <c r="AF111" t="s">
        <v>43</v>
      </c>
      <c r="AG111">
        <f t="shared" si="28"/>
        <v>1</v>
      </c>
      <c r="AH111" t="s">
        <v>43</v>
      </c>
      <c r="AI111" t="s">
        <v>43</v>
      </c>
      <c r="AJ111" t="s">
        <v>43</v>
      </c>
      <c r="AK111" t="s">
        <v>43</v>
      </c>
      <c r="AL111">
        <f t="shared" si="29"/>
        <v>1</v>
      </c>
      <c r="AM111" t="s">
        <v>43</v>
      </c>
      <c r="AN111">
        <v>5</v>
      </c>
      <c r="AO111">
        <v>4</v>
      </c>
      <c r="AP111">
        <v>5</v>
      </c>
      <c r="AQ111">
        <v>1</v>
      </c>
      <c r="AR111">
        <v>1</v>
      </c>
      <c r="AS111">
        <v>4</v>
      </c>
      <c r="AT111">
        <v>4</v>
      </c>
      <c r="AV111">
        <v>14</v>
      </c>
      <c r="AW111">
        <v>15</v>
      </c>
      <c r="AX111">
        <v>16</v>
      </c>
    </row>
    <row r="112" spans="1:50" x14ac:dyDescent="0.2">
      <c r="A112" t="s">
        <v>34</v>
      </c>
      <c r="B112" t="s">
        <v>51</v>
      </c>
      <c r="C112">
        <v>15</v>
      </c>
      <c r="D112" t="s">
        <v>36</v>
      </c>
      <c r="E112" t="s">
        <v>48</v>
      </c>
      <c r="F112" t="s">
        <v>38</v>
      </c>
      <c r="G112">
        <f t="shared" si="20"/>
        <v>0</v>
      </c>
      <c r="H112">
        <v>4</v>
      </c>
      <c r="I112">
        <f t="shared" si="21"/>
        <v>0</v>
      </c>
      <c r="J112">
        <f t="shared" si="22"/>
        <v>0</v>
      </c>
      <c r="K112">
        <f t="shared" si="23"/>
        <v>0</v>
      </c>
      <c r="L112">
        <f t="shared" si="24"/>
        <v>0</v>
      </c>
      <c r="M112">
        <f t="shared" si="25"/>
        <v>1</v>
      </c>
      <c r="N112">
        <v>4</v>
      </c>
      <c r="O112">
        <f t="shared" si="15"/>
        <v>0</v>
      </c>
      <c r="P112">
        <f t="shared" si="16"/>
        <v>0</v>
      </c>
      <c r="Q112">
        <f t="shared" si="17"/>
        <v>0</v>
      </c>
      <c r="R112">
        <f t="shared" si="18"/>
        <v>0</v>
      </c>
      <c r="S112">
        <f t="shared" si="19"/>
        <v>1</v>
      </c>
      <c r="T112">
        <f t="shared" si="26"/>
        <v>1</v>
      </c>
      <c r="V112" t="s">
        <v>40</v>
      </c>
      <c r="W112" t="s">
        <v>40</v>
      </c>
      <c r="X112" t="s">
        <v>41</v>
      </c>
      <c r="Y112" t="s">
        <v>42</v>
      </c>
      <c r="Z112">
        <v>1</v>
      </c>
      <c r="AA112">
        <v>1</v>
      </c>
      <c r="AB112">
        <v>0</v>
      </c>
      <c r="AC112" t="s">
        <v>44</v>
      </c>
      <c r="AD112" t="s">
        <v>44</v>
      </c>
      <c r="AE112">
        <f t="shared" si="27"/>
        <v>0</v>
      </c>
      <c r="AF112" t="s">
        <v>44</v>
      </c>
      <c r="AG112">
        <f t="shared" si="28"/>
        <v>0</v>
      </c>
      <c r="AH112" t="s">
        <v>43</v>
      </c>
      <c r="AI112" t="s">
        <v>43</v>
      </c>
      <c r="AJ112" t="s">
        <v>43</v>
      </c>
      <c r="AK112" t="s">
        <v>43</v>
      </c>
      <c r="AL112">
        <f t="shared" si="29"/>
        <v>1</v>
      </c>
      <c r="AM112" t="s">
        <v>44</v>
      </c>
      <c r="AN112">
        <v>5</v>
      </c>
      <c r="AO112">
        <v>5</v>
      </c>
      <c r="AP112">
        <v>3</v>
      </c>
      <c r="AQ112">
        <v>1</v>
      </c>
      <c r="AR112">
        <v>1</v>
      </c>
      <c r="AS112">
        <v>4</v>
      </c>
      <c r="AT112">
        <v>6</v>
      </c>
      <c r="AV112">
        <v>18</v>
      </c>
      <c r="AW112">
        <v>19</v>
      </c>
      <c r="AX112">
        <v>19</v>
      </c>
    </row>
    <row r="113" spans="1:50" x14ac:dyDescent="0.2">
      <c r="A113" t="s">
        <v>34</v>
      </c>
      <c r="B113" t="s">
        <v>35</v>
      </c>
      <c r="C113">
        <v>16</v>
      </c>
      <c r="D113" t="s">
        <v>53</v>
      </c>
      <c r="E113" t="s">
        <v>37</v>
      </c>
      <c r="F113" t="s">
        <v>45</v>
      </c>
      <c r="G113">
        <f t="shared" si="20"/>
        <v>1</v>
      </c>
      <c r="H113">
        <v>3</v>
      </c>
      <c r="I113">
        <f t="shared" si="21"/>
        <v>0</v>
      </c>
      <c r="J113">
        <f t="shared" si="22"/>
        <v>0</v>
      </c>
      <c r="K113">
        <f t="shared" si="23"/>
        <v>0</v>
      </c>
      <c r="L113">
        <f t="shared" si="24"/>
        <v>1</v>
      </c>
      <c r="M113">
        <f t="shared" si="25"/>
        <v>0</v>
      </c>
      <c r="N113">
        <v>3</v>
      </c>
      <c r="O113">
        <f t="shared" si="15"/>
        <v>0</v>
      </c>
      <c r="P113">
        <f t="shared" si="16"/>
        <v>0</v>
      </c>
      <c r="Q113">
        <f t="shared" si="17"/>
        <v>0</v>
      </c>
      <c r="R113">
        <f t="shared" si="18"/>
        <v>1</v>
      </c>
      <c r="S113">
        <f t="shared" si="19"/>
        <v>0</v>
      </c>
      <c r="T113">
        <f t="shared" si="26"/>
        <v>0</v>
      </c>
      <c r="V113" t="s">
        <v>49</v>
      </c>
      <c r="W113" t="s">
        <v>46</v>
      </c>
      <c r="X113" t="s">
        <v>52</v>
      </c>
      <c r="Y113" t="s">
        <v>47</v>
      </c>
      <c r="Z113">
        <v>1</v>
      </c>
      <c r="AA113">
        <v>3</v>
      </c>
      <c r="AB113">
        <v>1</v>
      </c>
      <c r="AC113" t="s">
        <v>43</v>
      </c>
      <c r="AD113" t="s">
        <v>43</v>
      </c>
      <c r="AE113">
        <f t="shared" si="27"/>
        <v>1</v>
      </c>
      <c r="AF113" t="s">
        <v>44</v>
      </c>
      <c r="AG113">
        <f t="shared" si="28"/>
        <v>0</v>
      </c>
      <c r="AH113" t="s">
        <v>43</v>
      </c>
      <c r="AI113" t="s">
        <v>43</v>
      </c>
      <c r="AJ113" t="s">
        <v>43</v>
      </c>
      <c r="AK113" t="s">
        <v>43</v>
      </c>
      <c r="AL113">
        <f t="shared" si="29"/>
        <v>1</v>
      </c>
      <c r="AM113" t="s">
        <v>44</v>
      </c>
      <c r="AN113">
        <v>4</v>
      </c>
      <c r="AO113">
        <v>1</v>
      </c>
      <c r="AP113">
        <v>2</v>
      </c>
      <c r="AQ113">
        <v>1</v>
      </c>
      <c r="AR113">
        <v>1</v>
      </c>
      <c r="AS113">
        <v>2</v>
      </c>
      <c r="AT113">
        <v>0</v>
      </c>
      <c r="AV113">
        <v>7</v>
      </c>
      <c r="AW113">
        <v>10</v>
      </c>
      <c r="AX113">
        <v>10</v>
      </c>
    </row>
    <row r="114" spans="1:50" x14ac:dyDescent="0.2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f t="shared" si="20"/>
        <v>1</v>
      </c>
      <c r="H114">
        <v>2</v>
      </c>
      <c r="I114">
        <f t="shared" si="21"/>
        <v>0</v>
      </c>
      <c r="J114">
        <f t="shared" si="22"/>
        <v>0</v>
      </c>
      <c r="K114">
        <f t="shared" si="23"/>
        <v>1</v>
      </c>
      <c r="L114">
        <f t="shared" si="24"/>
        <v>0</v>
      </c>
      <c r="M114">
        <f t="shared" si="25"/>
        <v>0</v>
      </c>
      <c r="N114">
        <v>2</v>
      </c>
      <c r="O114">
        <f t="shared" si="15"/>
        <v>0</v>
      </c>
      <c r="P114">
        <f t="shared" si="16"/>
        <v>0</v>
      </c>
      <c r="Q114">
        <f t="shared" si="17"/>
        <v>1</v>
      </c>
      <c r="R114">
        <f t="shared" si="18"/>
        <v>0</v>
      </c>
      <c r="S114">
        <f t="shared" si="19"/>
        <v>0</v>
      </c>
      <c r="T114">
        <f t="shared" si="26"/>
        <v>0</v>
      </c>
      <c r="V114" t="s">
        <v>39</v>
      </c>
      <c r="W114" t="s">
        <v>46</v>
      </c>
      <c r="X114" t="s">
        <v>50</v>
      </c>
      <c r="Y114" t="s">
        <v>42</v>
      </c>
      <c r="Z114">
        <v>1</v>
      </c>
      <c r="AA114">
        <v>2</v>
      </c>
      <c r="AB114">
        <v>1</v>
      </c>
      <c r="AC114" t="s">
        <v>43</v>
      </c>
      <c r="AD114" t="s">
        <v>44</v>
      </c>
      <c r="AE114">
        <f t="shared" si="27"/>
        <v>0</v>
      </c>
      <c r="AF114" t="s">
        <v>44</v>
      </c>
      <c r="AG114">
        <f t="shared" si="28"/>
        <v>0</v>
      </c>
      <c r="AH114" t="s">
        <v>43</v>
      </c>
      <c r="AI114" t="s">
        <v>43</v>
      </c>
      <c r="AJ114" t="s">
        <v>43</v>
      </c>
      <c r="AK114" t="s">
        <v>43</v>
      </c>
      <c r="AL114">
        <f t="shared" si="29"/>
        <v>1</v>
      </c>
      <c r="AM114" t="s">
        <v>44</v>
      </c>
      <c r="AN114">
        <v>3</v>
      </c>
      <c r="AO114">
        <v>1</v>
      </c>
      <c r="AP114">
        <v>2</v>
      </c>
      <c r="AQ114">
        <v>1</v>
      </c>
      <c r="AR114">
        <v>1</v>
      </c>
      <c r="AS114">
        <v>5</v>
      </c>
      <c r="AT114">
        <v>6</v>
      </c>
      <c r="AV114">
        <v>10</v>
      </c>
      <c r="AW114">
        <v>13</v>
      </c>
      <c r="AX114">
        <v>13</v>
      </c>
    </row>
    <row r="115" spans="1:50" x14ac:dyDescent="0.2">
      <c r="A115" t="s">
        <v>34</v>
      </c>
      <c r="B115" t="s">
        <v>51</v>
      </c>
      <c r="C115">
        <v>15</v>
      </c>
      <c r="D115" t="s">
        <v>36</v>
      </c>
      <c r="E115" t="s">
        <v>48</v>
      </c>
      <c r="F115" t="s">
        <v>45</v>
      </c>
      <c r="G115">
        <f t="shared" si="20"/>
        <v>1</v>
      </c>
      <c r="H115">
        <v>4</v>
      </c>
      <c r="I115">
        <f t="shared" si="21"/>
        <v>0</v>
      </c>
      <c r="J115">
        <f t="shared" si="22"/>
        <v>0</v>
      </c>
      <c r="K115">
        <f t="shared" si="23"/>
        <v>0</v>
      </c>
      <c r="L115">
        <f t="shared" si="24"/>
        <v>0</v>
      </c>
      <c r="M115">
        <f t="shared" si="25"/>
        <v>1</v>
      </c>
      <c r="N115">
        <v>2</v>
      </c>
      <c r="O115">
        <f t="shared" si="15"/>
        <v>0</v>
      </c>
      <c r="P115">
        <f t="shared" si="16"/>
        <v>0</v>
      </c>
      <c r="Q115">
        <f t="shared" si="17"/>
        <v>1</v>
      </c>
      <c r="R115">
        <f t="shared" si="18"/>
        <v>0</v>
      </c>
      <c r="S115">
        <f t="shared" si="19"/>
        <v>0</v>
      </c>
      <c r="T115">
        <f t="shared" si="26"/>
        <v>0</v>
      </c>
      <c r="V115" t="s">
        <v>40</v>
      </c>
      <c r="W115" t="s">
        <v>46</v>
      </c>
      <c r="X115" t="s">
        <v>41</v>
      </c>
      <c r="Y115" t="s">
        <v>42</v>
      </c>
      <c r="Z115">
        <v>1</v>
      </c>
      <c r="AA115">
        <v>1</v>
      </c>
      <c r="AB115">
        <v>0</v>
      </c>
      <c r="AC115" t="s">
        <v>44</v>
      </c>
      <c r="AD115" t="s">
        <v>44</v>
      </c>
      <c r="AE115">
        <f t="shared" si="27"/>
        <v>0</v>
      </c>
      <c r="AF115" t="s">
        <v>44</v>
      </c>
      <c r="AG115">
        <f t="shared" si="28"/>
        <v>0</v>
      </c>
      <c r="AH115" t="s">
        <v>44</v>
      </c>
      <c r="AI115" t="s">
        <v>43</v>
      </c>
      <c r="AJ115" t="s">
        <v>43</v>
      </c>
      <c r="AK115" t="s">
        <v>43</v>
      </c>
      <c r="AL115">
        <f t="shared" si="29"/>
        <v>1</v>
      </c>
      <c r="AM115" t="s">
        <v>44</v>
      </c>
      <c r="AN115">
        <v>3</v>
      </c>
      <c r="AO115">
        <v>5</v>
      </c>
      <c r="AP115">
        <v>2</v>
      </c>
      <c r="AQ115">
        <v>1</v>
      </c>
      <c r="AR115">
        <v>1</v>
      </c>
      <c r="AS115">
        <v>3</v>
      </c>
      <c r="AT115">
        <v>10</v>
      </c>
      <c r="AV115">
        <v>18</v>
      </c>
      <c r="AW115">
        <v>19</v>
      </c>
      <c r="AX115">
        <v>19</v>
      </c>
    </row>
    <row r="116" spans="1:50" x14ac:dyDescent="0.2">
      <c r="A116" t="s">
        <v>34</v>
      </c>
      <c r="B116" t="s">
        <v>51</v>
      </c>
      <c r="C116">
        <v>15</v>
      </c>
      <c r="D116" t="s">
        <v>53</v>
      </c>
      <c r="E116" t="s">
        <v>37</v>
      </c>
      <c r="F116" t="s">
        <v>45</v>
      </c>
      <c r="G116">
        <f t="shared" si="20"/>
        <v>1</v>
      </c>
      <c r="H116">
        <v>2</v>
      </c>
      <c r="I116">
        <f t="shared" si="21"/>
        <v>0</v>
      </c>
      <c r="J116">
        <f t="shared" si="22"/>
        <v>0</v>
      </c>
      <c r="K116">
        <f t="shared" si="23"/>
        <v>1</v>
      </c>
      <c r="L116">
        <f t="shared" si="24"/>
        <v>0</v>
      </c>
      <c r="M116">
        <f t="shared" si="25"/>
        <v>0</v>
      </c>
      <c r="N116">
        <v>1</v>
      </c>
      <c r="O116">
        <f t="shared" si="15"/>
        <v>0</v>
      </c>
      <c r="P116">
        <f t="shared" si="16"/>
        <v>1</v>
      </c>
      <c r="Q116">
        <f t="shared" si="17"/>
        <v>0</v>
      </c>
      <c r="R116">
        <f t="shared" si="18"/>
        <v>0</v>
      </c>
      <c r="S116">
        <f t="shared" si="19"/>
        <v>0</v>
      </c>
      <c r="T116">
        <f t="shared" si="26"/>
        <v>0</v>
      </c>
      <c r="V116" t="s">
        <v>29</v>
      </c>
      <c r="W116" t="s">
        <v>49</v>
      </c>
      <c r="X116" t="s">
        <v>52</v>
      </c>
      <c r="Y116" t="s">
        <v>42</v>
      </c>
      <c r="Z116">
        <v>1</v>
      </c>
      <c r="AA116">
        <v>2</v>
      </c>
      <c r="AB116">
        <v>0</v>
      </c>
      <c r="AC116" t="s">
        <v>44</v>
      </c>
      <c r="AD116" t="s">
        <v>44</v>
      </c>
      <c r="AE116">
        <f t="shared" si="27"/>
        <v>0</v>
      </c>
      <c r="AF116" t="s">
        <v>44</v>
      </c>
      <c r="AG116">
        <f t="shared" si="28"/>
        <v>0</v>
      </c>
      <c r="AH116" t="s">
        <v>43</v>
      </c>
      <c r="AI116" t="s">
        <v>43</v>
      </c>
      <c r="AJ116" t="s">
        <v>43</v>
      </c>
      <c r="AK116" t="s">
        <v>43</v>
      </c>
      <c r="AL116">
        <f t="shared" si="29"/>
        <v>1</v>
      </c>
      <c r="AM116" t="s">
        <v>43</v>
      </c>
      <c r="AN116">
        <v>5</v>
      </c>
      <c r="AO116">
        <v>4</v>
      </c>
      <c r="AP116">
        <v>2</v>
      </c>
      <c r="AQ116">
        <v>1</v>
      </c>
      <c r="AR116">
        <v>1</v>
      </c>
      <c r="AS116">
        <v>5</v>
      </c>
      <c r="AT116">
        <v>8</v>
      </c>
      <c r="AV116">
        <v>9</v>
      </c>
      <c r="AW116">
        <v>9</v>
      </c>
      <c r="AX116">
        <v>9</v>
      </c>
    </row>
    <row r="117" spans="1:50" x14ac:dyDescent="0.2">
      <c r="A117" t="s">
        <v>34</v>
      </c>
      <c r="B117" t="s">
        <v>51</v>
      </c>
      <c r="C117">
        <v>16</v>
      </c>
      <c r="D117" t="s">
        <v>36</v>
      </c>
      <c r="E117" t="s">
        <v>37</v>
      </c>
      <c r="F117" t="s">
        <v>45</v>
      </c>
      <c r="G117">
        <f t="shared" si="20"/>
        <v>1</v>
      </c>
      <c r="H117">
        <v>4</v>
      </c>
      <c r="I117">
        <f t="shared" si="21"/>
        <v>0</v>
      </c>
      <c r="J117">
        <f t="shared" si="22"/>
        <v>0</v>
      </c>
      <c r="K117">
        <f t="shared" si="23"/>
        <v>0</v>
      </c>
      <c r="L117">
        <f t="shared" si="24"/>
        <v>0</v>
      </c>
      <c r="M117">
        <f t="shared" si="25"/>
        <v>1</v>
      </c>
      <c r="N117">
        <v>4</v>
      </c>
      <c r="O117">
        <f t="shared" si="15"/>
        <v>0</v>
      </c>
      <c r="P117">
        <f t="shared" si="16"/>
        <v>0</v>
      </c>
      <c r="Q117">
        <f t="shared" si="17"/>
        <v>0</v>
      </c>
      <c r="R117">
        <f t="shared" si="18"/>
        <v>0</v>
      </c>
      <c r="S117">
        <f t="shared" si="19"/>
        <v>1</v>
      </c>
      <c r="T117">
        <f t="shared" si="26"/>
        <v>1</v>
      </c>
      <c r="V117" t="s">
        <v>40</v>
      </c>
      <c r="W117" t="s">
        <v>40</v>
      </c>
      <c r="X117" t="s">
        <v>41</v>
      </c>
      <c r="Y117" t="s">
        <v>47</v>
      </c>
      <c r="Z117">
        <v>1</v>
      </c>
      <c r="AA117">
        <v>2</v>
      </c>
      <c r="AB117">
        <v>0</v>
      </c>
      <c r="AC117" t="s">
        <v>44</v>
      </c>
      <c r="AD117" t="s">
        <v>43</v>
      </c>
      <c r="AE117">
        <f t="shared" si="27"/>
        <v>1</v>
      </c>
      <c r="AF117" t="s">
        <v>44</v>
      </c>
      <c r="AG117">
        <f t="shared" si="28"/>
        <v>0</v>
      </c>
      <c r="AH117" t="s">
        <v>43</v>
      </c>
      <c r="AI117" t="s">
        <v>43</v>
      </c>
      <c r="AJ117" t="s">
        <v>43</v>
      </c>
      <c r="AK117" t="s">
        <v>43</v>
      </c>
      <c r="AL117">
        <f t="shared" si="29"/>
        <v>1</v>
      </c>
      <c r="AM117" t="s">
        <v>44</v>
      </c>
      <c r="AN117">
        <v>5</v>
      </c>
      <c r="AO117">
        <v>4</v>
      </c>
      <c r="AP117">
        <v>4</v>
      </c>
      <c r="AQ117">
        <v>1</v>
      </c>
      <c r="AR117">
        <v>2</v>
      </c>
      <c r="AS117">
        <v>5</v>
      </c>
      <c r="AT117">
        <v>2</v>
      </c>
      <c r="AV117">
        <v>15</v>
      </c>
      <c r="AW117">
        <v>15</v>
      </c>
      <c r="AX117">
        <v>16</v>
      </c>
    </row>
    <row r="118" spans="1:50" x14ac:dyDescent="0.2">
      <c r="A118" t="s">
        <v>34</v>
      </c>
      <c r="B118" t="s">
        <v>51</v>
      </c>
      <c r="C118">
        <v>15</v>
      </c>
      <c r="D118" t="s">
        <v>36</v>
      </c>
      <c r="E118" t="s">
        <v>37</v>
      </c>
      <c r="F118" t="s">
        <v>45</v>
      </c>
      <c r="G118">
        <f t="shared" si="20"/>
        <v>1</v>
      </c>
      <c r="H118">
        <v>4</v>
      </c>
      <c r="I118">
        <f t="shared" si="21"/>
        <v>0</v>
      </c>
      <c r="J118">
        <f t="shared" si="22"/>
        <v>0</v>
      </c>
      <c r="K118">
        <f t="shared" si="23"/>
        <v>0</v>
      </c>
      <c r="L118">
        <f t="shared" si="24"/>
        <v>0</v>
      </c>
      <c r="M118">
        <f t="shared" si="25"/>
        <v>1</v>
      </c>
      <c r="N118">
        <v>4</v>
      </c>
      <c r="O118">
        <f t="shared" si="15"/>
        <v>0</v>
      </c>
      <c r="P118">
        <f t="shared" si="16"/>
        <v>0</v>
      </c>
      <c r="Q118">
        <f t="shared" si="17"/>
        <v>0</v>
      </c>
      <c r="R118">
        <f t="shared" si="18"/>
        <v>0</v>
      </c>
      <c r="S118">
        <f t="shared" si="19"/>
        <v>1</v>
      </c>
      <c r="T118">
        <f t="shared" si="26"/>
        <v>1</v>
      </c>
      <c r="V118" t="s">
        <v>46</v>
      </c>
      <c r="W118" t="s">
        <v>40</v>
      </c>
      <c r="X118" t="s">
        <v>52</v>
      </c>
      <c r="Y118" t="s">
        <v>47</v>
      </c>
      <c r="Z118">
        <v>2</v>
      </c>
      <c r="AA118">
        <v>2</v>
      </c>
      <c r="AB118">
        <v>0</v>
      </c>
      <c r="AC118" t="s">
        <v>44</v>
      </c>
      <c r="AD118" t="s">
        <v>43</v>
      </c>
      <c r="AE118">
        <f t="shared" si="27"/>
        <v>1</v>
      </c>
      <c r="AF118" t="s">
        <v>44</v>
      </c>
      <c r="AG118">
        <f t="shared" si="28"/>
        <v>0</v>
      </c>
      <c r="AH118" t="s">
        <v>43</v>
      </c>
      <c r="AI118" t="s">
        <v>43</v>
      </c>
      <c r="AJ118" t="s">
        <v>43</v>
      </c>
      <c r="AK118" t="s">
        <v>44</v>
      </c>
      <c r="AL118">
        <f t="shared" si="29"/>
        <v>0</v>
      </c>
      <c r="AM118" t="s">
        <v>44</v>
      </c>
      <c r="AN118">
        <v>4</v>
      </c>
      <c r="AO118">
        <v>4</v>
      </c>
      <c r="AP118">
        <v>3</v>
      </c>
      <c r="AQ118">
        <v>1</v>
      </c>
      <c r="AR118">
        <v>1</v>
      </c>
      <c r="AS118">
        <v>2</v>
      </c>
      <c r="AT118">
        <v>2</v>
      </c>
      <c r="AV118">
        <v>11</v>
      </c>
      <c r="AW118">
        <v>13</v>
      </c>
      <c r="AX118">
        <v>14</v>
      </c>
    </row>
    <row r="119" spans="1:50" x14ac:dyDescent="0.2">
      <c r="A119" t="s">
        <v>34</v>
      </c>
      <c r="B119" t="s">
        <v>51</v>
      </c>
      <c r="C119">
        <v>16</v>
      </c>
      <c r="D119" t="s">
        <v>36</v>
      </c>
      <c r="E119" t="s">
        <v>37</v>
      </c>
      <c r="F119" t="s">
        <v>45</v>
      </c>
      <c r="G119">
        <f t="shared" si="20"/>
        <v>1</v>
      </c>
      <c r="H119">
        <v>3</v>
      </c>
      <c r="I119">
        <f t="shared" si="21"/>
        <v>0</v>
      </c>
      <c r="J119">
        <f t="shared" si="22"/>
        <v>0</v>
      </c>
      <c r="K119">
        <f t="shared" si="23"/>
        <v>0</v>
      </c>
      <c r="L119">
        <f t="shared" si="24"/>
        <v>1</v>
      </c>
      <c r="M119">
        <f t="shared" si="25"/>
        <v>0</v>
      </c>
      <c r="N119">
        <v>3</v>
      </c>
      <c r="O119">
        <f t="shared" si="15"/>
        <v>0</v>
      </c>
      <c r="P119">
        <f t="shared" si="16"/>
        <v>0</v>
      </c>
      <c r="Q119">
        <f t="shared" si="17"/>
        <v>0</v>
      </c>
      <c r="R119">
        <f t="shared" si="18"/>
        <v>1</v>
      </c>
      <c r="S119">
        <f t="shared" si="19"/>
        <v>0</v>
      </c>
      <c r="T119">
        <f t="shared" si="26"/>
        <v>0</v>
      </c>
      <c r="V119" t="s">
        <v>46</v>
      </c>
      <c r="W119" t="s">
        <v>49</v>
      </c>
      <c r="X119" t="s">
        <v>50</v>
      </c>
      <c r="Y119" t="s">
        <v>47</v>
      </c>
      <c r="Z119">
        <v>2</v>
      </c>
      <c r="AA119">
        <v>1</v>
      </c>
      <c r="AB119">
        <v>0</v>
      </c>
      <c r="AC119" t="s">
        <v>44</v>
      </c>
      <c r="AD119" t="s">
        <v>44</v>
      </c>
      <c r="AE119">
        <f t="shared" si="27"/>
        <v>0</v>
      </c>
      <c r="AF119" t="s">
        <v>44</v>
      </c>
      <c r="AG119">
        <f t="shared" si="28"/>
        <v>0</v>
      </c>
      <c r="AH119" t="s">
        <v>43</v>
      </c>
      <c r="AI119" t="s">
        <v>43</v>
      </c>
      <c r="AJ119" t="s">
        <v>43</v>
      </c>
      <c r="AK119" t="s">
        <v>43</v>
      </c>
      <c r="AL119">
        <f t="shared" si="29"/>
        <v>1</v>
      </c>
      <c r="AM119" t="s">
        <v>44</v>
      </c>
      <c r="AN119">
        <v>5</v>
      </c>
      <c r="AO119">
        <v>4</v>
      </c>
      <c r="AP119">
        <v>2</v>
      </c>
      <c r="AQ119">
        <v>1</v>
      </c>
      <c r="AR119">
        <v>1</v>
      </c>
      <c r="AS119">
        <v>5</v>
      </c>
      <c r="AT119">
        <v>0</v>
      </c>
      <c r="AV119">
        <v>13</v>
      </c>
      <c r="AW119">
        <v>14</v>
      </c>
      <c r="AX119">
        <v>13</v>
      </c>
    </row>
    <row r="120" spans="1:50" x14ac:dyDescent="0.2">
      <c r="A120" t="s">
        <v>34</v>
      </c>
      <c r="B120" t="s">
        <v>51</v>
      </c>
      <c r="C120">
        <v>17</v>
      </c>
      <c r="D120" t="s">
        <v>53</v>
      </c>
      <c r="E120" t="s">
        <v>37</v>
      </c>
      <c r="F120" t="s">
        <v>45</v>
      </c>
      <c r="G120">
        <f t="shared" si="20"/>
        <v>1</v>
      </c>
      <c r="H120">
        <v>1</v>
      </c>
      <c r="I120">
        <f t="shared" si="21"/>
        <v>0</v>
      </c>
      <c r="J120">
        <f t="shared" si="22"/>
        <v>1</v>
      </c>
      <c r="K120">
        <f t="shared" si="23"/>
        <v>0</v>
      </c>
      <c r="L120">
        <f t="shared" si="24"/>
        <v>0</v>
      </c>
      <c r="M120">
        <f t="shared" si="25"/>
        <v>0</v>
      </c>
      <c r="N120">
        <v>3</v>
      </c>
      <c r="O120">
        <f t="shared" si="15"/>
        <v>0</v>
      </c>
      <c r="P120">
        <f t="shared" si="16"/>
        <v>0</v>
      </c>
      <c r="Q120">
        <f t="shared" si="17"/>
        <v>0</v>
      </c>
      <c r="R120">
        <f t="shared" si="18"/>
        <v>1</v>
      </c>
      <c r="S120">
        <f t="shared" si="19"/>
        <v>0</v>
      </c>
      <c r="T120">
        <f t="shared" si="26"/>
        <v>0</v>
      </c>
      <c r="V120" t="s">
        <v>46</v>
      </c>
      <c r="W120" t="s">
        <v>46</v>
      </c>
      <c r="X120" t="s">
        <v>41</v>
      </c>
      <c r="Y120" t="s">
        <v>47</v>
      </c>
      <c r="Z120">
        <v>3</v>
      </c>
      <c r="AA120">
        <v>2</v>
      </c>
      <c r="AB120">
        <v>1</v>
      </c>
      <c r="AC120" t="s">
        <v>44</v>
      </c>
      <c r="AD120" t="s">
        <v>43</v>
      </c>
      <c r="AE120">
        <f t="shared" si="27"/>
        <v>1</v>
      </c>
      <c r="AF120" t="s">
        <v>44</v>
      </c>
      <c r="AG120">
        <f t="shared" si="28"/>
        <v>0</v>
      </c>
      <c r="AH120" t="s">
        <v>43</v>
      </c>
      <c r="AI120" t="s">
        <v>43</v>
      </c>
      <c r="AJ120" t="s">
        <v>43</v>
      </c>
      <c r="AK120" t="s">
        <v>43</v>
      </c>
      <c r="AL120">
        <f t="shared" si="29"/>
        <v>1</v>
      </c>
      <c r="AM120" t="s">
        <v>44</v>
      </c>
      <c r="AN120">
        <v>5</v>
      </c>
      <c r="AO120">
        <v>2</v>
      </c>
      <c r="AP120">
        <v>4</v>
      </c>
      <c r="AQ120">
        <v>1</v>
      </c>
      <c r="AR120">
        <v>4</v>
      </c>
      <c r="AS120">
        <v>5</v>
      </c>
      <c r="AT120">
        <v>20</v>
      </c>
      <c r="AV120">
        <v>9</v>
      </c>
      <c r="AW120">
        <v>7</v>
      </c>
      <c r="AX120">
        <v>8</v>
      </c>
    </row>
    <row r="121" spans="1:50" x14ac:dyDescent="0.2">
      <c r="A121" t="s">
        <v>34</v>
      </c>
      <c r="B121" t="s">
        <v>51</v>
      </c>
      <c r="C121">
        <v>15</v>
      </c>
      <c r="D121" t="s">
        <v>36</v>
      </c>
      <c r="E121" t="s">
        <v>37</v>
      </c>
      <c r="F121" t="s">
        <v>45</v>
      </c>
      <c r="G121">
        <f t="shared" si="20"/>
        <v>1</v>
      </c>
      <c r="H121">
        <v>3</v>
      </c>
      <c r="I121">
        <f t="shared" si="21"/>
        <v>0</v>
      </c>
      <c r="J121">
        <f t="shared" si="22"/>
        <v>0</v>
      </c>
      <c r="K121">
        <f t="shared" si="23"/>
        <v>0</v>
      </c>
      <c r="L121">
        <f t="shared" si="24"/>
        <v>1</v>
      </c>
      <c r="M121">
        <f t="shared" si="25"/>
        <v>0</v>
      </c>
      <c r="N121">
        <v>4</v>
      </c>
      <c r="O121">
        <f t="shared" si="15"/>
        <v>0</v>
      </c>
      <c r="P121">
        <f t="shared" si="16"/>
        <v>0</v>
      </c>
      <c r="Q121">
        <f t="shared" si="17"/>
        <v>0</v>
      </c>
      <c r="R121">
        <f t="shared" si="18"/>
        <v>0</v>
      </c>
      <c r="S121">
        <f t="shared" si="19"/>
        <v>1</v>
      </c>
      <c r="T121">
        <f t="shared" si="26"/>
        <v>0</v>
      </c>
      <c r="V121" t="s">
        <v>46</v>
      </c>
      <c r="W121" t="s">
        <v>46</v>
      </c>
      <c r="X121" t="s">
        <v>52</v>
      </c>
      <c r="Y121" t="s">
        <v>47</v>
      </c>
      <c r="Z121">
        <v>1</v>
      </c>
      <c r="AA121">
        <v>1</v>
      </c>
      <c r="AB121">
        <v>0</v>
      </c>
      <c r="AC121" t="s">
        <v>44</v>
      </c>
      <c r="AD121" t="s">
        <v>44</v>
      </c>
      <c r="AE121">
        <f t="shared" si="27"/>
        <v>0</v>
      </c>
      <c r="AF121" t="s">
        <v>44</v>
      </c>
      <c r="AG121">
        <f t="shared" si="28"/>
        <v>0</v>
      </c>
      <c r="AH121" t="s">
        <v>44</v>
      </c>
      <c r="AI121" t="s">
        <v>43</v>
      </c>
      <c r="AJ121" t="s">
        <v>43</v>
      </c>
      <c r="AK121" t="s">
        <v>43</v>
      </c>
      <c r="AL121">
        <f t="shared" si="29"/>
        <v>1</v>
      </c>
      <c r="AM121" t="s">
        <v>44</v>
      </c>
      <c r="AN121">
        <v>3</v>
      </c>
      <c r="AO121">
        <v>4</v>
      </c>
      <c r="AP121">
        <v>3</v>
      </c>
      <c r="AQ121">
        <v>1</v>
      </c>
      <c r="AR121">
        <v>2</v>
      </c>
      <c r="AS121">
        <v>4</v>
      </c>
      <c r="AT121">
        <v>6</v>
      </c>
      <c r="AV121">
        <v>14</v>
      </c>
      <c r="AW121">
        <v>13</v>
      </c>
      <c r="AX121">
        <v>13</v>
      </c>
    </row>
    <row r="122" spans="1:50" x14ac:dyDescent="0.2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f t="shared" si="20"/>
        <v>1</v>
      </c>
      <c r="H122">
        <v>1</v>
      </c>
      <c r="I122">
        <f t="shared" si="21"/>
        <v>0</v>
      </c>
      <c r="J122">
        <f t="shared" si="22"/>
        <v>1</v>
      </c>
      <c r="K122">
        <f t="shared" si="23"/>
        <v>0</v>
      </c>
      <c r="L122">
        <f t="shared" si="24"/>
        <v>0</v>
      </c>
      <c r="M122">
        <f t="shared" si="25"/>
        <v>0</v>
      </c>
      <c r="N122">
        <v>2</v>
      </c>
      <c r="O122">
        <f t="shared" si="15"/>
        <v>0</v>
      </c>
      <c r="P122">
        <f t="shared" si="16"/>
        <v>0</v>
      </c>
      <c r="Q122">
        <f t="shared" si="17"/>
        <v>1</v>
      </c>
      <c r="R122">
        <f t="shared" si="18"/>
        <v>0</v>
      </c>
      <c r="S122">
        <f t="shared" si="19"/>
        <v>0</v>
      </c>
      <c r="T122">
        <f t="shared" si="26"/>
        <v>0</v>
      </c>
      <c r="V122" t="s">
        <v>39</v>
      </c>
      <c r="W122" t="s">
        <v>49</v>
      </c>
      <c r="X122" t="s">
        <v>41</v>
      </c>
      <c r="Y122" t="s">
        <v>42</v>
      </c>
      <c r="Z122">
        <v>1</v>
      </c>
      <c r="AA122">
        <v>2</v>
      </c>
      <c r="AB122">
        <v>0</v>
      </c>
      <c r="AC122" t="s">
        <v>44</v>
      </c>
      <c r="AD122" t="s">
        <v>44</v>
      </c>
      <c r="AE122">
        <f t="shared" si="27"/>
        <v>0</v>
      </c>
      <c r="AF122" t="s">
        <v>44</v>
      </c>
      <c r="AG122">
        <f t="shared" si="28"/>
        <v>0</v>
      </c>
      <c r="AH122" t="s">
        <v>44</v>
      </c>
      <c r="AI122" t="s">
        <v>44</v>
      </c>
      <c r="AJ122" t="s">
        <v>43</v>
      </c>
      <c r="AK122" t="s">
        <v>43</v>
      </c>
      <c r="AL122">
        <f t="shared" si="29"/>
        <v>1</v>
      </c>
      <c r="AM122" t="s">
        <v>44</v>
      </c>
      <c r="AN122">
        <v>3</v>
      </c>
      <c r="AO122">
        <v>2</v>
      </c>
      <c r="AP122">
        <v>3</v>
      </c>
      <c r="AQ122">
        <v>1</v>
      </c>
      <c r="AR122">
        <v>2</v>
      </c>
      <c r="AS122">
        <v>1</v>
      </c>
      <c r="AT122">
        <v>2</v>
      </c>
      <c r="AV122">
        <v>16</v>
      </c>
      <c r="AW122">
        <v>15</v>
      </c>
      <c r="AX122">
        <v>15</v>
      </c>
    </row>
    <row r="123" spans="1:50" x14ac:dyDescent="0.2">
      <c r="A123" t="s">
        <v>34</v>
      </c>
      <c r="B123" t="s">
        <v>51</v>
      </c>
      <c r="C123">
        <v>15</v>
      </c>
      <c r="D123" t="s">
        <v>36</v>
      </c>
      <c r="E123" t="s">
        <v>37</v>
      </c>
      <c r="F123" t="s">
        <v>45</v>
      </c>
      <c r="G123">
        <f t="shared" si="20"/>
        <v>1</v>
      </c>
      <c r="H123">
        <v>2</v>
      </c>
      <c r="I123">
        <f t="shared" si="21"/>
        <v>0</v>
      </c>
      <c r="J123">
        <f t="shared" si="22"/>
        <v>0</v>
      </c>
      <c r="K123">
        <f t="shared" si="23"/>
        <v>1</v>
      </c>
      <c r="L123">
        <f t="shared" si="24"/>
        <v>0</v>
      </c>
      <c r="M123">
        <f t="shared" si="25"/>
        <v>0</v>
      </c>
      <c r="N123">
        <v>2</v>
      </c>
      <c r="O123">
        <f t="shared" si="15"/>
        <v>0</v>
      </c>
      <c r="P123">
        <f t="shared" si="16"/>
        <v>0</v>
      </c>
      <c r="Q123">
        <f t="shared" si="17"/>
        <v>1</v>
      </c>
      <c r="R123">
        <f t="shared" si="18"/>
        <v>0</v>
      </c>
      <c r="S123">
        <f t="shared" si="19"/>
        <v>0</v>
      </c>
      <c r="T123">
        <f t="shared" si="26"/>
        <v>0</v>
      </c>
      <c r="V123" t="s">
        <v>49</v>
      </c>
      <c r="W123" t="s">
        <v>49</v>
      </c>
      <c r="X123" t="s">
        <v>50</v>
      </c>
      <c r="Y123" t="s">
        <v>47</v>
      </c>
      <c r="Z123">
        <v>1</v>
      </c>
      <c r="AA123">
        <v>4</v>
      </c>
      <c r="AB123">
        <v>0</v>
      </c>
      <c r="AC123" t="s">
        <v>44</v>
      </c>
      <c r="AD123" t="s">
        <v>43</v>
      </c>
      <c r="AE123">
        <f t="shared" si="27"/>
        <v>1</v>
      </c>
      <c r="AF123" t="s">
        <v>43</v>
      </c>
      <c r="AG123">
        <f t="shared" si="28"/>
        <v>1</v>
      </c>
      <c r="AH123" t="s">
        <v>43</v>
      </c>
      <c r="AI123" t="s">
        <v>43</v>
      </c>
      <c r="AJ123" t="s">
        <v>43</v>
      </c>
      <c r="AK123" t="s">
        <v>43</v>
      </c>
      <c r="AL123">
        <f t="shared" si="29"/>
        <v>1</v>
      </c>
      <c r="AM123" t="s">
        <v>44</v>
      </c>
      <c r="AN123">
        <v>5</v>
      </c>
      <c r="AO123">
        <v>5</v>
      </c>
      <c r="AP123">
        <v>4</v>
      </c>
      <c r="AQ123">
        <v>1</v>
      </c>
      <c r="AR123">
        <v>2</v>
      </c>
      <c r="AS123">
        <v>5</v>
      </c>
      <c r="AT123">
        <v>6</v>
      </c>
      <c r="AV123">
        <v>16</v>
      </c>
      <c r="AW123">
        <v>14</v>
      </c>
      <c r="AX123">
        <v>15</v>
      </c>
    </row>
    <row r="124" spans="1:50" x14ac:dyDescent="0.2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f t="shared" si="20"/>
        <v>1</v>
      </c>
      <c r="H124">
        <v>2</v>
      </c>
      <c r="I124">
        <f t="shared" si="21"/>
        <v>0</v>
      </c>
      <c r="J124">
        <f t="shared" si="22"/>
        <v>0</v>
      </c>
      <c r="K124">
        <f t="shared" si="23"/>
        <v>1</v>
      </c>
      <c r="L124">
        <f t="shared" si="24"/>
        <v>0</v>
      </c>
      <c r="M124">
        <f t="shared" si="25"/>
        <v>0</v>
      </c>
      <c r="N124">
        <v>4</v>
      </c>
      <c r="O124">
        <f t="shared" si="15"/>
        <v>0</v>
      </c>
      <c r="P124">
        <f t="shared" si="16"/>
        <v>0</v>
      </c>
      <c r="Q124">
        <f t="shared" si="17"/>
        <v>0</v>
      </c>
      <c r="R124">
        <f t="shared" si="18"/>
        <v>0</v>
      </c>
      <c r="S124">
        <f t="shared" si="19"/>
        <v>1</v>
      </c>
      <c r="T124">
        <f t="shared" si="26"/>
        <v>0</v>
      </c>
      <c r="V124" t="s">
        <v>46</v>
      </c>
      <c r="W124" t="s">
        <v>29</v>
      </c>
      <c r="X124" t="s">
        <v>41</v>
      </c>
      <c r="Y124" t="s">
        <v>47</v>
      </c>
      <c r="Z124">
        <v>2</v>
      </c>
      <c r="AA124">
        <v>2</v>
      </c>
      <c r="AB124">
        <v>0</v>
      </c>
      <c r="AC124" t="s">
        <v>44</v>
      </c>
      <c r="AD124" t="s">
        <v>43</v>
      </c>
      <c r="AE124">
        <f t="shared" si="27"/>
        <v>1</v>
      </c>
      <c r="AF124" t="s">
        <v>43</v>
      </c>
      <c r="AG124">
        <f t="shared" si="28"/>
        <v>1</v>
      </c>
      <c r="AH124" t="s">
        <v>43</v>
      </c>
      <c r="AI124" t="s">
        <v>43</v>
      </c>
      <c r="AJ124" t="s">
        <v>43</v>
      </c>
      <c r="AK124" t="s">
        <v>43</v>
      </c>
      <c r="AL124">
        <f t="shared" si="29"/>
        <v>1</v>
      </c>
      <c r="AM124" t="s">
        <v>43</v>
      </c>
      <c r="AN124">
        <v>4</v>
      </c>
      <c r="AO124">
        <v>2</v>
      </c>
      <c r="AP124">
        <v>2</v>
      </c>
      <c r="AQ124">
        <v>1</v>
      </c>
      <c r="AR124">
        <v>2</v>
      </c>
      <c r="AS124">
        <v>5</v>
      </c>
      <c r="AT124">
        <v>2</v>
      </c>
      <c r="AV124">
        <v>13</v>
      </c>
      <c r="AW124">
        <v>13</v>
      </c>
      <c r="AX124">
        <v>13</v>
      </c>
    </row>
    <row r="125" spans="1:50" x14ac:dyDescent="0.2">
      <c r="A125" t="s">
        <v>34</v>
      </c>
      <c r="B125" t="s">
        <v>51</v>
      </c>
      <c r="C125">
        <v>16</v>
      </c>
      <c r="D125" t="s">
        <v>36</v>
      </c>
      <c r="E125" t="s">
        <v>37</v>
      </c>
      <c r="F125" t="s">
        <v>45</v>
      </c>
      <c r="G125">
        <f t="shared" si="20"/>
        <v>1</v>
      </c>
      <c r="H125">
        <v>4</v>
      </c>
      <c r="I125">
        <f t="shared" si="21"/>
        <v>0</v>
      </c>
      <c r="J125">
        <f t="shared" si="22"/>
        <v>0</v>
      </c>
      <c r="K125">
        <f t="shared" si="23"/>
        <v>0</v>
      </c>
      <c r="L125">
        <f t="shared" si="24"/>
        <v>0</v>
      </c>
      <c r="M125">
        <f t="shared" si="25"/>
        <v>1</v>
      </c>
      <c r="N125">
        <v>4</v>
      </c>
      <c r="O125">
        <f t="shared" si="15"/>
        <v>0</v>
      </c>
      <c r="P125">
        <f t="shared" si="16"/>
        <v>0</v>
      </c>
      <c r="Q125">
        <f t="shared" si="17"/>
        <v>0</v>
      </c>
      <c r="R125">
        <f t="shared" si="18"/>
        <v>0</v>
      </c>
      <c r="S125">
        <f t="shared" si="19"/>
        <v>1</v>
      </c>
      <c r="T125">
        <f t="shared" si="26"/>
        <v>1</v>
      </c>
      <c r="V125" t="s">
        <v>29</v>
      </c>
      <c r="W125" t="s">
        <v>46</v>
      </c>
      <c r="X125" t="s">
        <v>41</v>
      </c>
      <c r="Y125" t="s">
        <v>42</v>
      </c>
      <c r="Z125">
        <v>1</v>
      </c>
      <c r="AA125">
        <v>1</v>
      </c>
      <c r="AB125">
        <v>0</v>
      </c>
      <c r="AC125" t="s">
        <v>44</v>
      </c>
      <c r="AD125" t="s">
        <v>43</v>
      </c>
      <c r="AE125">
        <f t="shared" si="27"/>
        <v>1</v>
      </c>
      <c r="AF125" t="s">
        <v>44</v>
      </c>
      <c r="AG125">
        <f t="shared" si="28"/>
        <v>0</v>
      </c>
      <c r="AH125" t="s">
        <v>43</v>
      </c>
      <c r="AI125" t="s">
        <v>43</v>
      </c>
      <c r="AJ125" t="s">
        <v>43</v>
      </c>
      <c r="AK125" t="s">
        <v>43</v>
      </c>
      <c r="AL125">
        <f t="shared" si="29"/>
        <v>1</v>
      </c>
      <c r="AM125" t="s">
        <v>44</v>
      </c>
      <c r="AN125">
        <v>3</v>
      </c>
      <c r="AO125">
        <v>4</v>
      </c>
      <c r="AP125">
        <v>4</v>
      </c>
      <c r="AQ125">
        <v>1</v>
      </c>
      <c r="AR125">
        <v>4</v>
      </c>
      <c r="AS125">
        <v>5</v>
      </c>
      <c r="AT125">
        <v>18</v>
      </c>
      <c r="AV125">
        <v>14</v>
      </c>
      <c r="AW125">
        <v>11</v>
      </c>
      <c r="AX125">
        <v>13</v>
      </c>
    </row>
    <row r="126" spans="1:50" x14ac:dyDescent="0.2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f t="shared" si="20"/>
        <v>1</v>
      </c>
      <c r="H126">
        <v>2</v>
      </c>
      <c r="I126">
        <f t="shared" si="21"/>
        <v>0</v>
      </c>
      <c r="J126">
        <f t="shared" si="22"/>
        <v>0</v>
      </c>
      <c r="K126">
        <f t="shared" si="23"/>
        <v>1</v>
      </c>
      <c r="L126">
        <f t="shared" si="24"/>
        <v>0</v>
      </c>
      <c r="M126">
        <f t="shared" si="25"/>
        <v>0</v>
      </c>
      <c r="N126">
        <v>2</v>
      </c>
      <c r="O126">
        <f t="shared" si="15"/>
        <v>0</v>
      </c>
      <c r="P126">
        <f t="shared" si="16"/>
        <v>0</v>
      </c>
      <c r="Q126">
        <f t="shared" si="17"/>
        <v>1</v>
      </c>
      <c r="R126">
        <f t="shared" si="18"/>
        <v>0</v>
      </c>
      <c r="S126">
        <f t="shared" si="19"/>
        <v>0</v>
      </c>
      <c r="T126">
        <f t="shared" si="26"/>
        <v>0</v>
      </c>
      <c r="V126" t="s">
        <v>46</v>
      </c>
      <c r="W126" t="s">
        <v>46</v>
      </c>
      <c r="X126" t="s">
        <v>50</v>
      </c>
      <c r="Y126" t="s">
        <v>42</v>
      </c>
      <c r="Z126">
        <v>1</v>
      </c>
      <c r="AA126">
        <v>2</v>
      </c>
      <c r="AB126">
        <v>0</v>
      </c>
      <c r="AC126" t="s">
        <v>44</v>
      </c>
      <c r="AD126" t="s">
        <v>44</v>
      </c>
      <c r="AE126">
        <f t="shared" si="27"/>
        <v>0</v>
      </c>
      <c r="AF126" t="s">
        <v>43</v>
      </c>
      <c r="AG126">
        <f t="shared" si="28"/>
        <v>1</v>
      </c>
      <c r="AH126" t="s">
        <v>44</v>
      </c>
      <c r="AI126" t="s">
        <v>43</v>
      </c>
      <c r="AJ126" t="s">
        <v>43</v>
      </c>
      <c r="AK126" t="s">
        <v>43</v>
      </c>
      <c r="AL126">
        <f t="shared" si="29"/>
        <v>1</v>
      </c>
      <c r="AM126" t="s">
        <v>43</v>
      </c>
      <c r="AN126">
        <v>5</v>
      </c>
      <c r="AO126">
        <v>4</v>
      </c>
      <c r="AP126">
        <v>4</v>
      </c>
      <c r="AQ126">
        <v>1</v>
      </c>
      <c r="AR126">
        <v>1</v>
      </c>
      <c r="AS126">
        <v>5</v>
      </c>
      <c r="AT126">
        <v>0</v>
      </c>
      <c r="AV126">
        <v>8</v>
      </c>
      <c r="AW126">
        <v>7</v>
      </c>
      <c r="AX126">
        <v>8</v>
      </c>
    </row>
    <row r="127" spans="1:50" x14ac:dyDescent="0.2">
      <c r="A127" t="s">
        <v>34</v>
      </c>
      <c r="B127" t="s">
        <v>51</v>
      </c>
      <c r="C127">
        <v>15</v>
      </c>
      <c r="D127" t="s">
        <v>36</v>
      </c>
      <c r="E127" t="s">
        <v>37</v>
      </c>
      <c r="F127" t="s">
        <v>45</v>
      </c>
      <c r="G127">
        <f t="shared" si="20"/>
        <v>1</v>
      </c>
      <c r="H127">
        <v>3</v>
      </c>
      <c r="I127">
        <f t="shared" si="21"/>
        <v>0</v>
      </c>
      <c r="J127">
        <f t="shared" si="22"/>
        <v>0</v>
      </c>
      <c r="K127">
        <f t="shared" si="23"/>
        <v>0</v>
      </c>
      <c r="L127">
        <f t="shared" si="24"/>
        <v>1</v>
      </c>
      <c r="M127">
        <f t="shared" si="25"/>
        <v>0</v>
      </c>
      <c r="N127">
        <v>4</v>
      </c>
      <c r="O127">
        <f t="shared" si="15"/>
        <v>0</v>
      </c>
      <c r="P127">
        <f t="shared" si="16"/>
        <v>0</v>
      </c>
      <c r="Q127">
        <f t="shared" si="17"/>
        <v>0</v>
      </c>
      <c r="R127">
        <f t="shared" si="18"/>
        <v>0</v>
      </c>
      <c r="S127">
        <f t="shared" si="19"/>
        <v>1</v>
      </c>
      <c r="T127">
        <f t="shared" si="26"/>
        <v>0</v>
      </c>
      <c r="V127" t="s">
        <v>49</v>
      </c>
      <c r="W127" t="s">
        <v>49</v>
      </c>
      <c r="X127" t="s">
        <v>50</v>
      </c>
      <c r="Y127" t="s">
        <v>47</v>
      </c>
      <c r="Z127">
        <v>1</v>
      </c>
      <c r="AA127">
        <v>1</v>
      </c>
      <c r="AB127">
        <v>0</v>
      </c>
      <c r="AC127" t="s">
        <v>43</v>
      </c>
      <c r="AD127" t="s">
        <v>44</v>
      </c>
      <c r="AE127">
        <f t="shared" si="27"/>
        <v>0</v>
      </c>
      <c r="AF127" t="s">
        <v>44</v>
      </c>
      <c r="AG127">
        <f t="shared" si="28"/>
        <v>0</v>
      </c>
      <c r="AH127" t="s">
        <v>44</v>
      </c>
      <c r="AI127" t="s">
        <v>43</v>
      </c>
      <c r="AJ127" t="s">
        <v>43</v>
      </c>
      <c r="AK127" t="s">
        <v>43</v>
      </c>
      <c r="AL127">
        <f t="shared" si="29"/>
        <v>1</v>
      </c>
      <c r="AM127" t="s">
        <v>44</v>
      </c>
      <c r="AN127">
        <v>5</v>
      </c>
      <c r="AO127">
        <v>5</v>
      </c>
      <c r="AP127">
        <v>5</v>
      </c>
      <c r="AQ127">
        <v>3</v>
      </c>
      <c r="AR127">
        <v>2</v>
      </c>
      <c r="AS127">
        <v>5</v>
      </c>
      <c r="AT127">
        <v>0</v>
      </c>
      <c r="AV127">
        <v>13</v>
      </c>
      <c r="AW127">
        <v>13</v>
      </c>
      <c r="AX127">
        <v>12</v>
      </c>
    </row>
    <row r="128" spans="1:50" x14ac:dyDescent="0.2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f t="shared" si="20"/>
        <v>0</v>
      </c>
      <c r="H128">
        <v>3</v>
      </c>
      <c r="I128">
        <f t="shared" si="21"/>
        <v>0</v>
      </c>
      <c r="J128">
        <f t="shared" si="22"/>
        <v>0</v>
      </c>
      <c r="K128">
        <f t="shared" si="23"/>
        <v>0</v>
      </c>
      <c r="L128">
        <f t="shared" si="24"/>
        <v>1</v>
      </c>
      <c r="M128">
        <f t="shared" si="25"/>
        <v>0</v>
      </c>
      <c r="N128">
        <v>4</v>
      </c>
      <c r="O128">
        <f t="shared" si="15"/>
        <v>0</v>
      </c>
      <c r="P128">
        <f t="shared" si="16"/>
        <v>0</v>
      </c>
      <c r="Q128">
        <f t="shared" si="17"/>
        <v>0</v>
      </c>
      <c r="R128">
        <f t="shared" si="18"/>
        <v>0</v>
      </c>
      <c r="S128">
        <f t="shared" si="19"/>
        <v>1</v>
      </c>
      <c r="T128">
        <f t="shared" si="26"/>
        <v>0</v>
      </c>
      <c r="V128" t="s">
        <v>46</v>
      </c>
      <c r="W128" t="s">
        <v>46</v>
      </c>
      <c r="X128" t="s">
        <v>50</v>
      </c>
      <c r="Y128" t="s">
        <v>42</v>
      </c>
      <c r="Z128">
        <v>1</v>
      </c>
      <c r="AA128">
        <v>2</v>
      </c>
      <c r="AB128">
        <v>0</v>
      </c>
      <c r="AC128" t="s">
        <v>43</v>
      </c>
      <c r="AD128" t="s">
        <v>44</v>
      </c>
      <c r="AE128">
        <f t="shared" si="27"/>
        <v>0</v>
      </c>
      <c r="AF128" t="s">
        <v>44</v>
      </c>
      <c r="AG128">
        <f t="shared" si="28"/>
        <v>0</v>
      </c>
      <c r="AH128" t="s">
        <v>43</v>
      </c>
      <c r="AI128" t="s">
        <v>43</v>
      </c>
      <c r="AJ128" t="s">
        <v>43</v>
      </c>
      <c r="AK128" t="s">
        <v>43</v>
      </c>
      <c r="AL128">
        <f t="shared" si="29"/>
        <v>1</v>
      </c>
      <c r="AM128" t="s">
        <v>43</v>
      </c>
      <c r="AN128">
        <v>5</v>
      </c>
      <c r="AO128">
        <v>3</v>
      </c>
      <c r="AP128">
        <v>2</v>
      </c>
      <c r="AQ128">
        <v>1</v>
      </c>
      <c r="AR128">
        <v>1</v>
      </c>
      <c r="AS128">
        <v>1</v>
      </c>
      <c r="AT128">
        <v>0</v>
      </c>
      <c r="AV128">
        <v>7</v>
      </c>
      <c r="AW128">
        <v>10</v>
      </c>
      <c r="AX128">
        <v>11</v>
      </c>
    </row>
    <row r="129" spans="1:50" x14ac:dyDescent="0.2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f t="shared" si="20"/>
        <v>1</v>
      </c>
      <c r="H129">
        <v>0</v>
      </c>
      <c r="I129">
        <f t="shared" si="21"/>
        <v>1</v>
      </c>
      <c r="J129">
        <f t="shared" si="22"/>
        <v>0</v>
      </c>
      <c r="K129">
        <f t="shared" si="23"/>
        <v>0</v>
      </c>
      <c r="L129">
        <f t="shared" si="24"/>
        <v>0</v>
      </c>
      <c r="M129">
        <f t="shared" si="25"/>
        <v>0</v>
      </c>
      <c r="N129">
        <v>1</v>
      </c>
      <c r="O129">
        <f t="shared" si="15"/>
        <v>0</v>
      </c>
      <c r="P129">
        <f t="shared" si="16"/>
        <v>1</v>
      </c>
      <c r="Q129">
        <f t="shared" si="17"/>
        <v>0</v>
      </c>
      <c r="R129">
        <f t="shared" si="18"/>
        <v>0</v>
      </c>
      <c r="S129">
        <f t="shared" si="19"/>
        <v>0</v>
      </c>
      <c r="T129">
        <f t="shared" si="26"/>
        <v>0</v>
      </c>
      <c r="V129" t="s">
        <v>39</v>
      </c>
      <c r="W129" t="s">
        <v>46</v>
      </c>
      <c r="X129" t="s">
        <v>41</v>
      </c>
      <c r="Y129" t="s">
        <v>46</v>
      </c>
      <c r="Z129">
        <v>1</v>
      </c>
      <c r="AA129">
        <v>2</v>
      </c>
      <c r="AB129">
        <v>3</v>
      </c>
      <c r="AC129" t="s">
        <v>44</v>
      </c>
      <c r="AD129" t="s">
        <v>43</v>
      </c>
      <c r="AE129">
        <f t="shared" si="27"/>
        <v>1</v>
      </c>
      <c r="AF129" t="s">
        <v>44</v>
      </c>
      <c r="AG129">
        <f t="shared" si="28"/>
        <v>0</v>
      </c>
      <c r="AH129" t="s">
        <v>44</v>
      </c>
      <c r="AI129" t="s">
        <v>44</v>
      </c>
      <c r="AJ129" t="s">
        <v>44</v>
      </c>
      <c r="AK129" t="s">
        <v>44</v>
      </c>
      <c r="AL129">
        <f t="shared" si="29"/>
        <v>0</v>
      </c>
      <c r="AM129" t="s">
        <v>44</v>
      </c>
      <c r="AN129">
        <v>3</v>
      </c>
      <c r="AO129">
        <v>4</v>
      </c>
      <c r="AP129">
        <v>2</v>
      </c>
      <c r="AQ129">
        <v>1</v>
      </c>
      <c r="AR129">
        <v>1</v>
      </c>
      <c r="AS129">
        <v>5</v>
      </c>
      <c r="AT129">
        <v>2</v>
      </c>
      <c r="AV129">
        <v>7</v>
      </c>
      <c r="AW129">
        <v>8</v>
      </c>
      <c r="AX129">
        <v>9</v>
      </c>
    </row>
    <row r="130" spans="1:50" x14ac:dyDescent="0.2">
      <c r="A130" t="s">
        <v>34</v>
      </c>
      <c r="B130" t="s">
        <v>51</v>
      </c>
      <c r="C130">
        <v>18</v>
      </c>
      <c r="D130" t="s">
        <v>53</v>
      </c>
      <c r="E130" t="s">
        <v>37</v>
      </c>
      <c r="F130" t="s">
        <v>45</v>
      </c>
      <c r="G130">
        <f t="shared" si="20"/>
        <v>1</v>
      </c>
      <c r="H130">
        <v>2</v>
      </c>
      <c r="I130">
        <f t="shared" si="21"/>
        <v>0</v>
      </c>
      <c r="J130">
        <f t="shared" si="22"/>
        <v>0</v>
      </c>
      <c r="K130">
        <f t="shared" si="23"/>
        <v>1</v>
      </c>
      <c r="L130">
        <f t="shared" si="24"/>
        <v>0</v>
      </c>
      <c r="M130">
        <f t="shared" si="25"/>
        <v>0</v>
      </c>
      <c r="N130">
        <v>2</v>
      </c>
      <c r="O130">
        <f t="shared" ref="O130:O193" si="30" xml:space="preserve"> IF($N130=0,1,0)</f>
        <v>0</v>
      </c>
      <c r="P130">
        <f t="shared" ref="P130:P193" si="31" xml:space="preserve"> IF($N130=1,1,0)</f>
        <v>0</v>
      </c>
      <c r="Q130">
        <f t="shared" ref="Q130:Q193" si="32" xml:space="preserve"> IF($N130=2,1,0)</f>
        <v>1</v>
      </c>
      <c r="R130">
        <f t="shared" ref="R130:R193" si="33" xml:space="preserve"> IF($N130=3,1,0)</f>
        <v>0</v>
      </c>
      <c r="S130">
        <f t="shared" ref="S130:S193" si="34" xml:space="preserve"> IF($N130=4,1,0)</f>
        <v>0</v>
      </c>
      <c r="T130">
        <f t="shared" si="26"/>
        <v>0</v>
      </c>
      <c r="V130" t="s">
        <v>49</v>
      </c>
      <c r="W130" t="s">
        <v>46</v>
      </c>
      <c r="X130" t="s">
        <v>52</v>
      </c>
      <c r="Y130" t="s">
        <v>42</v>
      </c>
      <c r="Z130">
        <v>1</v>
      </c>
      <c r="AA130">
        <v>1</v>
      </c>
      <c r="AB130">
        <v>2</v>
      </c>
      <c r="AC130" t="s">
        <v>44</v>
      </c>
      <c r="AD130" t="s">
        <v>43</v>
      </c>
      <c r="AE130">
        <f t="shared" si="27"/>
        <v>1</v>
      </c>
      <c r="AF130" t="s">
        <v>44</v>
      </c>
      <c r="AG130">
        <f t="shared" si="28"/>
        <v>0</v>
      </c>
      <c r="AH130" t="s">
        <v>43</v>
      </c>
      <c r="AI130" t="s">
        <v>43</v>
      </c>
      <c r="AJ130" t="s">
        <v>43</v>
      </c>
      <c r="AK130" t="s">
        <v>43</v>
      </c>
      <c r="AL130">
        <f t="shared" si="29"/>
        <v>1</v>
      </c>
      <c r="AM130" t="s">
        <v>44</v>
      </c>
      <c r="AN130">
        <v>3</v>
      </c>
      <c r="AO130">
        <v>3</v>
      </c>
      <c r="AP130">
        <v>3</v>
      </c>
      <c r="AQ130">
        <v>1</v>
      </c>
      <c r="AR130">
        <v>2</v>
      </c>
      <c r="AS130">
        <v>4</v>
      </c>
      <c r="AT130">
        <v>0</v>
      </c>
      <c r="AV130">
        <v>7</v>
      </c>
      <c r="AW130">
        <v>4</v>
      </c>
      <c r="AX130">
        <v>0</v>
      </c>
    </row>
    <row r="131" spans="1:50" x14ac:dyDescent="0.2">
      <c r="A131" t="s">
        <v>34</v>
      </c>
      <c r="B131" t="s">
        <v>51</v>
      </c>
      <c r="C131">
        <v>16</v>
      </c>
      <c r="D131" t="s">
        <v>53</v>
      </c>
      <c r="E131" t="s">
        <v>37</v>
      </c>
      <c r="F131" t="s">
        <v>45</v>
      </c>
      <c r="G131">
        <f t="shared" ref="G131:G194" si="35">IF(F131="T",1,0)</f>
        <v>1</v>
      </c>
      <c r="H131">
        <v>4</v>
      </c>
      <c r="I131">
        <f t="shared" ref="I131:I194" si="36" xml:space="preserve"> IF($H131=0,1,0)</f>
        <v>0</v>
      </c>
      <c r="J131">
        <f t="shared" ref="J131:J194" si="37" xml:space="preserve"> IF($H131=1,1,0)</f>
        <v>0</v>
      </c>
      <c r="K131">
        <f t="shared" ref="K131:K194" si="38" xml:space="preserve"> IF($H131=2,1,0)</f>
        <v>0</v>
      </c>
      <c r="L131">
        <f t="shared" ref="L131:L194" si="39" xml:space="preserve"> IF($H131=3,1,0)</f>
        <v>0</v>
      </c>
      <c r="M131">
        <f t="shared" ref="M131:M194" si="40" xml:space="preserve"> IF($H131=4,1,0)</f>
        <v>1</v>
      </c>
      <c r="N131">
        <v>4</v>
      </c>
      <c r="O131">
        <f t="shared" si="30"/>
        <v>0</v>
      </c>
      <c r="P131">
        <f t="shared" si="31"/>
        <v>0</v>
      </c>
      <c r="Q131">
        <f t="shared" si="32"/>
        <v>0</v>
      </c>
      <c r="R131">
        <f t="shared" si="33"/>
        <v>0</v>
      </c>
      <c r="S131">
        <f t="shared" si="34"/>
        <v>1</v>
      </c>
      <c r="T131">
        <f t="shared" ref="T131:T194" si="41">IF(AND(M131=1,S131=1),1,0)</f>
        <v>1</v>
      </c>
      <c r="V131" t="s">
        <v>40</v>
      </c>
      <c r="W131" t="s">
        <v>40</v>
      </c>
      <c r="X131" t="s">
        <v>41</v>
      </c>
      <c r="Y131" t="s">
        <v>42</v>
      </c>
      <c r="Z131">
        <v>1</v>
      </c>
      <c r="AA131">
        <v>1</v>
      </c>
      <c r="AB131">
        <v>0</v>
      </c>
      <c r="AC131" t="s">
        <v>44</v>
      </c>
      <c r="AD131" t="s">
        <v>44</v>
      </c>
      <c r="AE131">
        <f t="shared" ref="AE131:AE194" si="42">IF(AD131="yes",1,0)</f>
        <v>0</v>
      </c>
      <c r="AF131" t="s">
        <v>43</v>
      </c>
      <c r="AG131">
        <f t="shared" ref="AG131:AG194" si="43">IF(AF131="yes",1,0)</f>
        <v>1</v>
      </c>
      <c r="AH131" t="s">
        <v>43</v>
      </c>
      <c r="AI131" t="s">
        <v>43</v>
      </c>
      <c r="AJ131" t="s">
        <v>43</v>
      </c>
      <c r="AK131" t="s">
        <v>43</v>
      </c>
      <c r="AL131">
        <f t="shared" ref="AL131:AL194" si="44">IF(AK131="yes",1,0)</f>
        <v>1</v>
      </c>
      <c r="AM131" t="s">
        <v>44</v>
      </c>
      <c r="AN131">
        <v>3</v>
      </c>
      <c r="AO131">
        <v>5</v>
      </c>
      <c r="AP131">
        <v>5</v>
      </c>
      <c r="AQ131">
        <v>2</v>
      </c>
      <c r="AR131">
        <v>5</v>
      </c>
      <c r="AS131">
        <v>4</v>
      </c>
      <c r="AT131">
        <v>8</v>
      </c>
      <c r="AV131">
        <v>18</v>
      </c>
      <c r="AW131">
        <v>18</v>
      </c>
      <c r="AX131">
        <v>18</v>
      </c>
    </row>
    <row r="132" spans="1:50" x14ac:dyDescent="0.2">
      <c r="A132" t="s">
        <v>34</v>
      </c>
      <c r="B132" t="s">
        <v>35</v>
      </c>
      <c r="C132">
        <v>15</v>
      </c>
      <c r="D132" t="s">
        <v>53</v>
      </c>
      <c r="E132" t="s">
        <v>37</v>
      </c>
      <c r="F132" t="s">
        <v>45</v>
      </c>
      <c r="G132">
        <f t="shared" si="35"/>
        <v>1</v>
      </c>
      <c r="H132">
        <v>3</v>
      </c>
      <c r="I132">
        <f t="shared" si="36"/>
        <v>0</v>
      </c>
      <c r="J132">
        <f t="shared" si="37"/>
        <v>0</v>
      </c>
      <c r="K132">
        <f t="shared" si="38"/>
        <v>0</v>
      </c>
      <c r="L132">
        <f t="shared" si="39"/>
        <v>1</v>
      </c>
      <c r="M132">
        <f t="shared" si="40"/>
        <v>0</v>
      </c>
      <c r="N132">
        <v>4</v>
      </c>
      <c r="O132">
        <f t="shared" si="30"/>
        <v>0</v>
      </c>
      <c r="P132">
        <f t="shared" si="31"/>
        <v>0</v>
      </c>
      <c r="Q132">
        <f t="shared" si="32"/>
        <v>0</v>
      </c>
      <c r="R132">
        <f t="shared" si="33"/>
        <v>0</v>
      </c>
      <c r="S132">
        <f t="shared" si="34"/>
        <v>1</v>
      </c>
      <c r="T132">
        <f t="shared" si="41"/>
        <v>0</v>
      </c>
      <c r="V132" t="s">
        <v>49</v>
      </c>
      <c r="W132" t="s">
        <v>40</v>
      </c>
      <c r="X132" t="s">
        <v>41</v>
      </c>
      <c r="Y132" t="s">
        <v>47</v>
      </c>
      <c r="Z132">
        <v>2</v>
      </c>
      <c r="AA132">
        <v>3</v>
      </c>
      <c r="AB132">
        <v>2</v>
      </c>
      <c r="AC132" t="s">
        <v>44</v>
      </c>
      <c r="AD132" t="s">
        <v>43</v>
      </c>
      <c r="AE132">
        <f t="shared" si="42"/>
        <v>1</v>
      </c>
      <c r="AF132" t="s">
        <v>44</v>
      </c>
      <c r="AG132">
        <f t="shared" si="43"/>
        <v>0</v>
      </c>
      <c r="AH132" t="s">
        <v>44</v>
      </c>
      <c r="AI132" t="s">
        <v>43</v>
      </c>
      <c r="AJ132" t="s">
        <v>43</v>
      </c>
      <c r="AK132" t="s">
        <v>43</v>
      </c>
      <c r="AL132">
        <f t="shared" si="44"/>
        <v>1</v>
      </c>
      <c r="AM132" t="s">
        <v>43</v>
      </c>
      <c r="AN132">
        <v>4</v>
      </c>
      <c r="AO132">
        <v>2</v>
      </c>
      <c r="AP132">
        <v>2</v>
      </c>
      <c r="AQ132">
        <v>2</v>
      </c>
      <c r="AR132">
        <v>2</v>
      </c>
      <c r="AS132">
        <v>5</v>
      </c>
      <c r="AT132">
        <v>0</v>
      </c>
      <c r="AV132">
        <v>12</v>
      </c>
      <c r="AW132">
        <v>0</v>
      </c>
      <c r="AX132">
        <v>0</v>
      </c>
    </row>
    <row r="133" spans="1:50" x14ac:dyDescent="0.2">
      <c r="A133" t="s">
        <v>34</v>
      </c>
      <c r="B133" t="s">
        <v>35</v>
      </c>
      <c r="C133">
        <v>15</v>
      </c>
      <c r="D133" t="s">
        <v>36</v>
      </c>
      <c r="E133" t="s">
        <v>37</v>
      </c>
      <c r="F133" t="s">
        <v>45</v>
      </c>
      <c r="G133">
        <f t="shared" si="35"/>
        <v>1</v>
      </c>
      <c r="H133">
        <v>1</v>
      </c>
      <c r="I133">
        <f t="shared" si="36"/>
        <v>0</v>
      </c>
      <c r="J133">
        <f t="shared" si="37"/>
        <v>1</v>
      </c>
      <c r="K133">
        <f t="shared" si="38"/>
        <v>0</v>
      </c>
      <c r="L133">
        <f t="shared" si="39"/>
        <v>0</v>
      </c>
      <c r="M133">
        <f t="shared" si="40"/>
        <v>0</v>
      </c>
      <c r="N133">
        <v>1</v>
      </c>
      <c r="O133">
        <f t="shared" si="30"/>
        <v>0</v>
      </c>
      <c r="P133">
        <f t="shared" si="31"/>
        <v>1</v>
      </c>
      <c r="Q133">
        <f t="shared" si="32"/>
        <v>0</v>
      </c>
      <c r="R133">
        <f t="shared" si="33"/>
        <v>0</v>
      </c>
      <c r="S133">
        <f t="shared" si="34"/>
        <v>0</v>
      </c>
      <c r="T133">
        <f t="shared" si="41"/>
        <v>0</v>
      </c>
      <c r="V133" t="s">
        <v>39</v>
      </c>
      <c r="W133" t="s">
        <v>46</v>
      </c>
      <c r="X133" t="s">
        <v>41</v>
      </c>
      <c r="Y133" t="s">
        <v>42</v>
      </c>
      <c r="Z133">
        <v>3</v>
      </c>
      <c r="AA133">
        <v>1</v>
      </c>
      <c r="AB133">
        <v>0</v>
      </c>
      <c r="AC133" t="s">
        <v>44</v>
      </c>
      <c r="AD133" t="s">
        <v>43</v>
      </c>
      <c r="AE133">
        <f t="shared" si="42"/>
        <v>1</v>
      </c>
      <c r="AF133" t="s">
        <v>44</v>
      </c>
      <c r="AG133">
        <f t="shared" si="43"/>
        <v>0</v>
      </c>
      <c r="AH133" t="s">
        <v>43</v>
      </c>
      <c r="AI133" t="s">
        <v>44</v>
      </c>
      <c r="AJ133" t="s">
        <v>43</v>
      </c>
      <c r="AK133" t="s">
        <v>43</v>
      </c>
      <c r="AL133">
        <f t="shared" si="44"/>
        <v>1</v>
      </c>
      <c r="AM133" t="s">
        <v>43</v>
      </c>
      <c r="AN133">
        <v>4</v>
      </c>
      <c r="AO133">
        <v>3</v>
      </c>
      <c r="AP133">
        <v>3</v>
      </c>
      <c r="AQ133">
        <v>1</v>
      </c>
      <c r="AR133">
        <v>2</v>
      </c>
      <c r="AS133">
        <v>4</v>
      </c>
      <c r="AT133">
        <v>0</v>
      </c>
      <c r="AV133">
        <v>8</v>
      </c>
      <c r="AW133">
        <v>0</v>
      </c>
      <c r="AX133">
        <v>0</v>
      </c>
    </row>
    <row r="134" spans="1:50" x14ac:dyDescent="0.2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45</v>
      </c>
      <c r="G134">
        <f t="shared" si="35"/>
        <v>1</v>
      </c>
      <c r="H134">
        <v>2</v>
      </c>
      <c r="I134">
        <f t="shared" si="36"/>
        <v>0</v>
      </c>
      <c r="J134">
        <f t="shared" si="37"/>
        <v>0</v>
      </c>
      <c r="K134">
        <f t="shared" si="38"/>
        <v>1</v>
      </c>
      <c r="L134">
        <f t="shared" si="39"/>
        <v>0</v>
      </c>
      <c r="M134">
        <f t="shared" si="40"/>
        <v>0</v>
      </c>
      <c r="N134">
        <v>2</v>
      </c>
      <c r="O134">
        <f t="shared" si="30"/>
        <v>0</v>
      </c>
      <c r="P134">
        <f t="shared" si="31"/>
        <v>0</v>
      </c>
      <c r="Q134">
        <f t="shared" si="32"/>
        <v>1</v>
      </c>
      <c r="R134">
        <f t="shared" si="33"/>
        <v>0</v>
      </c>
      <c r="S134">
        <f t="shared" si="34"/>
        <v>0</v>
      </c>
      <c r="T134">
        <f t="shared" si="41"/>
        <v>0</v>
      </c>
      <c r="V134" t="s">
        <v>46</v>
      </c>
      <c r="W134" t="s">
        <v>46</v>
      </c>
      <c r="X134" t="s">
        <v>41</v>
      </c>
      <c r="Y134" t="s">
        <v>47</v>
      </c>
      <c r="Z134">
        <v>1</v>
      </c>
      <c r="AA134">
        <v>1</v>
      </c>
      <c r="AB134">
        <v>0</v>
      </c>
      <c r="AC134" t="s">
        <v>44</v>
      </c>
      <c r="AD134" t="s">
        <v>43</v>
      </c>
      <c r="AE134">
        <f t="shared" si="42"/>
        <v>1</v>
      </c>
      <c r="AF134" t="s">
        <v>44</v>
      </c>
      <c r="AG134">
        <f t="shared" si="43"/>
        <v>0</v>
      </c>
      <c r="AH134" t="s">
        <v>44</v>
      </c>
      <c r="AI134" t="s">
        <v>43</v>
      </c>
      <c r="AJ134" t="s">
        <v>43</v>
      </c>
      <c r="AK134" t="s">
        <v>43</v>
      </c>
      <c r="AL134">
        <f t="shared" si="44"/>
        <v>1</v>
      </c>
      <c r="AM134" t="s">
        <v>43</v>
      </c>
      <c r="AN134">
        <v>3</v>
      </c>
      <c r="AO134">
        <v>4</v>
      </c>
      <c r="AP134">
        <v>4</v>
      </c>
      <c r="AQ134">
        <v>1</v>
      </c>
      <c r="AR134">
        <v>3</v>
      </c>
      <c r="AS134">
        <v>5</v>
      </c>
      <c r="AT134">
        <v>12</v>
      </c>
      <c r="AV134">
        <v>10</v>
      </c>
      <c r="AW134">
        <v>13</v>
      </c>
      <c r="AX134">
        <v>12</v>
      </c>
    </row>
    <row r="135" spans="1:50" x14ac:dyDescent="0.2">
      <c r="A135" t="s">
        <v>34</v>
      </c>
      <c r="B135" t="s">
        <v>35</v>
      </c>
      <c r="C135">
        <v>16</v>
      </c>
      <c r="D135" t="s">
        <v>36</v>
      </c>
      <c r="E135" t="s">
        <v>37</v>
      </c>
      <c r="F135" t="s">
        <v>38</v>
      </c>
      <c r="G135">
        <f t="shared" si="35"/>
        <v>0</v>
      </c>
      <c r="H135">
        <v>3</v>
      </c>
      <c r="I135">
        <f t="shared" si="36"/>
        <v>0</v>
      </c>
      <c r="J135">
        <f t="shared" si="37"/>
        <v>0</v>
      </c>
      <c r="K135">
        <f t="shared" si="38"/>
        <v>0</v>
      </c>
      <c r="L135">
        <f t="shared" si="39"/>
        <v>1</v>
      </c>
      <c r="M135">
        <f t="shared" si="40"/>
        <v>0</v>
      </c>
      <c r="N135">
        <v>4</v>
      </c>
      <c r="O135">
        <f t="shared" si="30"/>
        <v>0</v>
      </c>
      <c r="P135">
        <f t="shared" si="31"/>
        <v>0</v>
      </c>
      <c r="Q135">
        <f t="shared" si="32"/>
        <v>0</v>
      </c>
      <c r="R135">
        <f t="shared" si="33"/>
        <v>0</v>
      </c>
      <c r="S135">
        <f t="shared" si="34"/>
        <v>1</v>
      </c>
      <c r="T135">
        <f t="shared" si="41"/>
        <v>0</v>
      </c>
      <c r="V135" t="s">
        <v>49</v>
      </c>
      <c r="W135" t="s">
        <v>46</v>
      </c>
      <c r="X135" t="s">
        <v>41</v>
      </c>
      <c r="Y135" t="s">
        <v>47</v>
      </c>
      <c r="Z135">
        <v>1</v>
      </c>
      <c r="AA135">
        <v>1</v>
      </c>
      <c r="AB135">
        <v>0</v>
      </c>
      <c r="AC135" t="s">
        <v>44</v>
      </c>
      <c r="AD135" t="s">
        <v>44</v>
      </c>
      <c r="AE135">
        <f t="shared" si="42"/>
        <v>0</v>
      </c>
      <c r="AF135" t="s">
        <v>44</v>
      </c>
      <c r="AG135">
        <f t="shared" si="43"/>
        <v>0</v>
      </c>
      <c r="AH135" t="s">
        <v>44</v>
      </c>
      <c r="AI135" t="s">
        <v>43</v>
      </c>
      <c r="AJ135" t="s">
        <v>43</v>
      </c>
      <c r="AK135" t="s">
        <v>43</v>
      </c>
      <c r="AL135">
        <f t="shared" si="44"/>
        <v>1</v>
      </c>
      <c r="AM135" t="s">
        <v>44</v>
      </c>
      <c r="AN135">
        <v>3</v>
      </c>
      <c r="AO135">
        <v>2</v>
      </c>
      <c r="AP135">
        <v>1</v>
      </c>
      <c r="AQ135">
        <v>1</v>
      </c>
      <c r="AR135">
        <v>4</v>
      </c>
      <c r="AS135">
        <v>5</v>
      </c>
      <c r="AT135">
        <v>16</v>
      </c>
      <c r="AV135">
        <v>12</v>
      </c>
      <c r="AW135">
        <v>11</v>
      </c>
      <c r="AX135">
        <v>11</v>
      </c>
    </row>
    <row r="136" spans="1:50" x14ac:dyDescent="0.2">
      <c r="A136" t="s">
        <v>34</v>
      </c>
      <c r="B136" t="s">
        <v>51</v>
      </c>
      <c r="C136">
        <v>15</v>
      </c>
      <c r="D136" t="s">
        <v>53</v>
      </c>
      <c r="E136" t="s">
        <v>37</v>
      </c>
      <c r="F136" t="s">
        <v>45</v>
      </c>
      <c r="G136">
        <f t="shared" si="35"/>
        <v>1</v>
      </c>
      <c r="H136">
        <v>3</v>
      </c>
      <c r="I136">
        <f t="shared" si="36"/>
        <v>0</v>
      </c>
      <c r="J136">
        <f t="shared" si="37"/>
        <v>0</v>
      </c>
      <c r="K136">
        <f t="shared" si="38"/>
        <v>0</v>
      </c>
      <c r="L136">
        <f t="shared" si="39"/>
        <v>1</v>
      </c>
      <c r="M136">
        <f t="shared" si="40"/>
        <v>0</v>
      </c>
      <c r="N136">
        <v>4</v>
      </c>
      <c r="O136">
        <f t="shared" si="30"/>
        <v>0</v>
      </c>
      <c r="P136">
        <f t="shared" si="31"/>
        <v>0</v>
      </c>
      <c r="Q136">
        <f t="shared" si="32"/>
        <v>0</v>
      </c>
      <c r="R136">
        <f t="shared" si="33"/>
        <v>0</v>
      </c>
      <c r="S136">
        <f t="shared" si="34"/>
        <v>1</v>
      </c>
      <c r="T136">
        <f t="shared" si="41"/>
        <v>0</v>
      </c>
      <c r="V136" t="s">
        <v>39</v>
      </c>
      <c r="W136" t="s">
        <v>40</v>
      </c>
      <c r="X136" t="s">
        <v>41</v>
      </c>
      <c r="Y136" t="s">
        <v>42</v>
      </c>
      <c r="Z136">
        <v>4</v>
      </c>
      <c r="AA136">
        <v>2</v>
      </c>
      <c r="AB136">
        <v>0</v>
      </c>
      <c r="AC136" t="s">
        <v>44</v>
      </c>
      <c r="AD136" t="s">
        <v>43</v>
      </c>
      <c r="AE136">
        <f t="shared" si="42"/>
        <v>1</v>
      </c>
      <c r="AF136" t="s">
        <v>44</v>
      </c>
      <c r="AG136">
        <f t="shared" si="43"/>
        <v>0</v>
      </c>
      <c r="AH136" t="s">
        <v>44</v>
      </c>
      <c r="AI136" t="s">
        <v>43</v>
      </c>
      <c r="AJ136" t="s">
        <v>43</v>
      </c>
      <c r="AK136" t="s">
        <v>44</v>
      </c>
      <c r="AL136">
        <f t="shared" si="44"/>
        <v>0</v>
      </c>
      <c r="AM136" t="s">
        <v>43</v>
      </c>
      <c r="AN136">
        <v>5</v>
      </c>
      <c r="AO136">
        <v>3</v>
      </c>
      <c r="AP136">
        <v>3</v>
      </c>
      <c r="AQ136">
        <v>1</v>
      </c>
      <c r="AR136">
        <v>1</v>
      </c>
      <c r="AS136">
        <v>5</v>
      </c>
      <c r="AT136">
        <v>0</v>
      </c>
      <c r="AV136">
        <v>9</v>
      </c>
      <c r="AW136">
        <v>0</v>
      </c>
      <c r="AX136">
        <v>0</v>
      </c>
    </row>
    <row r="137" spans="1:50" x14ac:dyDescent="0.2">
      <c r="A137" t="s">
        <v>34</v>
      </c>
      <c r="B137" t="s">
        <v>35</v>
      </c>
      <c r="C137">
        <v>15</v>
      </c>
      <c r="D137" t="s">
        <v>36</v>
      </c>
      <c r="E137" t="s">
        <v>37</v>
      </c>
      <c r="F137" t="s">
        <v>45</v>
      </c>
      <c r="G137">
        <f t="shared" si="35"/>
        <v>1</v>
      </c>
      <c r="H137">
        <v>4</v>
      </c>
      <c r="I137">
        <f t="shared" si="36"/>
        <v>0</v>
      </c>
      <c r="J137">
        <f t="shared" si="37"/>
        <v>0</v>
      </c>
      <c r="K137">
        <f t="shared" si="38"/>
        <v>0</v>
      </c>
      <c r="L137">
        <f t="shared" si="39"/>
        <v>0</v>
      </c>
      <c r="M137">
        <f t="shared" si="40"/>
        <v>1</v>
      </c>
      <c r="N137">
        <v>4</v>
      </c>
      <c r="O137">
        <f t="shared" si="30"/>
        <v>0</v>
      </c>
      <c r="P137">
        <f t="shared" si="31"/>
        <v>0</v>
      </c>
      <c r="Q137">
        <f t="shared" si="32"/>
        <v>0</v>
      </c>
      <c r="R137">
        <f t="shared" si="33"/>
        <v>0</v>
      </c>
      <c r="S137">
        <f t="shared" si="34"/>
        <v>1</v>
      </c>
      <c r="T137">
        <f t="shared" si="41"/>
        <v>1</v>
      </c>
      <c r="V137" t="s">
        <v>49</v>
      </c>
      <c r="W137" t="s">
        <v>39</v>
      </c>
      <c r="X137" t="s">
        <v>41</v>
      </c>
      <c r="Y137" t="s">
        <v>42</v>
      </c>
      <c r="Z137">
        <v>1</v>
      </c>
      <c r="AA137">
        <v>3</v>
      </c>
      <c r="AB137">
        <v>0</v>
      </c>
      <c r="AC137" t="s">
        <v>44</v>
      </c>
      <c r="AD137" t="s">
        <v>43</v>
      </c>
      <c r="AE137">
        <f t="shared" si="42"/>
        <v>1</v>
      </c>
      <c r="AF137" t="s">
        <v>44</v>
      </c>
      <c r="AG137">
        <f t="shared" si="43"/>
        <v>0</v>
      </c>
      <c r="AH137" t="s">
        <v>43</v>
      </c>
      <c r="AI137" t="s">
        <v>43</v>
      </c>
      <c r="AJ137" t="s">
        <v>43</v>
      </c>
      <c r="AK137" t="s">
        <v>43</v>
      </c>
      <c r="AL137">
        <f t="shared" si="44"/>
        <v>1</v>
      </c>
      <c r="AM137" t="s">
        <v>43</v>
      </c>
      <c r="AN137">
        <v>4</v>
      </c>
      <c r="AO137">
        <v>3</v>
      </c>
      <c r="AP137">
        <v>3</v>
      </c>
      <c r="AQ137">
        <v>1</v>
      </c>
      <c r="AR137">
        <v>1</v>
      </c>
      <c r="AS137">
        <v>5</v>
      </c>
      <c r="AT137">
        <v>0</v>
      </c>
      <c r="AV137">
        <v>11</v>
      </c>
      <c r="AW137">
        <v>0</v>
      </c>
      <c r="AX137">
        <v>0</v>
      </c>
    </row>
    <row r="138" spans="1:50" x14ac:dyDescent="0.2">
      <c r="A138" t="s">
        <v>34</v>
      </c>
      <c r="B138" t="s">
        <v>51</v>
      </c>
      <c r="C138">
        <v>17</v>
      </c>
      <c r="D138" t="s">
        <v>53</v>
      </c>
      <c r="E138" t="s">
        <v>37</v>
      </c>
      <c r="F138" t="s">
        <v>45</v>
      </c>
      <c r="G138">
        <f t="shared" si="35"/>
        <v>1</v>
      </c>
      <c r="H138">
        <v>3</v>
      </c>
      <c r="I138">
        <f t="shared" si="36"/>
        <v>0</v>
      </c>
      <c r="J138">
        <f t="shared" si="37"/>
        <v>0</v>
      </c>
      <c r="K138">
        <f t="shared" si="38"/>
        <v>0</v>
      </c>
      <c r="L138">
        <f t="shared" si="39"/>
        <v>1</v>
      </c>
      <c r="M138">
        <f t="shared" si="40"/>
        <v>0</v>
      </c>
      <c r="N138">
        <v>4</v>
      </c>
      <c r="O138">
        <f t="shared" si="30"/>
        <v>0</v>
      </c>
      <c r="P138">
        <f t="shared" si="31"/>
        <v>0</v>
      </c>
      <c r="Q138">
        <f t="shared" si="32"/>
        <v>0</v>
      </c>
      <c r="R138">
        <f t="shared" si="33"/>
        <v>0</v>
      </c>
      <c r="S138">
        <f t="shared" si="34"/>
        <v>1</v>
      </c>
      <c r="T138">
        <f t="shared" si="41"/>
        <v>0</v>
      </c>
      <c r="V138" t="s">
        <v>39</v>
      </c>
      <c r="W138" t="s">
        <v>46</v>
      </c>
      <c r="X138" t="s">
        <v>41</v>
      </c>
      <c r="Y138" t="s">
        <v>42</v>
      </c>
      <c r="Z138">
        <v>3</v>
      </c>
      <c r="AA138">
        <v>2</v>
      </c>
      <c r="AB138">
        <v>0</v>
      </c>
      <c r="AC138" t="s">
        <v>44</v>
      </c>
      <c r="AD138" t="s">
        <v>44</v>
      </c>
      <c r="AE138">
        <f t="shared" si="42"/>
        <v>0</v>
      </c>
      <c r="AF138" t="s">
        <v>44</v>
      </c>
      <c r="AG138">
        <f t="shared" si="43"/>
        <v>0</v>
      </c>
      <c r="AH138" t="s">
        <v>44</v>
      </c>
      <c r="AI138" t="s">
        <v>43</v>
      </c>
      <c r="AJ138" t="s">
        <v>43</v>
      </c>
      <c r="AK138" t="s">
        <v>44</v>
      </c>
      <c r="AL138">
        <f t="shared" si="44"/>
        <v>0</v>
      </c>
      <c r="AM138" t="s">
        <v>44</v>
      </c>
      <c r="AN138">
        <v>5</v>
      </c>
      <c r="AO138">
        <v>4</v>
      </c>
      <c r="AP138">
        <v>5</v>
      </c>
      <c r="AQ138">
        <v>2</v>
      </c>
      <c r="AR138">
        <v>4</v>
      </c>
      <c r="AS138">
        <v>5</v>
      </c>
      <c r="AT138">
        <v>0</v>
      </c>
      <c r="AV138">
        <v>10</v>
      </c>
      <c r="AW138">
        <v>0</v>
      </c>
      <c r="AX138">
        <v>0</v>
      </c>
    </row>
    <row r="139" spans="1:50" x14ac:dyDescent="0.2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f t="shared" si="35"/>
        <v>0</v>
      </c>
      <c r="H139">
        <v>3</v>
      </c>
      <c r="I139">
        <f t="shared" si="36"/>
        <v>0</v>
      </c>
      <c r="J139">
        <f t="shared" si="37"/>
        <v>0</v>
      </c>
      <c r="K139">
        <f t="shared" si="38"/>
        <v>0</v>
      </c>
      <c r="L139">
        <f t="shared" si="39"/>
        <v>1</v>
      </c>
      <c r="M139">
        <f t="shared" si="40"/>
        <v>0</v>
      </c>
      <c r="N139">
        <v>3</v>
      </c>
      <c r="O139">
        <f t="shared" si="30"/>
        <v>0</v>
      </c>
      <c r="P139">
        <f t="shared" si="31"/>
        <v>0</v>
      </c>
      <c r="Q139">
        <f t="shared" si="32"/>
        <v>0</v>
      </c>
      <c r="R139">
        <f t="shared" si="33"/>
        <v>1</v>
      </c>
      <c r="S139">
        <f t="shared" si="34"/>
        <v>0</v>
      </c>
      <c r="T139">
        <f t="shared" si="41"/>
        <v>0</v>
      </c>
      <c r="V139" t="s">
        <v>46</v>
      </c>
      <c r="W139" t="s">
        <v>46</v>
      </c>
      <c r="X139" t="s">
        <v>41</v>
      </c>
      <c r="Y139" t="s">
        <v>46</v>
      </c>
      <c r="Z139">
        <v>2</v>
      </c>
      <c r="AA139">
        <v>1</v>
      </c>
      <c r="AB139">
        <v>2</v>
      </c>
      <c r="AC139" t="s">
        <v>44</v>
      </c>
      <c r="AD139" t="s">
        <v>43</v>
      </c>
      <c r="AE139">
        <f t="shared" si="42"/>
        <v>1</v>
      </c>
      <c r="AF139" t="s">
        <v>44</v>
      </c>
      <c r="AG139">
        <f t="shared" si="43"/>
        <v>0</v>
      </c>
      <c r="AH139" t="s">
        <v>43</v>
      </c>
      <c r="AI139" t="s">
        <v>44</v>
      </c>
      <c r="AJ139" t="s">
        <v>43</v>
      </c>
      <c r="AK139" t="s">
        <v>43</v>
      </c>
      <c r="AL139">
        <f t="shared" si="44"/>
        <v>1</v>
      </c>
      <c r="AM139" t="s">
        <v>43</v>
      </c>
      <c r="AN139">
        <v>4</v>
      </c>
      <c r="AO139">
        <v>3</v>
      </c>
      <c r="AP139">
        <v>2</v>
      </c>
      <c r="AQ139">
        <v>1</v>
      </c>
      <c r="AR139">
        <v>1</v>
      </c>
      <c r="AS139">
        <v>5</v>
      </c>
      <c r="AT139">
        <v>0</v>
      </c>
      <c r="AV139">
        <v>4</v>
      </c>
      <c r="AW139">
        <v>0</v>
      </c>
      <c r="AX139">
        <v>0</v>
      </c>
    </row>
    <row r="140" spans="1:50" x14ac:dyDescent="0.2">
      <c r="A140" t="s">
        <v>34</v>
      </c>
      <c r="B140" t="s">
        <v>51</v>
      </c>
      <c r="C140">
        <v>16</v>
      </c>
      <c r="D140" t="s">
        <v>36</v>
      </c>
      <c r="E140" t="s">
        <v>48</v>
      </c>
      <c r="F140" t="s">
        <v>45</v>
      </c>
      <c r="G140">
        <f t="shared" si="35"/>
        <v>1</v>
      </c>
      <c r="H140">
        <v>1</v>
      </c>
      <c r="I140">
        <f t="shared" si="36"/>
        <v>0</v>
      </c>
      <c r="J140">
        <f t="shared" si="37"/>
        <v>1</v>
      </c>
      <c r="K140">
        <f t="shared" si="38"/>
        <v>0</v>
      </c>
      <c r="L140">
        <f t="shared" si="39"/>
        <v>0</v>
      </c>
      <c r="M140">
        <f t="shared" si="40"/>
        <v>0</v>
      </c>
      <c r="N140">
        <v>1</v>
      </c>
      <c r="O140">
        <f t="shared" si="30"/>
        <v>0</v>
      </c>
      <c r="P140">
        <f t="shared" si="31"/>
        <v>1</v>
      </c>
      <c r="Q140">
        <f t="shared" si="32"/>
        <v>0</v>
      </c>
      <c r="R140">
        <f t="shared" si="33"/>
        <v>0</v>
      </c>
      <c r="S140">
        <f t="shared" si="34"/>
        <v>0</v>
      </c>
      <c r="T140">
        <f t="shared" si="41"/>
        <v>0</v>
      </c>
      <c r="V140" t="s">
        <v>49</v>
      </c>
      <c r="W140" t="s">
        <v>46</v>
      </c>
      <c r="X140" t="s">
        <v>41</v>
      </c>
      <c r="Y140" t="s">
        <v>42</v>
      </c>
      <c r="Z140">
        <v>1</v>
      </c>
      <c r="AA140">
        <v>2</v>
      </c>
      <c r="AB140">
        <v>1</v>
      </c>
      <c r="AC140" t="s">
        <v>44</v>
      </c>
      <c r="AD140" t="s">
        <v>44</v>
      </c>
      <c r="AE140">
        <f t="shared" si="42"/>
        <v>0</v>
      </c>
      <c r="AF140" t="s">
        <v>44</v>
      </c>
      <c r="AG140">
        <f t="shared" si="43"/>
        <v>0</v>
      </c>
      <c r="AH140" t="s">
        <v>44</v>
      </c>
      <c r="AI140" t="s">
        <v>43</v>
      </c>
      <c r="AJ140" t="s">
        <v>43</v>
      </c>
      <c r="AK140" t="s">
        <v>44</v>
      </c>
      <c r="AL140">
        <f t="shared" si="44"/>
        <v>0</v>
      </c>
      <c r="AM140" t="s">
        <v>43</v>
      </c>
      <c r="AN140">
        <v>4</v>
      </c>
      <c r="AO140">
        <v>4</v>
      </c>
      <c r="AP140">
        <v>4</v>
      </c>
      <c r="AQ140">
        <v>1</v>
      </c>
      <c r="AR140">
        <v>3</v>
      </c>
      <c r="AS140">
        <v>5</v>
      </c>
      <c r="AT140">
        <v>0</v>
      </c>
      <c r="AV140">
        <v>14</v>
      </c>
      <c r="AW140">
        <v>12</v>
      </c>
      <c r="AX140">
        <v>12</v>
      </c>
    </row>
    <row r="141" spans="1:50" x14ac:dyDescent="0.2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f t="shared" si="35"/>
        <v>1</v>
      </c>
      <c r="H141">
        <v>4</v>
      </c>
      <c r="I141">
        <f t="shared" si="36"/>
        <v>0</v>
      </c>
      <c r="J141">
        <f t="shared" si="37"/>
        <v>0</v>
      </c>
      <c r="K141">
        <f t="shared" si="38"/>
        <v>0</v>
      </c>
      <c r="L141">
        <f t="shared" si="39"/>
        <v>0</v>
      </c>
      <c r="M141">
        <f t="shared" si="40"/>
        <v>1</v>
      </c>
      <c r="N141">
        <v>4</v>
      </c>
      <c r="O141">
        <f t="shared" si="30"/>
        <v>0</v>
      </c>
      <c r="P141">
        <f t="shared" si="31"/>
        <v>0</v>
      </c>
      <c r="Q141">
        <f t="shared" si="32"/>
        <v>0</v>
      </c>
      <c r="R141">
        <f t="shared" si="33"/>
        <v>0</v>
      </c>
      <c r="S141">
        <f t="shared" si="34"/>
        <v>1</v>
      </c>
      <c r="T141">
        <f t="shared" si="41"/>
        <v>1</v>
      </c>
      <c r="V141" t="s">
        <v>40</v>
      </c>
      <c r="W141" t="s">
        <v>40</v>
      </c>
      <c r="X141" t="s">
        <v>41</v>
      </c>
      <c r="Y141" t="s">
        <v>42</v>
      </c>
      <c r="Z141">
        <v>2</v>
      </c>
      <c r="AA141">
        <v>1</v>
      </c>
      <c r="AB141">
        <v>0</v>
      </c>
      <c r="AC141" t="s">
        <v>44</v>
      </c>
      <c r="AD141" t="s">
        <v>44</v>
      </c>
      <c r="AE141">
        <f t="shared" si="42"/>
        <v>0</v>
      </c>
      <c r="AF141" t="s">
        <v>44</v>
      </c>
      <c r="AG141">
        <f t="shared" si="43"/>
        <v>0</v>
      </c>
      <c r="AH141" t="s">
        <v>43</v>
      </c>
      <c r="AI141" t="s">
        <v>43</v>
      </c>
      <c r="AJ141" t="s">
        <v>43</v>
      </c>
      <c r="AK141" t="s">
        <v>43</v>
      </c>
      <c r="AL141">
        <f t="shared" si="44"/>
        <v>1</v>
      </c>
      <c r="AM141" t="s">
        <v>44</v>
      </c>
      <c r="AN141">
        <v>4</v>
      </c>
      <c r="AO141">
        <v>3</v>
      </c>
      <c r="AP141">
        <v>2</v>
      </c>
      <c r="AQ141">
        <v>1</v>
      </c>
      <c r="AR141">
        <v>1</v>
      </c>
      <c r="AS141">
        <v>5</v>
      </c>
      <c r="AT141">
        <v>0</v>
      </c>
      <c r="AV141">
        <v>16</v>
      </c>
      <c r="AW141">
        <v>16</v>
      </c>
      <c r="AX141">
        <v>15</v>
      </c>
    </row>
    <row r="142" spans="1:50" x14ac:dyDescent="0.2">
      <c r="A142" t="s">
        <v>34</v>
      </c>
      <c r="B142" t="s">
        <v>51</v>
      </c>
      <c r="C142">
        <v>15</v>
      </c>
      <c r="D142" t="s">
        <v>36</v>
      </c>
      <c r="E142" t="s">
        <v>37</v>
      </c>
      <c r="F142" t="s">
        <v>45</v>
      </c>
      <c r="G142">
        <f t="shared" si="35"/>
        <v>1</v>
      </c>
      <c r="H142">
        <v>4</v>
      </c>
      <c r="I142">
        <f t="shared" si="36"/>
        <v>0</v>
      </c>
      <c r="J142">
        <f t="shared" si="37"/>
        <v>0</v>
      </c>
      <c r="K142">
        <f t="shared" si="38"/>
        <v>0</v>
      </c>
      <c r="L142">
        <f t="shared" si="39"/>
        <v>0</v>
      </c>
      <c r="M142">
        <f t="shared" si="40"/>
        <v>1</v>
      </c>
      <c r="N142">
        <v>3</v>
      </c>
      <c r="O142">
        <f t="shared" si="30"/>
        <v>0</v>
      </c>
      <c r="P142">
        <f t="shared" si="31"/>
        <v>0</v>
      </c>
      <c r="Q142">
        <f t="shared" si="32"/>
        <v>0</v>
      </c>
      <c r="R142">
        <f t="shared" si="33"/>
        <v>1</v>
      </c>
      <c r="S142">
        <f t="shared" si="34"/>
        <v>0</v>
      </c>
      <c r="T142">
        <f t="shared" si="41"/>
        <v>0</v>
      </c>
      <c r="V142" t="s">
        <v>40</v>
      </c>
      <c r="W142" t="s">
        <v>49</v>
      </c>
      <c r="X142" t="s">
        <v>41</v>
      </c>
      <c r="Y142" t="s">
        <v>47</v>
      </c>
      <c r="Z142">
        <v>2</v>
      </c>
      <c r="AA142">
        <v>4</v>
      </c>
      <c r="AB142">
        <v>0</v>
      </c>
      <c r="AC142" t="s">
        <v>43</v>
      </c>
      <c r="AD142" t="s">
        <v>43</v>
      </c>
      <c r="AE142">
        <f t="shared" si="42"/>
        <v>1</v>
      </c>
      <c r="AF142" t="s">
        <v>44</v>
      </c>
      <c r="AG142">
        <f t="shared" si="43"/>
        <v>0</v>
      </c>
      <c r="AH142" t="s">
        <v>44</v>
      </c>
      <c r="AI142" t="s">
        <v>43</v>
      </c>
      <c r="AJ142" t="s">
        <v>43</v>
      </c>
      <c r="AK142" t="s">
        <v>43</v>
      </c>
      <c r="AL142">
        <f t="shared" si="44"/>
        <v>1</v>
      </c>
      <c r="AM142" t="s">
        <v>44</v>
      </c>
      <c r="AN142">
        <v>2</v>
      </c>
      <c r="AO142">
        <v>2</v>
      </c>
      <c r="AP142">
        <v>2</v>
      </c>
      <c r="AQ142">
        <v>1</v>
      </c>
      <c r="AR142">
        <v>1</v>
      </c>
      <c r="AS142">
        <v>3</v>
      </c>
      <c r="AT142">
        <v>0</v>
      </c>
      <c r="AV142">
        <v>7</v>
      </c>
      <c r="AW142">
        <v>9</v>
      </c>
      <c r="AX142">
        <v>0</v>
      </c>
    </row>
    <row r="143" spans="1:50" x14ac:dyDescent="0.2">
      <c r="A143" t="s">
        <v>34</v>
      </c>
      <c r="B143" t="s">
        <v>51</v>
      </c>
      <c r="C143">
        <v>16</v>
      </c>
      <c r="D143" t="s">
        <v>36</v>
      </c>
      <c r="E143" t="s">
        <v>48</v>
      </c>
      <c r="F143" t="s">
        <v>45</v>
      </c>
      <c r="G143">
        <f t="shared" si="35"/>
        <v>1</v>
      </c>
      <c r="H143">
        <v>2</v>
      </c>
      <c r="I143">
        <f t="shared" si="36"/>
        <v>0</v>
      </c>
      <c r="J143">
        <f t="shared" si="37"/>
        <v>0</v>
      </c>
      <c r="K143">
        <f t="shared" si="38"/>
        <v>1</v>
      </c>
      <c r="L143">
        <f t="shared" si="39"/>
        <v>0</v>
      </c>
      <c r="M143">
        <f t="shared" si="40"/>
        <v>0</v>
      </c>
      <c r="N143">
        <v>2</v>
      </c>
      <c r="O143">
        <f t="shared" si="30"/>
        <v>0</v>
      </c>
      <c r="P143">
        <f t="shared" si="31"/>
        <v>0</v>
      </c>
      <c r="Q143">
        <f t="shared" si="32"/>
        <v>1</v>
      </c>
      <c r="R143">
        <f t="shared" si="33"/>
        <v>0</v>
      </c>
      <c r="S143">
        <f t="shared" si="34"/>
        <v>0</v>
      </c>
      <c r="T143">
        <f t="shared" si="41"/>
        <v>0</v>
      </c>
      <c r="V143" t="s">
        <v>49</v>
      </c>
      <c r="W143" t="s">
        <v>49</v>
      </c>
      <c r="X143" t="s">
        <v>52</v>
      </c>
      <c r="Y143" t="s">
        <v>47</v>
      </c>
      <c r="Z143">
        <v>2</v>
      </c>
      <c r="AA143">
        <v>1</v>
      </c>
      <c r="AB143">
        <v>2</v>
      </c>
      <c r="AC143" t="s">
        <v>44</v>
      </c>
      <c r="AD143" t="s">
        <v>43</v>
      </c>
      <c r="AE143">
        <f t="shared" si="42"/>
        <v>1</v>
      </c>
      <c r="AF143" t="s">
        <v>44</v>
      </c>
      <c r="AG143">
        <f t="shared" si="43"/>
        <v>0</v>
      </c>
      <c r="AH143" t="s">
        <v>43</v>
      </c>
      <c r="AI143" t="s">
        <v>43</v>
      </c>
      <c r="AJ143" t="s">
        <v>43</v>
      </c>
      <c r="AK143" t="s">
        <v>43</v>
      </c>
      <c r="AL143">
        <f t="shared" si="44"/>
        <v>1</v>
      </c>
      <c r="AM143" t="s">
        <v>44</v>
      </c>
      <c r="AN143">
        <v>2</v>
      </c>
      <c r="AO143">
        <v>3</v>
      </c>
      <c r="AP143">
        <v>3</v>
      </c>
      <c r="AQ143">
        <v>2</v>
      </c>
      <c r="AR143">
        <v>2</v>
      </c>
      <c r="AS143">
        <v>2</v>
      </c>
      <c r="AT143">
        <v>8</v>
      </c>
      <c r="AV143">
        <v>9</v>
      </c>
      <c r="AW143">
        <v>9</v>
      </c>
      <c r="AX143">
        <v>9</v>
      </c>
    </row>
    <row r="144" spans="1:50" x14ac:dyDescent="0.2">
      <c r="A144" t="s">
        <v>34</v>
      </c>
      <c r="B144" t="s">
        <v>35</v>
      </c>
      <c r="C144">
        <v>15</v>
      </c>
      <c r="D144" t="s">
        <v>36</v>
      </c>
      <c r="E144" t="s">
        <v>37</v>
      </c>
      <c r="F144" t="s">
        <v>45</v>
      </c>
      <c r="G144">
        <f t="shared" si="35"/>
        <v>1</v>
      </c>
      <c r="H144">
        <v>4</v>
      </c>
      <c r="I144">
        <f t="shared" si="36"/>
        <v>0</v>
      </c>
      <c r="J144">
        <f t="shared" si="37"/>
        <v>0</v>
      </c>
      <c r="K144">
        <f t="shared" si="38"/>
        <v>0</v>
      </c>
      <c r="L144">
        <f t="shared" si="39"/>
        <v>0</v>
      </c>
      <c r="M144">
        <f t="shared" si="40"/>
        <v>1</v>
      </c>
      <c r="N144">
        <v>4</v>
      </c>
      <c r="O144">
        <f t="shared" si="30"/>
        <v>0</v>
      </c>
      <c r="P144">
        <f t="shared" si="31"/>
        <v>0</v>
      </c>
      <c r="Q144">
        <f t="shared" si="32"/>
        <v>0</v>
      </c>
      <c r="R144">
        <f t="shared" si="33"/>
        <v>0</v>
      </c>
      <c r="S144">
        <f t="shared" si="34"/>
        <v>1</v>
      </c>
      <c r="T144">
        <f t="shared" si="41"/>
        <v>1</v>
      </c>
      <c r="V144" t="s">
        <v>40</v>
      </c>
      <c r="W144" t="s">
        <v>49</v>
      </c>
      <c r="X144" t="s">
        <v>41</v>
      </c>
      <c r="Y144" t="s">
        <v>42</v>
      </c>
      <c r="Z144">
        <v>1</v>
      </c>
      <c r="AA144">
        <v>3</v>
      </c>
      <c r="AB144">
        <v>0</v>
      </c>
      <c r="AC144" t="s">
        <v>44</v>
      </c>
      <c r="AD144" t="s">
        <v>43</v>
      </c>
      <c r="AE144">
        <f t="shared" si="42"/>
        <v>1</v>
      </c>
      <c r="AF144" t="s">
        <v>43</v>
      </c>
      <c r="AG144">
        <f t="shared" si="43"/>
        <v>1</v>
      </c>
      <c r="AH144" t="s">
        <v>43</v>
      </c>
      <c r="AI144" t="s">
        <v>43</v>
      </c>
      <c r="AJ144" t="s">
        <v>43</v>
      </c>
      <c r="AK144" t="s">
        <v>43</v>
      </c>
      <c r="AL144">
        <f t="shared" si="44"/>
        <v>1</v>
      </c>
      <c r="AM144" t="s">
        <v>44</v>
      </c>
      <c r="AN144">
        <v>4</v>
      </c>
      <c r="AO144">
        <v>2</v>
      </c>
      <c r="AP144">
        <v>2</v>
      </c>
      <c r="AQ144">
        <v>1</v>
      </c>
      <c r="AR144">
        <v>1</v>
      </c>
      <c r="AS144">
        <v>5</v>
      </c>
      <c r="AT144">
        <v>2</v>
      </c>
      <c r="AV144">
        <v>9</v>
      </c>
      <c r="AW144">
        <v>11</v>
      </c>
      <c r="AX144">
        <v>11</v>
      </c>
    </row>
    <row r="145" spans="1:50" x14ac:dyDescent="0.2">
      <c r="A145" t="s">
        <v>34</v>
      </c>
      <c r="B145" t="s">
        <v>35</v>
      </c>
      <c r="C145">
        <v>16</v>
      </c>
      <c r="D145" t="s">
        <v>36</v>
      </c>
      <c r="E145" t="s">
        <v>48</v>
      </c>
      <c r="F145" t="s">
        <v>45</v>
      </c>
      <c r="G145">
        <f t="shared" si="35"/>
        <v>1</v>
      </c>
      <c r="H145">
        <v>1</v>
      </c>
      <c r="I145">
        <f t="shared" si="36"/>
        <v>0</v>
      </c>
      <c r="J145">
        <f t="shared" si="37"/>
        <v>1</v>
      </c>
      <c r="K145">
        <f t="shared" si="38"/>
        <v>0</v>
      </c>
      <c r="L145">
        <f t="shared" si="39"/>
        <v>0</v>
      </c>
      <c r="M145">
        <f t="shared" si="40"/>
        <v>0</v>
      </c>
      <c r="N145">
        <v>1</v>
      </c>
      <c r="O145">
        <f t="shared" si="30"/>
        <v>0</v>
      </c>
      <c r="P145">
        <f t="shared" si="31"/>
        <v>1</v>
      </c>
      <c r="Q145">
        <f t="shared" si="32"/>
        <v>0</v>
      </c>
      <c r="R145">
        <f t="shared" si="33"/>
        <v>0</v>
      </c>
      <c r="S145">
        <f t="shared" si="34"/>
        <v>0</v>
      </c>
      <c r="T145">
        <f t="shared" si="41"/>
        <v>0</v>
      </c>
      <c r="V145" t="s">
        <v>39</v>
      </c>
      <c r="W145" t="s">
        <v>39</v>
      </c>
      <c r="X145" t="s">
        <v>41</v>
      </c>
      <c r="Y145" t="s">
        <v>42</v>
      </c>
      <c r="Z145">
        <v>1</v>
      </c>
      <c r="AA145">
        <v>1</v>
      </c>
      <c r="AB145">
        <v>0</v>
      </c>
      <c r="AC145" t="s">
        <v>44</v>
      </c>
      <c r="AD145" t="s">
        <v>44</v>
      </c>
      <c r="AE145">
        <f t="shared" si="42"/>
        <v>0</v>
      </c>
      <c r="AF145" t="s">
        <v>44</v>
      </c>
      <c r="AG145">
        <f t="shared" si="43"/>
        <v>0</v>
      </c>
      <c r="AH145" t="s">
        <v>44</v>
      </c>
      <c r="AI145" t="s">
        <v>43</v>
      </c>
      <c r="AJ145" t="s">
        <v>43</v>
      </c>
      <c r="AK145" t="s">
        <v>43</v>
      </c>
      <c r="AL145">
        <f t="shared" si="44"/>
        <v>1</v>
      </c>
      <c r="AM145" t="s">
        <v>44</v>
      </c>
      <c r="AN145">
        <v>3</v>
      </c>
      <c r="AO145">
        <v>4</v>
      </c>
      <c r="AP145">
        <v>4</v>
      </c>
      <c r="AQ145">
        <v>3</v>
      </c>
      <c r="AR145">
        <v>3</v>
      </c>
      <c r="AS145">
        <v>1</v>
      </c>
      <c r="AT145">
        <v>2</v>
      </c>
      <c r="AV145">
        <v>14</v>
      </c>
      <c r="AW145">
        <v>14</v>
      </c>
      <c r="AX145">
        <v>13</v>
      </c>
    </row>
    <row r="146" spans="1:50" x14ac:dyDescent="0.2">
      <c r="A146" t="s">
        <v>34</v>
      </c>
      <c r="B146" t="s">
        <v>51</v>
      </c>
      <c r="C146">
        <v>17</v>
      </c>
      <c r="D146" t="s">
        <v>36</v>
      </c>
      <c r="E146" t="s">
        <v>37</v>
      </c>
      <c r="F146" t="s">
        <v>45</v>
      </c>
      <c r="G146">
        <f t="shared" si="35"/>
        <v>1</v>
      </c>
      <c r="H146">
        <v>2</v>
      </c>
      <c r="I146">
        <f t="shared" si="36"/>
        <v>0</v>
      </c>
      <c r="J146">
        <f t="shared" si="37"/>
        <v>0</v>
      </c>
      <c r="K146">
        <f t="shared" si="38"/>
        <v>1</v>
      </c>
      <c r="L146">
        <f t="shared" si="39"/>
        <v>0</v>
      </c>
      <c r="M146">
        <f t="shared" si="40"/>
        <v>0</v>
      </c>
      <c r="N146">
        <v>1</v>
      </c>
      <c r="O146">
        <f t="shared" si="30"/>
        <v>0</v>
      </c>
      <c r="P146">
        <f t="shared" si="31"/>
        <v>1</v>
      </c>
      <c r="Q146">
        <f t="shared" si="32"/>
        <v>0</v>
      </c>
      <c r="R146">
        <f t="shared" si="33"/>
        <v>0</v>
      </c>
      <c r="S146">
        <f t="shared" si="34"/>
        <v>0</v>
      </c>
      <c r="T146">
        <f t="shared" si="41"/>
        <v>0</v>
      </c>
      <c r="V146" t="s">
        <v>46</v>
      </c>
      <c r="W146" t="s">
        <v>46</v>
      </c>
      <c r="X146" t="s">
        <v>50</v>
      </c>
      <c r="Y146" t="s">
        <v>42</v>
      </c>
      <c r="Z146">
        <v>1</v>
      </c>
      <c r="AA146">
        <v>1</v>
      </c>
      <c r="AB146">
        <v>3</v>
      </c>
      <c r="AC146" t="s">
        <v>44</v>
      </c>
      <c r="AD146" t="s">
        <v>43</v>
      </c>
      <c r="AE146">
        <f t="shared" si="42"/>
        <v>1</v>
      </c>
      <c r="AF146" t="s">
        <v>44</v>
      </c>
      <c r="AG146">
        <f t="shared" si="43"/>
        <v>0</v>
      </c>
      <c r="AH146" t="s">
        <v>44</v>
      </c>
      <c r="AI146" t="s">
        <v>43</v>
      </c>
      <c r="AJ146" t="s">
        <v>43</v>
      </c>
      <c r="AK146" t="s">
        <v>43</v>
      </c>
      <c r="AL146">
        <f t="shared" si="44"/>
        <v>1</v>
      </c>
      <c r="AM146" t="s">
        <v>44</v>
      </c>
      <c r="AN146">
        <v>5</v>
      </c>
      <c r="AO146">
        <v>4</v>
      </c>
      <c r="AP146">
        <v>5</v>
      </c>
      <c r="AQ146">
        <v>1</v>
      </c>
      <c r="AR146">
        <v>2</v>
      </c>
      <c r="AS146">
        <v>5</v>
      </c>
      <c r="AT146">
        <v>0</v>
      </c>
      <c r="AV146">
        <v>5</v>
      </c>
      <c r="AW146">
        <v>0</v>
      </c>
      <c r="AX146">
        <v>0</v>
      </c>
    </row>
    <row r="147" spans="1:50" x14ac:dyDescent="0.2">
      <c r="A147" t="s">
        <v>34</v>
      </c>
      <c r="B147" t="s">
        <v>35</v>
      </c>
      <c r="C147">
        <v>15</v>
      </c>
      <c r="D147" t="s">
        <v>36</v>
      </c>
      <c r="E147" t="s">
        <v>37</v>
      </c>
      <c r="F147" t="s">
        <v>45</v>
      </c>
      <c r="G147">
        <f t="shared" si="35"/>
        <v>1</v>
      </c>
      <c r="H147">
        <v>1</v>
      </c>
      <c r="I147">
        <f t="shared" si="36"/>
        <v>0</v>
      </c>
      <c r="J147">
        <f t="shared" si="37"/>
        <v>1</v>
      </c>
      <c r="K147">
        <f t="shared" si="38"/>
        <v>0</v>
      </c>
      <c r="L147">
        <f t="shared" si="39"/>
        <v>0</v>
      </c>
      <c r="M147">
        <f t="shared" si="40"/>
        <v>0</v>
      </c>
      <c r="N147">
        <v>1</v>
      </c>
      <c r="O147">
        <f t="shared" si="30"/>
        <v>0</v>
      </c>
      <c r="P147">
        <f t="shared" si="31"/>
        <v>1</v>
      </c>
      <c r="Q147">
        <f t="shared" si="32"/>
        <v>0</v>
      </c>
      <c r="R147">
        <f t="shared" si="33"/>
        <v>0</v>
      </c>
      <c r="S147">
        <f t="shared" si="34"/>
        <v>0</v>
      </c>
      <c r="T147">
        <f t="shared" si="41"/>
        <v>0</v>
      </c>
      <c r="V147" t="s">
        <v>46</v>
      </c>
      <c r="W147" t="s">
        <v>49</v>
      </c>
      <c r="X147" t="s">
        <v>41</v>
      </c>
      <c r="Y147" t="s">
        <v>47</v>
      </c>
      <c r="Z147">
        <v>1</v>
      </c>
      <c r="AA147">
        <v>2</v>
      </c>
      <c r="AB147">
        <v>0</v>
      </c>
      <c r="AC147" t="s">
        <v>44</v>
      </c>
      <c r="AD147" t="s">
        <v>43</v>
      </c>
      <c r="AE147">
        <f t="shared" si="42"/>
        <v>1</v>
      </c>
      <c r="AF147" t="s">
        <v>43</v>
      </c>
      <c r="AG147">
        <f t="shared" si="43"/>
        <v>1</v>
      </c>
      <c r="AH147" t="s">
        <v>44</v>
      </c>
      <c r="AI147" t="s">
        <v>43</v>
      </c>
      <c r="AJ147" t="s">
        <v>43</v>
      </c>
      <c r="AK147" t="s">
        <v>43</v>
      </c>
      <c r="AL147">
        <f t="shared" si="44"/>
        <v>1</v>
      </c>
      <c r="AM147" t="s">
        <v>44</v>
      </c>
      <c r="AN147">
        <v>4</v>
      </c>
      <c r="AO147">
        <v>4</v>
      </c>
      <c r="AP147">
        <v>2</v>
      </c>
      <c r="AQ147">
        <v>1</v>
      </c>
      <c r="AR147">
        <v>2</v>
      </c>
      <c r="AS147">
        <v>5</v>
      </c>
      <c r="AT147">
        <v>0</v>
      </c>
      <c r="AV147">
        <v>8</v>
      </c>
      <c r="AW147">
        <v>11</v>
      </c>
      <c r="AX147">
        <v>11</v>
      </c>
    </row>
    <row r="148" spans="1:50" x14ac:dyDescent="0.2">
      <c r="A148" t="s">
        <v>34</v>
      </c>
      <c r="B148" t="s">
        <v>35</v>
      </c>
      <c r="C148">
        <v>15</v>
      </c>
      <c r="D148" t="s">
        <v>36</v>
      </c>
      <c r="E148" t="s">
        <v>37</v>
      </c>
      <c r="F148" t="s">
        <v>45</v>
      </c>
      <c r="G148">
        <f t="shared" si="35"/>
        <v>1</v>
      </c>
      <c r="H148">
        <v>3</v>
      </c>
      <c r="I148">
        <f t="shared" si="36"/>
        <v>0</v>
      </c>
      <c r="J148">
        <f t="shared" si="37"/>
        <v>0</v>
      </c>
      <c r="K148">
        <f t="shared" si="38"/>
        <v>0</v>
      </c>
      <c r="L148">
        <f t="shared" si="39"/>
        <v>1</v>
      </c>
      <c r="M148">
        <f t="shared" si="40"/>
        <v>0</v>
      </c>
      <c r="N148">
        <v>2</v>
      </c>
      <c r="O148">
        <f t="shared" si="30"/>
        <v>0</v>
      </c>
      <c r="P148">
        <f t="shared" si="31"/>
        <v>0</v>
      </c>
      <c r="Q148">
        <f t="shared" si="32"/>
        <v>1</v>
      </c>
      <c r="R148">
        <f t="shared" si="33"/>
        <v>0</v>
      </c>
      <c r="S148">
        <f t="shared" si="34"/>
        <v>0</v>
      </c>
      <c r="T148">
        <f t="shared" si="41"/>
        <v>0</v>
      </c>
      <c r="V148" t="s">
        <v>29</v>
      </c>
      <c r="W148" t="s">
        <v>49</v>
      </c>
      <c r="X148" t="s">
        <v>50</v>
      </c>
      <c r="Y148" t="s">
        <v>47</v>
      </c>
      <c r="Z148">
        <v>1</v>
      </c>
      <c r="AA148">
        <v>2</v>
      </c>
      <c r="AB148">
        <v>3</v>
      </c>
      <c r="AC148" t="s">
        <v>44</v>
      </c>
      <c r="AD148" t="s">
        <v>43</v>
      </c>
      <c r="AE148">
        <f t="shared" si="42"/>
        <v>1</v>
      </c>
      <c r="AF148" t="s">
        <v>44</v>
      </c>
      <c r="AG148">
        <f t="shared" si="43"/>
        <v>0</v>
      </c>
      <c r="AH148" t="s">
        <v>44</v>
      </c>
      <c r="AI148" t="s">
        <v>43</v>
      </c>
      <c r="AJ148" t="s">
        <v>43</v>
      </c>
      <c r="AK148" t="s">
        <v>43</v>
      </c>
      <c r="AL148">
        <f t="shared" si="44"/>
        <v>1</v>
      </c>
      <c r="AM148" t="s">
        <v>44</v>
      </c>
      <c r="AN148">
        <v>3</v>
      </c>
      <c r="AO148">
        <v>3</v>
      </c>
      <c r="AP148">
        <v>2</v>
      </c>
      <c r="AQ148">
        <v>1</v>
      </c>
      <c r="AR148">
        <v>1</v>
      </c>
      <c r="AS148">
        <v>3</v>
      </c>
      <c r="AT148">
        <v>0</v>
      </c>
      <c r="AV148">
        <v>6</v>
      </c>
      <c r="AW148">
        <v>7</v>
      </c>
      <c r="AX148">
        <v>0</v>
      </c>
    </row>
    <row r="149" spans="1:50" x14ac:dyDescent="0.2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f t="shared" si="35"/>
        <v>1</v>
      </c>
      <c r="H149">
        <v>1</v>
      </c>
      <c r="I149">
        <f t="shared" si="36"/>
        <v>0</v>
      </c>
      <c r="J149">
        <f t="shared" si="37"/>
        <v>1</v>
      </c>
      <c r="K149">
        <f t="shared" si="38"/>
        <v>0</v>
      </c>
      <c r="L149">
        <f t="shared" si="39"/>
        <v>0</v>
      </c>
      <c r="M149">
        <f t="shared" si="40"/>
        <v>0</v>
      </c>
      <c r="N149">
        <v>2</v>
      </c>
      <c r="O149">
        <f t="shared" si="30"/>
        <v>0</v>
      </c>
      <c r="P149">
        <f t="shared" si="31"/>
        <v>0</v>
      </c>
      <c r="Q149">
        <f t="shared" si="32"/>
        <v>1</v>
      </c>
      <c r="R149">
        <f t="shared" si="33"/>
        <v>0</v>
      </c>
      <c r="S149">
        <f t="shared" si="34"/>
        <v>0</v>
      </c>
      <c r="T149">
        <f t="shared" si="41"/>
        <v>0</v>
      </c>
      <c r="V149" t="s">
        <v>39</v>
      </c>
      <c r="W149" t="s">
        <v>46</v>
      </c>
      <c r="X149" t="s">
        <v>41</v>
      </c>
      <c r="Y149" t="s">
        <v>42</v>
      </c>
      <c r="Z149">
        <v>1</v>
      </c>
      <c r="AA149">
        <v>2</v>
      </c>
      <c r="AB149">
        <v>0</v>
      </c>
      <c r="AC149" t="s">
        <v>44</v>
      </c>
      <c r="AD149" t="s">
        <v>43</v>
      </c>
      <c r="AE149">
        <f t="shared" si="42"/>
        <v>1</v>
      </c>
      <c r="AF149" t="s">
        <v>43</v>
      </c>
      <c r="AG149">
        <f t="shared" si="43"/>
        <v>1</v>
      </c>
      <c r="AH149" t="s">
        <v>44</v>
      </c>
      <c r="AI149" t="s">
        <v>44</v>
      </c>
      <c r="AJ149" t="s">
        <v>43</v>
      </c>
      <c r="AK149" t="s">
        <v>43</v>
      </c>
      <c r="AL149">
        <f t="shared" si="44"/>
        <v>1</v>
      </c>
      <c r="AM149" t="s">
        <v>44</v>
      </c>
      <c r="AN149">
        <v>4</v>
      </c>
      <c r="AO149">
        <v>3</v>
      </c>
      <c r="AP149">
        <v>2</v>
      </c>
      <c r="AQ149">
        <v>1</v>
      </c>
      <c r="AR149">
        <v>1</v>
      </c>
      <c r="AS149">
        <v>5</v>
      </c>
      <c r="AT149">
        <v>2</v>
      </c>
      <c r="AV149">
        <v>10</v>
      </c>
      <c r="AW149">
        <v>11</v>
      </c>
      <c r="AX149">
        <v>11</v>
      </c>
    </row>
    <row r="150" spans="1:50" x14ac:dyDescent="0.2">
      <c r="A150" t="s">
        <v>34</v>
      </c>
      <c r="B150" t="s">
        <v>51</v>
      </c>
      <c r="C150">
        <v>16</v>
      </c>
      <c r="D150" t="s">
        <v>36</v>
      </c>
      <c r="E150" t="s">
        <v>37</v>
      </c>
      <c r="F150" t="s">
        <v>45</v>
      </c>
      <c r="G150">
        <f t="shared" si="35"/>
        <v>1</v>
      </c>
      <c r="H150">
        <v>4</v>
      </c>
      <c r="I150">
        <f t="shared" si="36"/>
        <v>0</v>
      </c>
      <c r="J150">
        <f t="shared" si="37"/>
        <v>0</v>
      </c>
      <c r="K150">
        <f t="shared" si="38"/>
        <v>0</v>
      </c>
      <c r="L150">
        <f t="shared" si="39"/>
        <v>0</v>
      </c>
      <c r="M150">
        <f t="shared" si="40"/>
        <v>1</v>
      </c>
      <c r="N150">
        <v>4</v>
      </c>
      <c r="O150">
        <f t="shared" si="30"/>
        <v>0</v>
      </c>
      <c r="P150">
        <f t="shared" si="31"/>
        <v>0</v>
      </c>
      <c r="Q150">
        <f t="shared" si="32"/>
        <v>0</v>
      </c>
      <c r="R150">
        <f t="shared" si="33"/>
        <v>0</v>
      </c>
      <c r="S150">
        <f t="shared" si="34"/>
        <v>1</v>
      </c>
      <c r="T150">
        <f t="shared" si="41"/>
        <v>1</v>
      </c>
      <c r="V150" t="s">
        <v>40</v>
      </c>
      <c r="W150" t="s">
        <v>40</v>
      </c>
      <c r="X150" t="s">
        <v>41</v>
      </c>
      <c r="Y150" t="s">
        <v>42</v>
      </c>
      <c r="Z150">
        <v>1</v>
      </c>
      <c r="AA150">
        <v>1</v>
      </c>
      <c r="AB150">
        <v>0</v>
      </c>
      <c r="AC150" t="s">
        <v>44</v>
      </c>
      <c r="AD150" t="s">
        <v>43</v>
      </c>
      <c r="AE150">
        <f t="shared" si="42"/>
        <v>1</v>
      </c>
      <c r="AF150" t="s">
        <v>44</v>
      </c>
      <c r="AG150">
        <f t="shared" si="43"/>
        <v>0</v>
      </c>
      <c r="AH150" t="s">
        <v>44</v>
      </c>
      <c r="AI150" t="s">
        <v>43</v>
      </c>
      <c r="AJ150" t="s">
        <v>44</v>
      </c>
      <c r="AK150" t="s">
        <v>43</v>
      </c>
      <c r="AL150">
        <f t="shared" si="44"/>
        <v>1</v>
      </c>
      <c r="AM150" t="s">
        <v>43</v>
      </c>
      <c r="AN150">
        <v>3</v>
      </c>
      <c r="AO150">
        <v>3</v>
      </c>
      <c r="AP150">
        <v>2</v>
      </c>
      <c r="AQ150">
        <v>2</v>
      </c>
      <c r="AR150">
        <v>1</v>
      </c>
      <c r="AS150">
        <v>5</v>
      </c>
      <c r="AT150">
        <v>0</v>
      </c>
      <c r="AV150">
        <v>7</v>
      </c>
      <c r="AW150">
        <v>6</v>
      </c>
      <c r="AX150">
        <v>0</v>
      </c>
    </row>
    <row r="151" spans="1:50" x14ac:dyDescent="0.2">
      <c r="A151" t="s">
        <v>34</v>
      </c>
      <c r="B151" t="s">
        <v>51</v>
      </c>
      <c r="C151">
        <v>15</v>
      </c>
      <c r="D151" t="s">
        <v>36</v>
      </c>
      <c r="E151" t="s">
        <v>48</v>
      </c>
      <c r="F151" t="s">
        <v>38</v>
      </c>
      <c r="G151">
        <f t="shared" si="35"/>
        <v>0</v>
      </c>
      <c r="H151">
        <v>2</v>
      </c>
      <c r="I151">
        <f t="shared" si="36"/>
        <v>0</v>
      </c>
      <c r="J151">
        <f t="shared" si="37"/>
        <v>0</v>
      </c>
      <c r="K151">
        <f t="shared" si="38"/>
        <v>1</v>
      </c>
      <c r="L151">
        <f t="shared" si="39"/>
        <v>0</v>
      </c>
      <c r="M151">
        <f t="shared" si="40"/>
        <v>0</v>
      </c>
      <c r="N151">
        <v>1</v>
      </c>
      <c r="O151">
        <f t="shared" si="30"/>
        <v>0</v>
      </c>
      <c r="P151">
        <f t="shared" si="31"/>
        <v>1</v>
      </c>
      <c r="Q151">
        <f t="shared" si="32"/>
        <v>0</v>
      </c>
      <c r="R151">
        <f t="shared" si="33"/>
        <v>0</v>
      </c>
      <c r="S151">
        <f t="shared" si="34"/>
        <v>0</v>
      </c>
      <c r="T151">
        <f t="shared" si="41"/>
        <v>0</v>
      </c>
      <c r="V151" t="s">
        <v>49</v>
      </c>
      <c r="W151" t="s">
        <v>46</v>
      </c>
      <c r="X151" t="s">
        <v>41</v>
      </c>
      <c r="Y151" t="s">
        <v>42</v>
      </c>
      <c r="Z151">
        <v>4</v>
      </c>
      <c r="AA151">
        <v>1</v>
      </c>
      <c r="AB151">
        <v>3</v>
      </c>
      <c r="AC151" t="s">
        <v>44</v>
      </c>
      <c r="AD151" t="s">
        <v>44</v>
      </c>
      <c r="AE151">
        <f t="shared" si="42"/>
        <v>0</v>
      </c>
      <c r="AF151" t="s">
        <v>44</v>
      </c>
      <c r="AG151">
        <f t="shared" si="43"/>
        <v>0</v>
      </c>
      <c r="AH151" t="s">
        <v>44</v>
      </c>
      <c r="AI151" t="s">
        <v>43</v>
      </c>
      <c r="AJ151" t="s">
        <v>43</v>
      </c>
      <c r="AK151" t="s">
        <v>43</v>
      </c>
      <c r="AL151">
        <f t="shared" si="44"/>
        <v>1</v>
      </c>
      <c r="AM151" t="s">
        <v>44</v>
      </c>
      <c r="AN151">
        <v>4</v>
      </c>
      <c r="AO151">
        <v>5</v>
      </c>
      <c r="AP151">
        <v>5</v>
      </c>
      <c r="AQ151">
        <v>2</v>
      </c>
      <c r="AR151">
        <v>5</v>
      </c>
      <c r="AS151">
        <v>5</v>
      </c>
      <c r="AT151">
        <v>0</v>
      </c>
      <c r="AV151">
        <v>8</v>
      </c>
      <c r="AW151">
        <v>9</v>
      </c>
      <c r="AX151">
        <v>10</v>
      </c>
    </row>
    <row r="152" spans="1:50" x14ac:dyDescent="0.2">
      <c r="A152" t="s">
        <v>34</v>
      </c>
      <c r="B152" t="s">
        <v>51</v>
      </c>
      <c r="C152">
        <v>18</v>
      </c>
      <c r="D152" t="s">
        <v>36</v>
      </c>
      <c r="E152" t="s">
        <v>48</v>
      </c>
      <c r="F152" t="s">
        <v>45</v>
      </c>
      <c r="G152">
        <f t="shared" si="35"/>
        <v>1</v>
      </c>
      <c r="H152">
        <v>1</v>
      </c>
      <c r="I152">
        <f t="shared" si="36"/>
        <v>0</v>
      </c>
      <c r="J152">
        <f t="shared" si="37"/>
        <v>1</v>
      </c>
      <c r="K152">
        <f t="shared" si="38"/>
        <v>0</v>
      </c>
      <c r="L152">
        <f t="shared" si="39"/>
        <v>0</v>
      </c>
      <c r="M152">
        <f t="shared" si="40"/>
        <v>0</v>
      </c>
      <c r="N152">
        <v>1</v>
      </c>
      <c r="O152">
        <f t="shared" si="30"/>
        <v>0</v>
      </c>
      <c r="P152">
        <f t="shared" si="31"/>
        <v>1</v>
      </c>
      <c r="Q152">
        <f t="shared" si="32"/>
        <v>0</v>
      </c>
      <c r="R152">
        <f t="shared" si="33"/>
        <v>0</v>
      </c>
      <c r="S152">
        <f t="shared" si="34"/>
        <v>0</v>
      </c>
      <c r="T152">
        <f t="shared" si="41"/>
        <v>0</v>
      </c>
      <c r="V152" t="s">
        <v>46</v>
      </c>
      <c r="W152" t="s">
        <v>46</v>
      </c>
      <c r="X152" t="s">
        <v>41</v>
      </c>
      <c r="Y152" t="s">
        <v>42</v>
      </c>
      <c r="Z152">
        <v>1</v>
      </c>
      <c r="AA152">
        <v>1</v>
      </c>
      <c r="AB152">
        <v>3</v>
      </c>
      <c r="AC152" t="s">
        <v>44</v>
      </c>
      <c r="AD152" t="s">
        <v>44</v>
      </c>
      <c r="AE152">
        <f t="shared" si="42"/>
        <v>0</v>
      </c>
      <c r="AF152" t="s">
        <v>44</v>
      </c>
      <c r="AG152">
        <f t="shared" si="43"/>
        <v>0</v>
      </c>
      <c r="AH152" t="s">
        <v>44</v>
      </c>
      <c r="AI152" t="s">
        <v>43</v>
      </c>
      <c r="AJ152" t="s">
        <v>44</v>
      </c>
      <c r="AK152" t="s">
        <v>43</v>
      </c>
      <c r="AL152">
        <f t="shared" si="44"/>
        <v>1</v>
      </c>
      <c r="AM152" t="s">
        <v>43</v>
      </c>
      <c r="AN152">
        <v>2</v>
      </c>
      <c r="AO152">
        <v>3</v>
      </c>
      <c r="AP152">
        <v>5</v>
      </c>
      <c r="AQ152">
        <v>2</v>
      </c>
      <c r="AR152">
        <v>5</v>
      </c>
      <c r="AS152">
        <v>4</v>
      </c>
      <c r="AT152">
        <v>0</v>
      </c>
      <c r="AV152">
        <v>6</v>
      </c>
      <c r="AW152">
        <v>5</v>
      </c>
      <c r="AX152">
        <v>0</v>
      </c>
    </row>
    <row r="153" spans="1:50" x14ac:dyDescent="0.2">
      <c r="A153" t="s">
        <v>34</v>
      </c>
      <c r="B153" t="s">
        <v>51</v>
      </c>
      <c r="C153">
        <v>16</v>
      </c>
      <c r="D153" t="s">
        <v>36</v>
      </c>
      <c r="E153" t="s">
        <v>48</v>
      </c>
      <c r="F153" t="s">
        <v>45</v>
      </c>
      <c r="G153">
        <f t="shared" si="35"/>
        <v>1</v>
      </c>
      <c r="H153">
        <v>2</v>
      </c>
      <c r="I153">
        <f t="shared" si="36"/>
        <v>0</v>
      </c>
      <c r="J153">
        <f t="shared" si="37"/>
        <v>0</v>
      </c>
      <c r="K153">
        <f t="shared" si="38"/>
        <v>1</v>
      </c>
      <c r="L153">
        <f t="shared" si="39"/>
        <v>0</v>
      </c>
      <c r="M153">
        <f t="shared" si="40"/>
        <v>0</v>
      </c>
      <c r="N153">
        <v>1</v>
      </c>
      <c r="O153">
        <f t="shared" si="30"/>
        <v>0</v>
      </c>
      <c r="P153">
        <f t="shared" si="31"/>
        <v>1</v>
      </c>
      <c r="Q153">
        <f t="shared" si="32"/>
        <v>0</v>
      </c>
      <c r="R153">
        <f t="shared" si="33"/>
        <v>0</v>
      </c>
      <c r="S153">
        <f t="shared" si="34"/>
        <v>0</v>
      </c>
      <c r="T153">
        <f t="shared" si="41"/>
        <v>0</v>
      </c>
      <c r="V153" t="s">
        <v>39</v>
      </c>
      <c r="W153" t="s">
        <v>46</v>
      </c>
      <c r="X153" t="s">
        <v>41</v>
      </c>
      <c r="Y153" t="s">
        <v>42</v>
      </c>
      <c r="Z153">
        <v>1</v>
      </c>
      <c r="AA153">
        <v>1</v>
      </c>
      <c r="AB153">
        <v>1</v>
      </c>
      <c r="AC153" t="s">
        <v>44</v>
      </c>
      <c r="AD153" t="s">
        <v>44</v>
      </c>
      <c r="AE153">
        <f t="shared" si="42"/>
        <v>0</v>
      </c>
      <c r="AF153" t="s">
        <v>44</v>
      </c>
      <c r="AG153">
        <f t="shared" si="43"/>
        <v>0</v>
      </c>
      <c r="AH153" t="s">
        <v>43</v>
      </c>
      <c r="AI153" t="s">
        <v>43</v>
      </c>
      <c r="AJ153" t="s">
        <v>43</v>
      </c>
      <c r="AK153" t="s">
        <v>44</v>
      </c>
      <c r="AL153">
        <f t="shared" si="44"/>
        <v>0</v>
      </c>
      <c r="AM153" t="s">
        <v>43</v>
      </c>
      <c r="AN153">
        <v>4</v>
      </c>
      <c r="AO153">
        <v>4</v>
      </c>
      <c r="AP153">
        <v>4</v>
      </c>
      <c r="AQ153">
        <v>3</v>
      </c>
      <c r="AR153">
        <v>5</v>
      </c>
      <c r="AS153">
        <v>5</v>
      </c>
      <c r="AT153">
        <v>6</v>
      </c>
      <c r="AV153">
        <v>12</v>
      </c>
      <c r="AW153">
        <v>13</v>
      </c>
      <c r="AX153">
        <v>14</v>
      </c>
    </row>
    <row r="154" spans="1:50" x14ac:dyDescent="0.2">
      <c r="A154" t="s">
        <v>34</v>
      </c>
      <c r="B154" t="s">
        <v>35</v>
      </c>
      <c r="C154">
        <v>15</v>
      </c>
      <c r="D154" t="s">
        <v>53</v>
      </c>
      <c r="E154" t="s">
        <v>37</v>
      </c>
      <c r="F154" t="s">
        <v>45</v>
      </c>
      <c r="G154">
        <f t="shared" si="35"/>
        <v>1</v>
      </c>
      <c r="H154">
        <v>3</v>
      </c>
      <c r="I154">
        <f t="shared" si="36"/>
        <v>0</v>
      </c>
      <c r="J154">
        <f t="shared" si="37"/>
        <v>0</v>
      </c>
      <c r="K154">
        <f t="shared" si="38"/>
        <v>0</v>
      </c>
      <c r="L154">
        <f t="shared" si="39"/>
        <v>1</v>
      </c>
      <c r="M154">
        <f t="shared" si="40"/>
        <v>0</v>
      </c>
      <c r="N154">
        <v>3</v>
      </c>
      <c r="O154">
        <f t="shared" si="30"/>
        <v>0</v>
      </c>
      <c r="P154">
        <f t="shared" si="31"/>
        <v>0</v>
      </c>
      <c r="Q154">
        <f t="shared" si="32"/>
        <v>0</v>
      </c>
      <c r="R154">
        <f t="shared" si="33"/>
        <v>1</v>
      </c>
      <c r="S154">
        <f t="shared" si="34"/>
        <v>0</v>
      </c>
      <c r="T154">
        <f t="shared" si="41"/>
        <v>0</v>
      </c>
      <c r="V154" t="s">
        <v>49</v>
      </c>
      <c r="W154" t="s">
        <v>49</v>
      </c>
      <c r="X154" t="s">
        <v>52</v>
      </c>
      <c r="Y154" t="s">
        <v>46</v>
      </c>
      <c r="Z154">
        <v>2</v>
      </c>
      <c r="AA154">
        <v>3</v>
      </c>
      <c r="AB154">
        <v>2</v>
      </c>
      <c r="AC154" t="s">
        <v>44</v>
      </c>
      <c r="AD154" t="s">
        <v>43</v>
      </c>
      <c r="AE154">
        <f t="shared" si="42"/>
        <v>1</v>
      </c>
      <c r="AF154" t="s">
        <v>43</v>
      </c>
      <c r="AG154">
        <f t="shared" si="43"/>
        <v>1</v>
      </c>
      <c r="AH154" t="s">
        <v>43</v>
      </c>
      <c r="AI154" t="s">
        <v>43</v>
      </c>
      <c r="AJ154" t="s">
        <v>43</v>
      </c>
      <c r="AK154" t="s">
        <v>43</v>
      </c>
      <c r="AL154">
        <f t="shared" si="44"/>
        <v>1</v>
      </c>
      <c r="AM154" t="s">
        <v>43</v>
      </c>
      <c r="AN154">
        <v>4</v>
      </c>
      <c r="AO154">
        <v>2</v>
      </c>
      <c r="AP154">
        <v>1</v>
      </c>
      <c r="AQ154">
        <v>2</v>
      </c>
      <c r="AR154">
        <v>3</v>
      </c>
      <c r="AS154">
        <v>3</v>
      </c>
      <c r="AT154">
        <v>8</v>
      </c>
      <c r="AV154">
        <v>10</v>
      </c>
      <c r="AW154">
        <v>10</v>
      </c>
      <c r="AX154">
        <v>10</v>
      </c>
    </row>
    <row r="155" spans="1:50" x14ac:dyDescent="0.2">
      <c r="A155" t="s">
        <v>34</v>
      </c>
      <c r="B155" t="s">
        <v>51</v>
      </c>
      <c r="C155">
        <v>19</v>
      </c>
      <c r="D155" t="s">
        <v>36</v>
      </c>
      <c r="E155" t="s">
        <v>37</v>
      </c>
      <c r="F155" t="s">
        <v>45</v>
      </c>
      <c r="G155">
        <f t="shared" si="35"/>
        <v>1</v>
      </c>
      <c r="H155">
        <v>3</v>
      </c>
      <c r="I155">
        <f t="shared" si="36"/>
        <v>0</v>
      </c>
      <c r="J155">
        <f t="shared" si="37"/>
        <v>0</v>
      </c>
      <c r="K155">
        <f t="shared" si="38"/>
        <v>0</v>
      </c>
      <c r="L155">
        <f t="shared" si="39"/>
        <v>1</v>
      </c>
      <c r="M155">
        <f t="shared" si="40"/>
        <v>0</v>
      </c>
      <c r="N155">
        <v>2</v>
      </c>
      <c r="O155">
        <f t="shared" si="30"/>
        <v>0</v>
      </c>
      <c r="P155">
        <f t="shared" si="31"/>
        <v>0</v>
      </c>
      <c r="Q155">
        <f t="shared" si="32"/>
        <v>1</v>
      </c>
      <c r="R155">
        <f t="shared" si="33"/>
        <v>0</v>
      </c>
      <c r="S155">
        <f t="shared" si="34"/>
        <v>0</v>
      </c>
      <c r="T155">
        <f t="shared" si="41"/>
        <v>0</v>
      </c>
      <c r="V155" t="s">
        <v>49</v>
      </c>
      <c r="W155" t="s">
        <v>39</v>
      </c>
      <c r="X155" t="s">
        <v>50</v>
      </c>
      <c r="Y155" t="s">
        <v>42</v>
      </c>
      <c r="Z155">
        <v>1</v>
      </c>
      <c r="AA155">
        <v>1</v>
      </c>
      <c r="AB155">
        <v>3</v>
      </c>
      <c r="AC155" t="s">
        <v>44</v>
      </c>
      <c r="AD155" t="s">
        <v>43</v>
      </c>
      <c r="AE155">
        <f t="shared" si="42"/>
        <v>1</v>
      </c>
      <c r="AF155" t="s">
        <v>44</v>
      </c>
      <c r="AG155">
        <f t="shared" si="43"/>
        <v>0</v>
      </c>
      <c r="AH155" t="s">
        <v>44</v>
      </c>
      <c r="AI155" t="s">
        <v>43</v>
      </c>
      <c r="AJ155" t="s">
        <v>44</v>
      </c>
      <c r="AK155" t="s">
        <v>43</v>
      </c>
      <c r="AL155">
        <f t="shared" si="44"/>
        <v>1</v>
      </c>
      <c r="AM155" t="s">
        <v>43</v>
      </c>
      <c r="AN155">
        <v>4</v>
      </c>
      <c r="AO155">
        <v>5</v>
      </c>
      <c r="AP155">
        <v>4</v>
      </c>
      <c r="AQ155">
        <v>1</v>
      </c>
      <c r="AR155">
        <v>1</v>
      </c>
      <c r="AS155">
        <v>4</v>
      </c>
      <c r="AT155">
        <v>0</v>
      </c>
      <c r="AV155">
        <v>5</v>
      </c>
      <c r="AW155">
        <v>0</v>
      </c>
      <c r="AX155">
        <v>0</v>
      </c>
    </row>
    <row r="156" spans="1:50" x14ac:dyDescent="0.2">
      <c r="A156" t="s">
        <v>34</v>
      </c>
      <c r="B156" t="s">
        <v>35</v>
      </c>
      <c r="C156">
        <v>17</v>
      </c>
      <c r="D156" t="s">
        <v>36</v>
      </c>
      <c r="E156" t="s">
        <v>37</v>
      </c>
      <c r="F156" t="s">
        <v>45</v>
      </c>
      <c r="G156">
        <f t="shared" si="35"/>
        <v>1</v>
      </c>
      <c r="H156">
        <v>4</v>
      </c>
      <c r="I156">
        <f t="shared" si="36"/>
        <v>0</v>
      </c>
      <c r="J156">
        <f t="shared" si="37"/>
        <v>0</v>
      </c>
      <c r="K156">
        <f t="shared" si="38"/>
        <v>0</v>
      </c>
      <c r="L156">
        <f t="shared" si="39"/>
        <v>0</v>
      </c>
      <c r="M156">
        <f t="shared" si="40"/>
        <v>1</v>
      </c>
      <c r="N156">
        <v>4</v>
      </c>
      <c r="O156">
        <f t="shared" si="30"/>
        <v>0</v>
      </c>
      <c r="P156">
        <f t="shared" si="31"/>
        <v>0</v>
      </c>
      <c r="Q156">
        <f t="shared" si="32"/>
        <v>0</v>
      </c>
      <c r="R156">
        <f t="shared" si="33"/>
        <v>0</v>
      </c>
      <c r="S156">
        <f t="shared" si="34"/>
        <v>1</v>
      </c>
      <c r="T156">
        <f t="shared" si="41"/>
        <v>1</v>
      </c>
      <c r="V156" t="s">
        <v>46</v>
      </c>
      <c r="W156" t="s">
        <v>40</v>
      </c>
      <c r="X156" t="s">
        <v>41</v>
      </c>
      <c r="Y156" t="s">
        <v>42</v>
      </c>
      <c r="Z156">
        <v>1</v>
      </c>
      <c r="AA156">
        <v>1</v>
      </c>
      <c r="AB156">
        <v>0</v>
      </c>
      <c r="AC156" t="s">
        <v>43</v>
      </c>
      <c r="AD156" t="s">
        <v>43</v>
      </c>
      <c r="AE156">
        <f t="shared" si="42"/>
        <v>1</v>
      </c>
      <c r="AF156" t="s">
        <v>44</v>
      </c>
      <c r="AG156">
        <f t="shared" si="43"/>
        <v>0</v>
      </c>
      <c r="AH156" t="s">
        <v>44</v>
      </c>
      <c r="AI156" t="s">
        <v>43</v>
      </c>
      <c r="AJ156" t="s">
        <v>43</v>
      </c>
      <c r="AK156" t="s">
        <v>44</v>
      </c>
      <c r="AL156">
        <f t="shared" si="44"/>
        <v>0</v>
      </c>
      <c r="AM156" t="s">
        <v>43</v>
      </c>
      <c r="AN156">
        <v>4</v>
      </c>
      <c r="AO156">
        <v>2</v>
      </c>
      <c r="AP156">
        <v>1</v>
      </c>
      <c r="AQ156">
        <v>1</v>
      </c>
      <c r="AR156">
        <v>1</v>
      </c>
      <c r="AS156">
        <v>4</v>
      </c>
      <c r="AT156">
        <v>0</v>
      </c>
      <c r="AV156">
        <v>11</v>
      </c>
      <c r="AW156">
        <v>11</v>
      </c>
      <c r="AX156">
        <v>12</v>
      </c>
    </row>
    <row r="157" spans="1:50" x14ac:dyDescent="0.2">
      <c r="A157" t="s">
        <v>34</v>
      </c>
      <c r="B157" t="s">
        <v>51</v>
      </c>
      <c r="C157">
        <v>15</v>
      </c>
      <c r="D157" t="s">
        <v>53</v>
      </c>
      <c r="E157" t="s">
        <v>37</v>
      </c>
      <c r="F157" t="s">
        <v>45</v>
      </c>
      <c r="G157">
        <f t="shared" si="35"/>
        <v>1</v>
      </c>
      <c r="H157">
        <v>2</v>
      </c>
      <c r="I157">
        <f t="shared" si="36"/>
        <v>0</v>
      </c>
      <c r="J157">
        <f t="shared" si="37"/>
        <v>0</v>
      </c>
      <c r="K157">
        <f t="shared" si="38"/>
        <v>1</v>
      </c>
      <c r="L157">
        <f t="shared" si="39"/>
        <v>0</v>
      </c>
      <c r="M157">
        <f t="shared" si="40"/>
        <v>0</v>
      </c>
      <c r="N157">
        <v>3</v>
      </c>
      <c r="O157">
        <f t="shared" si="30"/>
        <v>0</v>
      </c>
      <c r="P157">
        <f t="shared" si="31"/>
        <v>0</v>
      </c>
      <c r="Q157">
        <f t="shared" si="32"/>
        <v>0</v>
      </c>
      <c r="R157">
        <f t="shared" si="33"/>
        <v>1</v>
      </c>
      <c r="S157">
        <f t="shared" si="34"/>
        <v>0</v>
      </c>
      <c r="T157">
        <f t="shared" si="41"/>
        <v>0</v>
      </c>
      <c r="V157" t="s">
        <v>39</v>
      </c>
      <c r="W157" t="s">
        <v>49</v>
      </c>
      <c r="X157" t="s">
        <v>41</v>
      </c>
      <c r="Y157" t="s">
        <v>42</v>
      </c>
      <c r="Z157">
        <v>1</v>
      </c>
      <c r="AA157">
        <v>2</v>
      </c>
      <c r="AB157">
        <v>0</v>
      </c>
      <c r="AC157" t="s">
        <v>43</v>
      </c>
      <c r="AD157" t="s">
        <v>44</v>
      </c>
      <c r="AE157">
        <f t="shared" si="42"/>
        <v>0</v>
      </c>
      <c r="AF157" t="s">
        <v>43</v>
      </c>
      <c r="AG157">
        <f t="shared" si="43"/>
        <v>1</v>
      </c>
      <c r="AH157" t="s">
        <v>43</v>
      </c>
      <c r="AI157" t="s">
        <v>43</v>
      </c>
      <c r="AJ157" t="s">
        <v>43</v>
      </c>
      <c r="AK157" t="s">
        <v>44</v>
      </c>
      <c r="AL157">
        <f t="shared" si="44"/>
        <v>0</v>
      </c>
      <c r="AM157" t="s">
        <v>44</v>
      </c>
      <c r="AN157">
        <v>4</v>
      </c>
      <c r="AO157">
        <v>4</v>
      </c>
      <c r="AP157">
        <v>4</v>
      </c>
      <c r="AQ157">
        <v>1</v>
      </c>
      <c r="AR157">
        <v>1</v>
      </c>
      <c r="AS157">
        <v>1</v>
      </c>
      <c r="AT157">
        <v>2</v>
      </c>
      <c r="AV157">
        <v>11</v>
      </c>
      <c r="AW157">
        <v>8</v>
      </c>
      <c r="AX157">
        <v>8</v>
      </c>
    </row>
    <row r="158" spans="1:50" x14ac:dyDescent="0.2">
      <c r="A158" t="s">
        <v>34</v>
      </c>
      <c r="B158" t="s">
        <v>51</v>
      </c>
      <c r="C158">
        <v>17</v>
      </c>
      <c r="D158" t="s">
        <v>53</v>
      </c>
      <c r="E158" t="s">
        <v>48</v>
      </c>
      <c r="F158" t="s">
        <v>45</v>
      </c>
      <c r="G158">
        <f t="shared" si="35"/>
        <v>1</v>
      </c>
      <c r="H158">
        <v>1</v>
      </c>
      <c r="I158">
        <f t="shared" si="36"/>
        <v>0</v>
      </c>
      <c r="J158">
        <f t="shared" si="37"/>
        <v>1</v>
      </c>
      <c r="K158">
        <f t="shared" si="38"/>
        <v>0</v>
      </c>
      <c r="L158">
        <f t="shared" si="39"/>
        <v>0</v>
      </c>
      <c r="M158">
        <f t="shared" si="40"/>
        <v>0</v>
      </c>
      <c r="N158">
        <v>2</v>
      </c>
      <c r="O158">
        <f t="shared" si="30"/>
        <v>0</v>
      </c>
      <c r="P158">
        <f t="shared" si="31"/>
        <v>0</v>
      </c>
      <c r="Q158">
        <f t="shared" si="32"/>
        <v>1</v>
      </c>
      <c r="R158">
        <f t="shared" si="33"/>
        <v>0</v>
      </c>
      <c r="S158">
        <f t="shared" si="34"/>
        <v>0</v>
      </c>
      <c r="T158">
        <f t="shared" si="41"/>
        <v>0</v>
      </c>
      <c r="V158" t="s">
        <v>46</v>
      </c>
      <c r="W158" t="s">
        <v>46</v>
      </c>
      <c r="X158" t="s">
        <v>52</v>
      </c>
      <c r="Y158" t="s">
        <v>42</v>
      </c>
      <c r="Z158">
        <v>1</v>
      </c>
      <c r="AA158">
        <v>1</v>
      </c>
      <c r="AB158">
        <v>0</v>
      </c>
      <c r="AC158" t="s">
        <v>44</v>
      </c>
      <c r="AD158" t="s">
        <v>44</v>
      </c>
      <c r="AE158">
        <f t="shared" si="42"/>
        <v>0</v>
      </c>
      <c r="AF158" t="s">
        <v>44</v>
      </c>
      <c r="AG158">
        <f t="shared" si="43"/>
        <v>0</v>
      </c>
      <c r="AH158" t="s">
        <v>44</v>
      </c>
      <c r="AI158" t="s">
        <v>43</v>
      </c>
      <c r="AJ158" t="s">
        <v>43</v>
      </c>
      <c r="AK158" t="s">
        <v>44</v>
      </c>
      <c r="AL158">
        <f t="shared" si="44"/>
        <v>0</v>
      </c>
      <c r="AM158" t="s">
        <v>44</v>
      </c>
      <c r="AN158">
        <v>2</v>
      </c>
      <c r="AO158">
        <v>2</v>
      </c>
      <c r="AP158">
        <v>2</v>
      </c>
      <c r="AQ158">
        <v>3</v>
      </c>
      <c r="AR158">
        <v>3</v>
      </c>
      <c r="AS158">
        <v>5</v>
      </c>
      <c r="AT158">
        <v>8</v>
      </c>
      <c r="AV158">
        <v>16</v>
      </c>
      <c r="AW158">
        <v>12</v>
      </c>
      <c r="AX158">
        <v>13</v>
      </c>
    </row>
    <row r="159" spans="1:50" x14ac:dyDescent="0.2">
      <c r="A159" t="s">
        <v>34</v>
      </c>
      <c r="B159" t="s">
        <v>35</v>
      </c>
      <c r="C159">
        <v>18</v>
      </c>
      <c r="D159" t="s">
        <v>53</v>
      </c>
      <c r="E159" t="s">
        <v>37</v>
      </c>
      <c r="F159" t="s">
        <v>45</v>
      </c>
      <c r="G159">
        <f t="shared" si="35"/>
        <v>1</v>
      </c>
      <c r="H159">
        <v>1</v>
      </c>
      <c r="I159">
        <f t="shared" si="36"/>
        <v>0</v>
      </c>
      <c r="J159">
        <f t="shared" si="37"/>
        <v>1</v>
      </c>
      <c r="K159">
        <f t="shared" si="38"/>
        <v>0</v>
      </c>
      <c r="L159">
        <f t="shared" si="39"/>
        <v>0</v>
      </c>
      <c r="M159">
        <f t="shared" si="40"/>
        <v>0</v>
      </c>
      <c r="N159">
        <v>1</v>
      </c>
      <c r="O159">
        <f t="shared" si="30"/>
        <v>0</v>
      </c>
      <c r="P159">
        <f t="shared" si="31"/>
        <v>1</v>
      </c>
      <c r="Q159">
        <f t="shared" si="32"/>
        <v>0</v>
      </c>
      <c r="R159">
        <f t="shared" si="33"/>
        <v>0</v>
      </c>
      <c r="S159">
        <f t="shared" si="34"/>
        <v>0</v>
      </c>
      <c r="T159">
        <f t="shared" si="41"/>
        <v>0</v>
      </c>
      <c r="V159" t="s">
        <v>39</v>
      </c>
      <c r="W159" t="s">
        <v>46</v>
      </c>
      <c r="X159" t="s">
        <v>41</v>
      </c>
      <c r="Y159" t="s">
        <v>42</v>
      </c>
      <c r="Z159">
        <v>3</v>
      </c>
      <c r="AA159">
        <v>1</v>
      </c>
      <c r="AB159">
        <v>3</v>
      </c>
      <c r="AC159" t="s">
        <v>44</v>
      </c>
      <c r="AD159" t="s">
        <v>43</v>
      </c>
      <c r="AE159">
        <f t="shared" si="42"/>
        <v>1</v>
      </c>
      <c r="AF159" t="s">
        <v>44</v>
      </c>
      <c r="AG159">
        <f t="shared" si="43"/>
        <v>0</v>
      </c>
      <c r="AH159" t="s">
        <v>43</v>
      </c>
      <c r="AI159" t="s">
        <v>44</v>
      </c>
      <c r="AJ159" t="s">
        <v>43</v>
      </c>
      <c r="AK159" t="s">
        <v>44</v>
      </c>
      <c r="AL159">
        <f t="shared" si="44"/>
        <v>0</v>
      </c>
      <c r="AM159" t="s">
        <v>44</v>
      </c>
      <c r="AN159">
        <v>5</v>
      </c>
      <c r="AO159">
        <v>2</v>
      </c>
      <c r="AP159">
        <v>5</v>
      </c>
      <c r="AQ159">
        <v>1</v>
      </c>
      <c r="AR159">
        <v>5</v>
      </c>
      <c r="AS159">
        <v>4</v>
      </c>
      <c r="AT159">
        <v>6</v>
      </c>
      <c r="AV159">
        <v>9</v>
      </c>
      <c r="AW159">
        <v>8</v>
      </c>
      <c r="AX159">
        <v>10</v>
      </c>
    </row>
    <row r="160" spans="1:50" x14ac:dyDescent="0.2">
      <c r="A160" t="s">
        <v>34</v>
      </c>
      <c r="B160" t="s">
        <v>51</v>
      </c>
      <c r="C160">
        <v>16</v>
      </c>
      <c r="D160" t="s">
        <v>53</v>
      </c>
      <c r="E160" t="s">
        <v>37</v>
      </c>
      <c r="F160" t="s">
        <v>45</v>
      </c>
      <c r="G160">
        <f t="shared" si="35"/>
        <v>1</v>
      </c>
      <c r="H160">
        <v>2</v>
      </c>
      <c r="I160">
        <f t="shared" si="36"/>
        <v>0</v>
      </c>
      <c r="J160">
        <f t="shared" si="37"/>
        <v>0</v>
      </c>
      <c r="K160">
        <f t="shared" si="38"/>
        <v>1</v>
      </c>
      <c r="L160">
        <f t="shared" si="39"/>
        <v>0</v>
      </c>
      <c r="M160">
        <f t="shared" si="40"/>
        <v>0</v>
      </c>
      <c r="N160">
        <v>2</v>
      </c>
      <c r="O160">
        <f t="shared" si="30"/>
        <v>0</v>
      </c>
      <c r="P160">
        <f t="shared" si="31"/>
        <v>0</v>
      </c>
      <c r="Q160">
        <f t="shared" si="32"/>
        <v>1</v>
      </c>
      <c r="R160">
        <f t="shared" si="33"/>
        <v>0</v>
      </c>
      <c r="S160">
        <f t="shared" si="34"/>
        <v>0</v>
      </c>
      <c r="T160">
        <f t="shared" si="41"/>
        <v>0</v>
      </c>
      <c r="V160" t="s">
        <v>39</v>
      </c>
      <c r="W160" t="s">
        <v>46</v>
      </c>
      <c r="X160" t="s">
        <v>41</v>
      </c>
      <c r="Y160" t="s">
        <v>42</v>
      </c>
      <c r="Z160">
        <v>3</v>
      </c>
      <c r="AA160">
        <v>1</v>
      </c>
      <c r="AB160">
        <v>0</v>
      </c>
      <c r="AC160" t="s">
        <v>44</v>
      </c>
      <c r="AD160" t="s">
        <v>44</v>
      </c>
      <c r="AE160">
        <f t="shared" si="42"/>
        <v>0</v>
      </c>
      <c r="AF160" t="s">
        <v>44</v>
      </c>
      <c r="AG160">
        <f t="shared" si="43"/>
        <v>0</v>
      </c>
      <c r="AH160" t="s">
        <v>44</v>
      </c>
      <c r="AI160" t="s">
        <v>44</v>
      </c>
      <c r="AJ160" t="s">
        <v>43</v>
      </c>
      <c r="AK160" t="s">
        <v>44</v>
      </c>
      <c r="AL160">
        <f t="shared" si="44"/>
        <v>0</v>
      </c>
      <c r="AM160" t="s">
        <v>44</v>
      </c>
      <c r="AN160">
        <v>4</v>
      </c>
      <c r="AO160">
        <v>2</v>
      </c>
      <c r="AP160">
        <v>2</v>
      </c>
      <c r="AQ160">
        <v>1</v>
      </c>
      <c r="AR160">
        <v>2</v>
      </c>
      <c r="AS160">
        <v>3</v>
      </c>
      <c r="AT160">
        <v>2</v>
      </c>
      <c r="AV160">
        <v>17</v>
      </c>
      <c r="AW160">
        <v>15</v>
      </c>
      <c r="AX160">
        <v>15</v>
      </c>
    </row>
    <row r="161" spans="1:50" x14ac:dyDescent="0.2">
      <c r="A161" t="s">
        <v>34</v>
      </c>
      <c r="B161" t="s">
        <v>51</v>
      </c>
      <c r="C161">
        <v>16</v>
      </c>
      <c r="D161" t="s">
        <v>36</v>
      </c>
      <c r="E161" t="s">
        <v>37</v>
      </c>
      <c r="F161" t="s">
        <v>45</v>
      </c>
      <c r="G161">
        <f t="shared" si="35"/>
        <v>1</v>
      </c>
      <c r="H161">
        <v>3</v>
      </c>
      <c r="I161">
        <f t="shared" si="36"/>
        <v>0</v>
      </c>
      <c r="J161">
        <f t="shared" si="37"/>
        <v>0</v>
      </c>
      <c r="K161">
        <f t="shared" si="38"/>
        <v>0</v>
      </c>
      <c r="L161">
        <f t="shared" si="39"/>
        <v>1</v>
      </c>
      <c r="M161">
        <f t="shared" si="40"/>
        <v>0</v>
      </c>
      <c r="N161">
        <v>3</v>
      </c>
      <c r="O161">
        <f t="shared" si="30"/>
        <v>0</v>
      </c>
      <c r="P161">
        <f t="shared" si="31"/>
        <v>0</v>
      </c>
      <c r="Q161">
        <f t="shared" si="32"/>
        <v>0</v>
      </c>
      <c r="R161">
        <f t="shared" si="33"/>
        <v>1</v>
      </c>
      <c r="S161">
        <f t="shared" si="34"/>
        <v>0</v>
      </c>
      <c r="T161">
        <f t="shared" si="41"/>
        <v>0</v>
      </c>
      <c r="V161" t="s">
        <v>46</v>
      </c>
      <c r="W161" t="s">
        <v>49</v>
      </c>
      <c r="X161" t="s">
        <v>41</v>
      </c>
      <c r="Y161" t="s">
        <v>47</v>
      </c>
      <c r="Z161">
        <v>1</v>
      </c>
      <c r="AA161">
        <v>2</v>
      </c>
      <c r="AB161">
        <v>1</v>
      </c>
      <c r="AC161" t="s">
        <v>44</v>
      </c>
      <c r="AD161" t="s">
        <v>43</v>
      </c>
      <c r="AE161">
        <f t="shared" si="42"/>
        <v>1</v>
      </c>
      <c r="AF161" t="s">
        <v>43</v>
      </c>
      <c r="AG161">
        <f t="shared" si="43"/>
        <v>1</v>
      </c>
      <c r="AH161" t="s">
        <v>44</v>
      </c>
      <c r="AI161" t="s">
        <v>43</v>
      </c>
      <c r="AJ161" t="s">
        <v>43</v>
      </c>
      <c r="AK161" t="s">
        <v>43</v>
      </c>
      <c r="AL161">
        <f t="shared" si="44"/>
        <v>1</v>
      </c>
      <c r="AM161" t="s">
        <v>43</v>
      </c>
      <c r="AN161">
        <v>4</v>
      </c>
      <c r="AO161">
        <v>5</v>
      </c>
      <c r="AP161">
        <v>5</v>
      </c>
      <c r="AQ161">
        <v>4</v>
      </c>
      <c r="AR161">
        <v>4</v>
      </c>
      <c r="AS161">
        <v>5</v>
      </c>
      <c r="AT161">
        <v>4</v>
      </c>
      <c r="AV161">
        <v>10</v>
      </c>
      <c r="AW161">
        <v>12</v>
      </c>
      <c r="AX161">
        <v>12</v>
      </c>
    </row>
    <row r="162" spans="1:50" x14ac:dyDescent="0.2">
      <c r="A162" t="s">
        <v>34</v>
      </c>
      <c r="B162" t="s">
        <v>51</v>
      </c>
      <c r="C162">
        <v>17</v>
      </c>
      <c r="D162" t="s">
        <v>53</v>
      </c>
      <c r="E162" t="s">
        <v>48</v>
      </c>
      <c r="F162" t="s">
        <v>45</v>
      </c>
      <c r="G162">
        <f t="shared" si="35"/>
        <v>1</v>
      </c>
      <c r="H162">
        <v>2</v>
      </c>
      <c r="I162">
        <f t="shared" si="36"/>
        <v>0</v>
      </c>
      <c r="J162">
        <f t="shared" si="37"/>
        <v>0</v>
      </c>
      <c r="K162">
        <f t="shared" si="38"/>
        <v>1</v>
      </c>
      <c r="L162">
        <f t="shared" si="39"/>
        <v>0</v>
      </c>
      <c r="M162">
        <f t="shared" si="40"/>
        <v>0</v>
      </c>
      <c r="N162">
        <v>1</v>
      </c>
      <c r="O162">
        <f t="shared" si="30"/>
        <v>0</v>
      </c>
      <c r="P162">
        <f t="shared" si="31"/>
        <v>1</v>
      </c>
      <c r="Q162">
        <f t="shared" si="32"/>
        <v>0</v>
      </c>
      <c r="R162">
        <f t="shared" si="33"/>
        <v>0</v>
      </c>
      <c r="S162">
        <f t="shared" si="34"/>
        <v>0</v>
      </c>
      <c r="T162">
        <f t="shared" si="41"/>
        <v>0</v>
      </c>
      <c r="V162" t="s">
        <v>39</v>
      </c>
      <c r="W162" t="s">
        <v>46</v>
      </c>
      <c r="X162" t="s">
        <v>41</v>
      </c>
      <c r="Y162" t="s">
        <v>42</v>
      </c>
      <c r="Z162">
        <v>2</v>
      </c>
      <c r="AA162">
        <v>1</v>
      </c>
      <c r="AB162">
        <v>2</v>
      </c>
      <c r="AC162" t="s">
        <v>44</v>
      </c>
      <c r="AD162" t="s">
        <v>44</v>
      </c>
      <c r="AE162">
        <f t="shared" si="42"/>
        <v>0</v>
      </c>
      <c r="AF162" t="s">
        <v>44</v>
      </c>
      <c r="AG162">
        <f t="shared" si="43"/>
        <v>0</v>
      </c>
      <c r="AH162" t="s">
        <v>43</v>
      </c>
      <c r="AI162" t="s">
        <v>43</v>
      </c>
      <c r="AJ162" t="s">
        <v>44</v>
      </c>
      <c r="AK162" t="s">
        <v>43</v>
      </c>
      <c r="AL162">
        <f t="shared" si="44"/>
        <v>1</v>
      </c>
      <c r="AM162" t="s">
        <v>43</v>
      </c>
      <c r="AN162">
        <v>3</v>
      </c>
      <c r="AO162">
        <v>3</v>
      </c>
      <c r="AP162">
        <v>2</v>
      </c>
      <c r="AQ162">
        <v>2</v>
      </c>
      <c r="AR162">
        <v>2</v>
      </c>
      <c r="AS162">
        <v>5</v>
      </c>
      <c r="AT162">
        <v>0</v>
      </c>
      <c r="AV162">
        <v>7</v>
      </c>
      <c r="AW162">
        <v>6</v>
      </c>
      <c r="AX162">
        <v>0</v>
      </c>
    </row>
    <row r="163" spans="1:50" x14ac:dyDescent="0.2">
      <c r="A163" t="s">
        <v>34</v>
      </c>
      <c r="B163" t="s">
        <v>51</v>
      </c>
      <c r="C163">
        <v>15</v>
      </c>
      <c r="D163" t="s">
        <v>53</v>
      </c>
      <c r="E163" t="s">
        <v>37</v>
      </c>
      <c r="F163" t="s">
        <v>45</v>
      </c>
      <c r="G163">
        <f t="shared" si="35"/>
        <v>1</v>
      </c>
      <c r="H163">
        <v>3</v>
      </c>
      <c r="I163">
        <f t="shared" si="36"/>
        <v>0</v>
      </c>
      <c r="J163">
        <f t="shared" si="37"/>
        <v>0</v>
      </c>
      <c r="K163">
        <f t="shared" si="38"/>
        <v>0</v>
      </c>
      <c r="L163">
        <f t="shared" si="39"/>
        <v>1</v>
      </c>
      <c r="M163">
        <f t="shared" si="40"/>
        <v>0</v>
      </c>
      <c r="N163">
        <v>2</v>
      </c>
      <c r="O163">
        <f t="shared" si="30"/>
        <v>0</v>
      </c>
      <c r="P163">
        <f t="shared" si="31"/>
        <v>0</v>
      </c>
      <c r="Q163">
        <f t="shared" si="32"/>
        <v>1</v>
      </c>
      <c r="R163">
        <f t="shared" si="33"/>
        <v>0</v>
      </c>
      <c r="S163">
        <f t="shared" si="34"/>
        <v>0</v>
      </c>
      <c r="T163">
        <f t="shared" si="41"/>
        <v>0</v>
      </c>
      <c r="V163" t="s">
        <v>46</v>
      </c>
      <c r="W163" t="s">
        <v>46</v>
      </c>
      <c r="X163" t="s">
        <v>41</v>
      </c>
      <c r="Y163" t="s">
        <v>42</v>
      </c>
      <c r="Z163">
        <v>2</v>
      </c>
      <c r="AA163">
        <v>2</v>
      </c>
      <c r="AB163">
        <v>2</v>
      </c>
      <c r="AC163" t="s">
        <v>43</v>
      </c>
      <c r="AD163" t="s">
        <v>43</v>
      </c>
      <c r="AE163">
        <f t="shared" si="42"/>
        <v>1</v>
      </c>
      <c r="AF163" t="s">
        <v>44</v>
      </c>
      <c r="AG163">
        <f t="shared" si="43"/>
        <v>0</v>
      </c>
      <c r="AH163" t="s">
        <v>44</v>
      </c>
      <c r="AI163" t="s">
        <v>43</v>
      </c>
      <c r="AJ163" t="s">
        <v>43</v>
      </c>
      <c r="AK163" t="s">
        <v>43</v>
      </c>
      <c r="AL163">
        <f t="shared" si="44"/>
        <v>1</v>
      </c>
      <c r="AM163" t="s">
        <v>43</v>
      </c>
      <c r="AN163">
        <v>4</v>
      </c>
      <c r="AO163">
        <v>4</v>
      </c>
      <c r="AP163">
        <v>4</v>
      </c>
      <c r="AQ163">
        <v>1</v>
      </c>
      <c r="AR163">
        <v>4</v>
      </c>
      <c r="AS163">
        <v>3</v>
      </c>
      <c r="AT163">
        <v>6</v>
      </c>
      <c r="AV163">
        <v>5</v>
      </c>
      <c r="AW163">
        <v>9</v>
      </c>
      <c r="AX163">
        <v>7</v>
      </c>
    </row>
    <row r="164" spans="1:50" x14ac:dyDescent="0.2">
      <c r="A164" t="s">
        <v>34</v>
      </c>
      <c r="B164" t="s">
        <v>51</v>
      </c>
      <c r="C164">
        <v>16</v>
      </c>
      <c r="D164" t="s">
        <v>36</v>
      </c>
      <c r="E164" t="s">
        <v>48</v>
      </c>
      <c r="F164" t="s">
        <v>45</v>
      </c>
      <c r="G164">
        <f t="shared" si="35"/>
        <v>1</v>
      </c>
      <c r="H164">
        <v>1</v>
      </c>
      <c r="I164">
        <f t="shared" si="36"/>
        <v>0</v>
      </c>
      <c r="J164">
        <f t="shared" si="37"/>
        <v>1</v>
      </c>
      <c r="K164">
        <f t="shared" si="38"/>
        <v>0</v>
      </c>
      <c r="L164">
        <f t="shared" si="39"/>
        <v>0</v>
      </c>
      <c r="M164">
        <f t="shared" si="40"/>
        <v>0</v>
      </c>
      <c r="N164">
        <v>2</v>
      </c>
      <c r="O164">
        <f t="shared" si="30"/>
        <v>0</v>
      </c>
      <c r="P164">
        <f t="shared" si="31"/>
        <v>0</v>
      </c>
      <c r="Q164">
        <f t="shared" si="32"/>
        <v>1</v>
      </c>
      <c r="R164">
        <f t="shared" si="33"/>
        <v>0</v>
      </c>
      <c r="S164">
        <f t="shared" si="34"/>
        <v>0</v>
      </c>
      <c r="T164">
        <f t="shared" si="41"/>
        <v>0</v>
      </c>
      <c r="V164" t="s">
        <v>46</v>
      </c>
      <c r="W164" t="s">
        <v>46</v>
      </c>
      <c r="X164" t="s">
        <v>41</v>
      </c>
      <c r="Y164" t="s">
        <v>42</v>
      </c>
      <c r="Z164">
        <v>2</v>
      </c>
      <c r="AA164">
        <v>1</v>
      </c>
      <c r="AB164">
        <v>1</v>
      </c>
      <c r="AC164" t="s">
        <v>44</v>
      </c>
      <c r="AD164" t="s">
        <v>44</v>
      </c>
      <c r="AE164">
        <f t="shared" si="42"/>
        <v>0</v>
      </c>
      <c r="AF164" t="s">
        <v>44</v>
      </c>
      <c r="AG164">
        <f t="shared" si="43"/>
        <v>0</v>
      </c>
      <c r="AH164" t="s">
        <v>43</v>
      </c>
      <c r="AI164" t="s">
        <v>43</v>
      </c>
      <c r="AJ164" t="s">
        <v>43</v>
      </c>
      <c r="AK164" t="s">
        <v>44</v>
      </c>
      <c r="AL164">
        <f t="shared" si="44"/>
        <v>0</v>
      </c>
      <c r="AM164" t="s">
        <v>44</v>
      </c>
      <c r="AN164">
        <v>4</v>
      </c>
      <c r="AO164">
        <v>4</v>
      </c>
      <c r="AP164">
        <v>4</v>
      </c>
      <c r="AQ164">
        <v>2</v>
      </c>
      <c r="AR164">
        <v>4</v>
      </c>
      <c r="AS164">
        <v>5</v>
      </c>
      <c r="AT164">
        <v>0</v>
      </c>
      <c r="AV164">
        <v>7</v>
      </c>
      <c r="AW164">
        <v>0</v>
      </c>
      <c r="AX164">
        <v>0</v>
      </c>
    </row>
    <row r="165" spans="1:50" x14ac:dyDescent="0.2">
      <c r="A165" t="s">
        <v>34</v>
      </c>
      <c r="B165" t="s">
        <v>51</v>
      </c>
      <c r="C165">
        <v>17</v>
      </c>
      <c r="D165" t="s">
        <v>36</v>
      </c>
      <c r="E165" t="s">
        <v>37</v>
      </c>
      <c r="F165" t="s">
        <v>45</v>
      </c>
      <c r="G165">
        <f t="shared" si="35"/>
        <v>1</v>
      </c>
      <c r="H165">
        <v>1</v>
      </c>
      <c r="I165">
        <f t="shared" si="36"/>
        <v>0</v>
      </c>
      <c r="J165">
        <f t="shared" si="37"/>
        <v>1</v>
      </c>
      <c r="K165">
        <f t="shared" si="38"/>
        <v>0</v>
      </c>
      <c r="L165">
        <f t="shared" si="39"/>
        <v>0</v>
      </c>
      <c r="M165">
        <f t="shared" si="40"/>
        <v>0</v>
      </c>
      <c r="N165">
        <v>3</v>
      </c>
      <c r="O165">
        <f t="shared" si="30"/>
        <v>0</v>
      </c>
      <c r="P165">
        <f t="shared" si="31"/>
        <v>0</v>
      </c>
      <c r="Q165">
        <f t="shared" si="32"/>
        <v>0</v>
      </c>
      <c r="R165">
        <f t="shared" si="33"/>
        <v>1</v>
      </c>
      <c r="S165">
        <f t="shared" si="34"/>
        <v>0</v>
      </c>
      <c r="T165">
        <f t="shared" si="41"/>
        <v>0</v>
      </c>
      <c r="V165" t="s">
        <v>39</v>
      </c>
      <c r="W165" t="s">
        <v>49</v>
      </c>
      <c r="X165" t="s">
        <v>41</v>
      </c>
      <c r="Y165" t="s">
        <v>47</v>
      </c>
      <c r="Z165">
        <v>1</v>
      </c>
      <c r="AA165">
        <v>1</v>
      </c>
      <c r="AB165">
        <v>0</v>
      </c>
      <c r="AC165" t="s">
        <v>44</v>
      </c>
      <c r="AD165" t="s">
        <v>44</v>
      </c>
      <c r="AE165">
        <f t="shared" si="42"/>
        <v>0</v>
      </c>
      <c r="AF165" t="s">
        <v>44</v>
      </c>
      <c r="AG165">
        <f t="shared" si="43"/>
        <v>0</v>
      </c>
      <c r="AH165" t="s">
        <v>44</v>
      </c>
      <c r="AI165" t="s">
        <v>43</v>
      </c>
      <c r="AJ165" t="s">
        <v>44</v>
      </c>
      <c r="AK165" t="s">
        <v>43</v>
      </c>
      <c r="AL165">
        <f t="shared" si="44"/>
        <v>1</v>
      </c>
      <c r="AM165" t="s">
        <v>44</v>
      </c>
      <c r="AN165">
        <v>5</v>
      </c>
      <c r="AO165">
        <v>3</v>
      </c>
      <c r="AP165">
        <v>3</v>
      </c>
      <c r="AQ165">
        <v>1</v>
      </c>
      <c r="AR165">
        <v>4</v>
      </c>
      <c r="AS165">
        <v>2</v>
      </c>
      <c r="AT165">
        <v>2</v>
      </c>
      <c r="AV165">
        <v>10</v>
      </c>
      <c r="AW165">
        <v>10</v>
      </c>
      <c r="AX165">
        <v>10</v>
      </c>
    </row>
    <row r="166" spans="1:50" x14ac:dyDescent="0.2">
      <c r="A166" t="s">
        <v>34</v>
      </c>
      <c r="B166" t="s">
        <v>51</v>
      </c>
      <c r="C166">
        <v>17</v>
      </c>
      <c r="D166" t="s">
        <v>53</v>
      </c>
      <c r="E166" t="s">
        <v>48</v>
      </c>
      <c r="F166" t="s">
        <v>45</v>
      </c>
      <c r="G166">
        <f t="shared" si="35"/>
        <v>1</v>
      </c>
      <c r="H166">
        <v>1</v>
      </c>
      <c r="I166">
        <f t="shared" si="36"/>
        <v>0</v>
      </c>
      <c r="J166">
        <f t="shared" si="37"/>
        <v>1</v>
      </c>
      <c r="K166">
        <f t="shared" si="38"/>
        <v>0</v>
      </c>
      <c r="L166">
        <f t="shared" si="39"/>
        <v>0</v>
      </c>
      <c r="M166">
        <f t="shared" si="40"/>
        <v>0</v>
      </c>
      <c r="N166">
        <v>1</v>
      </c>
      <c r="O166">
        <f t="shared" si="30"/>
        <v>0</v>
      </c>
      <c r="P166">
        <f t="shared" si="31"/>
        <v>1</v>
      </c>
      <c r="Q166">
        <f t="shared" si="32"/>
        <v>0</v>
      </c>
      <c r="R166">
        <f t="shared" si="33"/>
        <v>0</v>
      </c>
      <c r="S166">
        <f t="shared" si="34"/>
        <v>0</v>
      </c>
      <c r="T166">
        <f t="shared" si="41"/>
        <v>0</v>
      </c>
      <c r="V166" t="s">
        <v>46</v>
      </c>
      <c r="W166" t="s">
        <v>49</v>
      </c>
      <c r="X166" t="s">
        <v>41</v>
      </c>
      <c r="Y166" t="s">
        <v>42</v>
      </c>
      <c r="Z166">
        <v>4</v>
      </c>
      <c r="AA166">
        <v>2</v>
      </c>
      <c r="AB166">
        <v>3</v>
      </c>
      <c r="AC166" t="s">
        <v>44</v>
      </c>
      <c r="AD166" t="s">
        <v>44</v>
      </c>
      <c r="AE166">
        <f t="shared" si="42"/>
        <v>0</v>
      </c>
      <c r="AF166" t="s">
        <v>44</v>
      </c>
      <c r="AG166">
        <f t="shared" si="43"/>
        <v>0</v>
      </c>
      <c r="AH166" t="s">
        <v>43</v>
      </c>
      <c r="AI166" t="s">
        <v>43</v>
      </c>
      <c r="AJ166" t="s">
        <v>44</v>
      </c>
      <c r="AK166" t="s">
        <v>44</v>
      </c>
      <c r="AL166">
        <f t="shared" si="44"/>
        <v>0</v>
      </c>
      <c r="AM166" t="s">
        <v>43</v>
      </c>
      <c r="AN166">
        <v>5</v>
      </c>
      <c r="AO166">
        <v>3</v>
      </c>
      <c r="AP166">
        <v>5</v>
      </c>
      <c r="AQ166">
        <v>1</v>
      </c>
      <c r="AR166">
        <v>5</v>
      </c>
      <c r="AS166">
        <v>5</v>
      </c>
      <c r="AT166">
        <v>0</v>
      </c>
      <c r="AV166">
        <v>5</v>
      </c>
      <c r="AW166">
        <v>8</v>
      </c>
      <c r="AX166">
        <v>7</v>
      </c>
    </row>
    <row r="167" spans="1:50" x14ac:dyDescent="0.2">
      <c r="A167" t="s">
        <v>34</v>
      </c>
      <c r="B167" t="s">
        <v>51</v>
      </c>
      <c r="C167">
        <v>16</v>
      </c>
      <c r="D167" t="s">
        <v>36</v>
      </c>
      <c r="E167" t="s">
        <v>37</v>
      </c>
      <c r="F167" t="s">
        <v>45</v>
      </c>
      <c r="G167">
        <f t="shared" si="35"/>
        <v>1</v>
      </c>
      <c r="H167">
        <v>3</v>
      </c>
      <c r="I167">
        <f t="shared" si="36"/>
        <v>0</v>
      </c>
      <c r="J167">
        <f t="shared" si="37"/>
        <v>0</v>
      </c>
      <c r="K167">
        <f t="shared" si="38"/>
        <v>0</v>
      </c>
      <c r="L167">
        <f t="shared" si="39"/>
        <v>1</v>
      </c>
      <c r="M167">
        <f t="shared" si="40"/>
        <v>0</v>
      </c>
      <c r="N167">
        <v>2</v>
      </c>
      <c r="O167">
        <f t="shared" si="30"/>
        <v>0</v>
      </c>
      <c r="P167">
        <f t="shared" si="31"/>
        <v>0</v>
      </c>
      <c r="Q167">
        <f t="shared" si="32"/>
        <v>1</v>
      </c>
      <c r="R167">
        <f t="shared" si="33"/>
        <v>0</v>
      </c>
      <c r="S167">
        <f t="shared" si="34"/>
        <v>0</v>
      </c>
      <c r="T167">
        <f t="shared" si="41"/>
        <v>0</v>
      </c>
      <c r="V167" t="s">
        <v>49</v>
      </c>
      <c r="W167" t="s">
        <v>49</v>
      </c>
      <c r="X167" t="s">
        <v>41</v>
      </c>
      <c r="Y167" t="s">
        <v>42</v>
      </c>
      <c r="Z167">
        <v>2</v>
      </c>
      <c r="AA167">
        <v>1</v>
      </c>
      <c r="AB167">
        <v>1</v>
      </c>
      <c r="AC167" t="s">
        <v>44</v>
      </c>
      <c r="AD167" t="s">
        <v>43</v>
      </c>
      <c r="AE167">
        <f t="shared" si="42"/>
        <v>1</v>
      </c>
      <c r="AF167" t="s">
        <v>44</v>
      </c>
      <c r="AG167">
        <f t="shared" si="43"/>
        <v>0</v>
      </c>
      <c r="AH167" t="s">
        <v>43</v>
      </c>
      <c r="AI167" t="s">
        <v>44</v>
      </c>
      <c r="AJ167" t="s">
        <v>44</v>
      </c>
      <c r="AK167" t="s">
        <v>44</v>
      </c>
      <c r="AL167">
        <f t="shared" si="44"/>
        <v>0</v>
      </c>
      <c r="AM167" t="s">
        <v>44</v>
      </c>
      <c r="AN167">
        <v>4</v>
      </c>
      <c r="AO167">
        <v>5</v>
      </c>
      <c r="AP167">
        <v>2</v>
      </c>
      <c r="AQ167">
        <v>1</v>
      </c>
      <c r="AR167">
        <v>1</v>
      </c>
      <c r="AS167">
        <v>2</v>
      </c>
      <c r="AT167">
        <v>16</v>
      </c>
      <c r="AV167">
        <v>12</v>
      </c>
      <c r="AW167">
        <v>11</v>
      </c>
      <c r="AX167">
        <v>12</v>
      </c>
    </row>
    <row r="168" spans="1:50" x14ac:dyDescent="0.2">
      <c r="A168" t="s">
        <v>34</v>
      </c>
      <c r="B168" t="s">
        <v>51</v>
      </c>
      <c r="C168">
        <v>16</v>
      </c>
      <c r="D168" t="s">
        <v>36</v>
      </c>
      <c r="E168" t="s">
        <v>37</v>
      </c>
      <c r="F168" t="s">
        <v>45</v>
      </c>
      <c r="G168">
        <f t="shared" si="35"/>
        <v>1</v>
      </c>
      <c r="H168">
        <v>2</v>
      </c>
      <c r="I168">
        <f t="shared" si="36"/>
        <v>0</v>
      </c>
      <c r="J168">
        <f t="shared" si="37"/>
        <v>0</v>
      </c>
      <c r="K168">
        <f t="shared" si="38"/>
        <v>1</v>
      </c>
      <c r="L168">
        <f t="shared" si="39"/>
        <v>0</v>
      </c>
      <c r="M168">
        <f t="shared" si="40"/>
        <v>0</v>
      </c>
      <c r="N168">
        <v>2</v>
      </c>
      <c r="O168">
        <f t="shared" si="30"/>
        <v>0</v>
      </c>
      <c r="P168">
        <f t="shared" si="31"/>
        <v>0</v>
      </c>
      <c r="Q168">
        <f t="shared" si="32"/>
        <v>1</v>
      </c>
      <c r="R168">
        <f t="shared" si="33"/>
        <v>0</v>
      </c>
      <c r="S168">
        <f t="shared" si="34"/>
        <v>0</v>
      </c>
      <c r="T168">
        <f t="shared" si="41"/>
        <v>0</v>
      </c>
      <c r="V168" t="s">
        <v>46</v>
      </c>
      <c r="W168" t="s">
        <v>46</v>
      </c>
      <c r="X168" t="s">
        <v>41</v>
      </c>
      <c r="Y168" t="s">
        <v>47</v>
      </c>
      <c r="Z168">
        <v>1</v>
      </c>
      <c r="AA168">
        <v>2</v>
      </c>
      <c r="AB168">
        <v>0</v>
      </c>
      <c r="AC168" t="s">
        <v>44</v>
      </c>
      <c r="AD168" t="s">
        <v>44</v>
      </c>
      <c r="AE168">
        <f t="shared" si="42"/>
        <v>0</v>
      </c>
      <c r="AF168" t="s">
        <v>44</v>
      </c>
      <c r="AG168">
        <f t="shared" si="43"/>
        <v>0</v>
      </c>
      <c r="AH168" t="s">
        <v>44</v>
      </c>
      <c r="AI168" t="s">
        <v>43</v>
      </c>
      <c r="AJ168" t="s">
        <v>44</v>
      </c>
      <c r="AK168" t="s">
        <v>43</v>
      </c>
      <c r="AL168">
        <f t="shared" si="44"/>
        <v>1</v>
      </c>
      <c r="AM168" t="s">
        <v>44</v>
      </c>
      <c r="AN168">
        <v>4</v>
      </c>
      <c r="AO168">
        <v>3</v>
      </c>
      <c r="AP168">
        <v>5</v>
      </c>
      <c r="AQ168">
        <v>2</v>
      </c>
      <c r="AR168">
        <v>4</v>
      </c>
      <c r="AS168">
        <v>4</v>
      </c>
      <c r="AT168">
        <v>4</v>
      </c>
      <c r="AV168">
        <v>10</v>
      </c>
      <c r="AW168">
        <v>10</v>
      </c>
      <c r="AX168">
        <v>10</v>
      </c>
    </row>
    <row r="169" spans="1:50" x14ac:dyDescent="0.2">
      <c r="A169" t="s">
        <v>34</v>
      </c>
      <c r="B169" t="s">
        <v>35</v>
      </c>
      <c r="C169">
        <v>16</v>
      </c>
      <c r="D169" t="s">
        <v>36</v>
      </c>
      <c r="E169" t="s">
        <v>37</v>
      </c>
      <c r="F169" t="s">
        <v>45</v>
      </c>
      <c r="G169">
        <f t="shared" si="35"/>
        <v>1</v>
      </c>
      <c r="H169">
        <v>4</v>
      </c>
      <c r="I169">
        <f t="shared" si="36"/>
        <v>0</v>
      </c>
      <c r="J169">
        <f t="shared" si="37"/>
        <v>0</v>
      </c>
      <c r="K169">
        <f t="shared" si="38"/>
        <v>0</v>
      </c>
      <c r="L169">
        <f t="shared" si="39"/>
        <v>0</v>
      </c>
      <c r="M169">
        <f t="shared" si="40"/>
        <v>1</v>
      </c>
      <c r="N169">
        <v>2</v>
      </c>
      <c r="O169">
        <f t="shared" si="30"/>
        <v>0</v>
      </c>
      <c r="P169">
        <f t="shared" si="31"/>
        <v>0</v>
      </c>
      <c r="Q169">
        <f t="shared" si="32"/>
        <v>1</v>
      </c>
      <c r="R169">
        <f t="shared" si="33"/>
        <v>0</v>
      </c>
      <c r="S169">
        <f t="shared" si="34"/>
        <v>0</v>
      </c>
      <c r="T169">
        <f t="shared" si="41"/>
        <v>0</v>
      </c>
      <c r="V169" t="s">
        <v>29</v>
      </c>
      <c r="W169" t="s">
        <v>49</v>
      </c>
      <c r="X169" t="s">
        <v>50</v>
      </c>
      <c r="Y169" t="s">
        <v>47</v>
      </c>
      <c r="Z169">
        <v>1</v>
      </c>
      <c r="AA169">
        <v>2</v>
      </c>
      <c r="AB169">
        <v>0</v>
      </c>
      <c r="AC169" t="s">
        <v>44</v>
      </c>
      <c r="AD169" t="s">
        <v>44</v>
      </c>
      <c r="AE169">
        <f t="shared" si="42"/>
        <v>0</v>
      </c>
      <c r="AF169" t="s">
        <v>43</v>
      </c>
      <c r="AG169">
        <f t="shared" si="43"/>
        <v>1</v>
      </c>
      <c r="AH169" t="s">
        <v>44</v>
      </c>
      <c r="AI169" t="s">
        <v>43</v>
      </c>
      <c r="AJ169" t="s">
        <v>43</v>
      </c>
      <c r="AK169" t="s">
        <v>43</v>
      </c>
      <c r="AL169">
        <f t="shared" si="44"/>
        <v>1</v>
      </c>
      <c r="AM169" t="s">
        <v>43</v>
      </c>
      <c r="AN169">
        <v>4</v>
      </c>
      <c r="AO169">
        <v>2</v>
      </c>
      <c r="AP169">
        <v>3</v>
      </c>
      <c r="AQ169">
        <v>1</v>
      </c>
      <c r="AR169">
        <v>1</v>
      </c>
      <c r="AS169">
        <v>3</v>
      </c>
      <c r="AT169">
        <v>0</v>
      </c>
      <c r="AV169">
        <v>14</v>
      </c>
      <c r="AW169">
        <v>15</v>
      </c>
      <c r="AX169">
        <v>16</v>
      </c>
    </row>
    <row r="170" spans="1:50" x14ac:dyDescent="0.2">
      <c r="A170" t="s">
        <v>34</v>
      </c>
      <c r="B170" t="s">
        <v>35</v>
      </c>
      <c r="C170">
        <v>16</v>
      </c>
      <c r="D170" t="s">
        <v>36</v>
      </c>
      <c r="E170" t="s">
        <v>37</v>
      </c>
      <c r="F170" t="s">
        <v>45</v>
      </c>
      <c r="G170">
        <f t="shared" si="35"/>
        <v>1</v>
      </c>
      <c r="H170">
        <v>2</v>
      </c>
      <c r="I170">
        <f t="shared" si="36"/>
        <v>0</v>
      </c>
      <c r="J170">
        <f t="shared" si="37"/>
        <v>0</v>
      </c>
      <c r="K170">
        <f t="shared" si="38"/>
        <v>1</v>
      </c>
      <c r="L170">
        <f t="shared" si="39"/>
        <v>0</v>
      </c>
      <c r="M170">
        <f t="shared" si="40"/>
        <v>0</v>
      </c>
      <c r="N170">
        <v>2</v>
      </c>
      <c r="O170">
        <f t="shared" si="30"/>
        <v>0</v>
      </c>
      <c r="P170">
        <f t="shared" si="31"/>
        <v>0</v>
      </c>
      <c r="Q170">
        <f t="shared" si="32"/>
        <v>1</v>
      </c>
      <c r="R170">
        <f t="shared" si="33"/>
        <v>0</v>
      </c>
      <c r="S170">
        <f t="shared" si="34"/>
        <v>0</v>
      </c>
      <c r="T170">
        <f t="shared" si="41"/>
        <v>0</v>
      </c>
      <c r="V170" t="s">
        <v>46</v>
      </c>
      <c r="W170" t="s">
        <v>46</v>
      </c>
      <c r="X170" t="s">
        <v>50</v>
      </c>
      <c r="Y170" t="s">
        <v>42</v>
      </c>
      <c r="Z170">
        <v>1</v>
      </c>
      <c r="AA170">
        <v>2</v>
      </c>
      <c r="AB170">
        <v>0</v>
      </c>
      <c r="AC170" t="s">
        <v>44</v>
      </c>
      <c r="AD170" t="s">
        <v>43</v>
      </c>
      <c r="AE170">
        <f t="shared" si="42"/>
        <v>1</v>
      </c>
      <c r="AF170" t="s">
        <v>43</v>
      </c>
      <c r="AG170">
        <f t="shared" si="43"/>
        <v>1</v>
      </c>
      <c r="AH170" t="s">
        <v>44</v>
      </c>
      <c r="AI170" t="s">
        <v>44</v>
      </c>
      <c r="AJ170" t="s">
        <v>43</v>
      </c>
      <c r="AK170" t="s">
        <v>43</v>
      </c>
      <c r="AL170">
        <f t="shared" si="44"/>
        <v>1</v>
      </c>
      <c r="AM170" t="s">
        <v>44</v>
      </c>
      <c r="AN170">
        <v>5</v>
      </c>
      <c r="AO170">
        <v>1</v>
      </c>
      <c r="AP170">
        <v>5</v>
      </c>
      <c r="AQ170">
        <v>1</v>
      </c>
      <c r="AR170">
        <v>1</v>
      </c>
      <c r="AS170">
        <v>4</v>
      </c>
      <c r="AT170">
        <v>0</v>
      </c>
      <c r="AV170">
        <v>6</v>
      </c>
      <c r="AW170">
        <v>7</v>
      </c>
      <c r="AX170">
        <v>0</v>
      </c>
    </row>
    <row r="171" spans="1:50" x14ac:dyDescent="0.2">
      <c r="A171" t="s">
        <v>34</v>
      </c>
      <c r="B171" t="s">
        <v>35</v>
      </c>
      <c r="C171">
        <v>16</v>
      </c>
      <c r="D171" t="s">
        <v>36</v>
      </c>
      <c r="E171" t="s">
        <v>37</v>
      </c>
      <c r="F171" t="s">
        <v>45</v>
      </c>
      <c r="G171">
        <f t="shared" si="35"/>
        <v>1</v>
      </c>
      <c r="H171">
        <v>4</v>
      </c>
      <c r="I171">
        <f t="shared" si="36"/>
        <v>0</v>
      </c>
      <c r="J171">
        <f t="shared" si="37"/>
        <v>0</v>
      </c>
      <c r="K171">
        <f t="shared" si="38"/>
        <v>0</v>
      </c>
      <c r="L171">
        <f t="shared" si="39"/>
        <v>0</v>
      </c>
      <c r="M171">
        <f t="shared" si="40"/>
        <v>1</v>
      </c>
      <c r="N171">
        <v>4</v>
      </c>
      <c r="O171">
        <f t="shared" si="30"/>
        <v>0</v>
      </c>
      <c r="P171">
        <f t="shared" si="31"/>
        <v>0</v>
      </c>
      <c r="Q171">
        <f t="shared" si="32"/>
        <v>0</v>
      </c>
      <c r="R171">
        <f t="shared" si="33"/>
        <v>0</v>
      </c>
      <c r="S171">
        <f t="shared" si="34"/>
        <v>1</v>
      </c>
      <c r="T171">
        <f t="shared" si="41"/>
        <v>1</v>
      </c>
      <c r="V171" t="s">
        <v>29</v>
      </c>
      <c r="W171" t="s">
        <v>29</v>
      </c>
      <c r="X171" t="s">
        <v>52</v>
      </c>
      <c r="Y171" t="s">
        <v>42</v>
      </c>
      <c r="Z171">
        <v>1</v>
      </c>
      <c r="AA171">
        <v>2</v>
      </c>
      <c r="AB171">
        <v>0</v>
      </c>
      <c r="AC171" t="s">
        <v>44</v>
      </c>
      <c r="AD171" t="s">
        <v>43</v>
      </c>
      <c r="AE171">
        <f t="shared" si="42"/>
        <v>1</v>
      </c>
      <c r="AF171" t="s">
        <v>43</v>
      </c>
      <c r="AG171">
        <f t="shared" si="43"/>
        <v>1</v>
      </c>
      <c r="AH171" t="s">
        <v>44</v>
      </c>
      <c r="AI171" t="s">
        <v>43</v>
      </c>
      <c r="AJ171" t="s">
        <v>43</v>
      </c>
      <c r="AK171" t="s">
        <v>43</v>
      </c>
      <c r="AL171">
        <f t="shared" si="44"/>
        <v>1</v>
      </c>
      <c r="AM171" t="s">
        <v>43</v>
      </c>
      <c r="AN171">
        <v>4</v>
      </c>
      <c r="AO171">
        <v>4</v>
      </c>
      <c r="AP171">
        <v>2</v>
      </c>
      <c r="AQ171">
        <v>1</v>
      </c>
      <c r="AR171">
        <v>1</v>
      </c>
      <c r="AS171">
        <v>3</v>
      </c>
      <c r="AT171">
        <v>0</v>
      </c>
      <c r="AV171">
        <v>14</v>
      </c>
      <c r="AW171">
        <v>14</v>
      </c>
      <c r="AX171">
        <v>14</v>
      </c>
    </row>
    <row r="172" spans="1:50" x14ac:dyDescent="0.2">
      <c r="A172" t="s">
        <v>34</v>
      </c>
      <c r="B172" t="s">
        <v>51</v>
      </c>
      <c r="C172">
        <v>16</v>
      </c>
      <c r="D172" t="s">
        <v>36</v>
      </c>
      <c r="E172" t="s">
        <v>37</v>
      </c>
      <c r="F172" t="s">
        <v>45</v>
      </c>
      <c r="G172">
        <f t="shared" si="35"/>
        <v>1</v>
      </c>
      <c r="H172">
        <v>3</v>
      </c>
      <c r="I172">
        <f t="shared" si="36"/>
        <v>0</v>
      </c>
      <c r="J172">
        <f t="shared" si="37"/>
        <v>0</v>
      </c>
      <c r="K172">
        <f t="shared" si="38"/>
        <v>0</v>
      </c>
      <c r="L172">
        <f t="shared" si="39"/>
        <v>1</v>
      </c>
      <c r="M172">
        <f t="shared" si="40"/>
        <v>0</v>
      </c>
      <c r="N172">
        <v>4</v>
      </c>
      <c r="O172">
        <f t="shared" si="30"/>
        <v>0</v>
      </c>
      <c r="P172">
        <f t="shared" si="31"/>
        <v>0</v>
      </c>
      <c r="Q172">
        <f t="shared" si="32"/>
        <v>0</v>
      </c>
      <c r="R172">
        <f t="shared" si="33"/>
        <v>0</v>
      </c>
      <c r="S172">
        <f t="shared" si="34"/>
        <v>1</v>
      </c>
      <c r="T172">
        <f t="shared" si="41"/>
        <v>0</v>
      </c>
      <c r="V172" t="s">
        <v>46</v>
      </c>
      <c r="W172" t="s">
        <v>46</v>
      </c>
      <c r="X172" t="s">
        <v>41</v>
      </c>
      <c r="Y172" t="s">
        <v>47</v>
      </c>
      <c r="Z172">
        <v>3</v>
      </c>
      <c r="AA172">
        <v>1</v>
      </c>
      <c r="AB172">
        <v>2</v>
      </c>
      <c r="AC172" t="s">
        <v>44</v>
      </c>
      <c r="AD172" t="s">
        <v>43</v>
      </c>
      <c r="AE172">
        <f t="shared" si="42"/>
        <v>1</v>
      </c>
      <c r="AF172" t="s">
        <v>44</v>
      </c>
      <c r="AG172">
        <f t="shared" si="43"/>
        <v>0</v>
      </c>
      <c r="AH172" t="s">
        <v>43</v>
      </c>
      <c r="AI172" t="s">
        <v>44</v>
      </c>
      <c r="AJ172" t="s">
        <v>43</v>
      </c>
      <c r="AK172" t="s">
        <v>43</v>
      </c>
      <c r="AL172">
        <f t="shared" si="44"/>
        <v>1</v>
      </c>
      <c r="AM172" t="s">
        <v>44</v>
      </c>
      <c r="AN172">
        <v>3</v>
      </c>
      <c r="AO172">
        <v>4</v>
      </c>
      <c r="AP172">
        <v>5</v>
      </c>
      <c r="AQ172">
        <v>2</v>
      </c>
      <c r="AR172">
        <v>4</v>
      </c>
      <c r="AS172">
        <v>2</v>
      </c>
      <c r="AT172">
        <v>0</v>
      </c>
      <c r="AV172">
        <v>6</v>
      </c>
      <c r="AW172">
        <v>5</v>
      </c>
      <c r="AX172">
        <v>0</v>
      </c>
    </row>
    <row r="173" spans="1:50" x14ac:dyDescent="0.2">
      <c r="A173" t="s">
        <v>34</v>
      </c>
      <c r="B173" t="s">
        <v>51</v>
      </c>
      <c r="C173">
        <v>16</v>
      </c>
      <c r="D173" t="s">
        <v>36</v>
      </c>
      <c r="E173" t="s">
        <v>37</v>
      </c>
      <c r="F173" t="s">
        <v>45</v>
      </c>
      <c r="G173">
        <f t="shared" si="35"/>
        <v>1</v>
      </c>
      <c r="H173">
        <v>1</v>
      </c>
      <c r="I173">
        <f t="shared" si="36"/>
        <v>0</v>
      </c>
      <c r="J173">
        <f t="shared" si="37"/>
        <v>1</v>
      </c>
      <c r="K173">
        <f t="shared" si="38"/>
        <v>0</v>
      </c>
      <c r="L173">
        <f t="shared" si="39"/>
        <v>0</v>
      </c>
      <c r="M173">
        <f t="shared" si="40"/>
        <v>0</v>
      </c>
      <c r="N173">
        <v>0</v>
      </c>
      <c r="O173">
        <f t="shared" si="30"/>
        <v>1</v>
      </c>
      <c r="P173">
        <f t="shared" si="31"/>
        <v>0</v>
      </c>
      <c r="Q173">
        <f t="shared" si="32"/>
        <v>0</v>
      </c>
      <c r="R173">
        <f t="shared" si="33"/>
        <v>0</v>
      </c>
      <c r="S173">
        <f t="shared" si="34"/>
        <v>0</v>
      </c>
      <c r="T173">
        <f t="shared" si="41"/>
        <v>0</v>
      </c>
      <c r="V173" t="s">
        <v>46</v>
      </c>
      <c r="W173" t="s">
        <v>46</v>
      </c>
      <c r="X173" t="s">
        <v>52</v>
      </c>
      <c r="Y173" t="s">
        <v>42</v>
      </c>
      <c r="Z173">
        <v>2</v>
      </c>
      <c r="AA173">
        <v>2</v>
      </c>
      <c r="AB173">
        <v>0</v>
      </c>
      <c r="AC173" t="s">
        <v>44</v>
      </c>
      <c r="AD173" t="s">
        <v>43</v>
      </c>
      <c r="AE173">
        <f t="shared" si="42"/>
        <v>1</v>
      </c>
      <c r="AF173" t="s">
        <v>43</v>
      </c>
      <c r="AG173">
        <f t="shared" si="43"/>
        <v>1</v>
      </c>
      <c r="AH173" t="s">
        <v>43</v>
      </c>
      <c r="AI173" t="s">
        <v>43</v>
      </c>
      <c r="AJ173" t="s">
        <v>43</v>
      </c>
      <c r="AK173" t="s">
        <v>43</v>
      </c>
      <c r="AL173">
        <f t="shared" si="44"/>
        <v>1</v>
      </c>
      <c r="AM173" t="s">
        <v>43</v>
      </c>
      <c r="AN173">
        <v>4</v>
      </c>
      <c r="AO173">
        <v>3</v>
      </c>
      <c r="AP173">
        <v>2</v>
      </c>
      <c r="AQ173">
        <v>1</v>
      </c>
      <c r="AR173">
        <v>1</v>
      </c>
      <c r="AS173">
        <v>3</v>
      </c>
      <c r="AT173">
        <v>2</v>
      </c>
      <c r="AV173">
        <v>13</v>
      </c>
      <c r="AW173">
        <v>15</v>
      </c>
      <c r="AX173">
        <v>16</v>
      </c>
    </row>
    <row r="174" spans="1:50" x14ac:dyDescent="0.2">
      <c r="A174" t="s">
        <v>34</v>
      </c>
      <c r="B174" t="s">
        <v>51</v>
      </c>
      <c r="C174">
        <v>17</v>
      </c>
      <c r="D174" t="s">
        <v>36</v>
      </c>
      <c r="E174" t="s">
        <v>48</v>
      </c>
      <c r="F174" t="s">
        <v>45</v>
      </c>
      <c r="G174">
        <f t="shared" si="35"/>
        <v>1</v>
      </c>
      <c r="H174">
        <v>4</v>
      </c>
      <c r="I174">
        <f t="shared" si="36"/>
        <v>0</v>
      </c>
      <c r="J174">
        <f t="shared" si="37"/>
        <v>0</v>
      </c>
      <c r="K174">
        <f t="shared" si="38"/>
        <v>0</v>
      </c>
      <c r="L174">
        <f t="shared" si="39"/>
        <v>0</v>
      </c>
      <c r="M174">
        <f t="shared" si="40"/>
        <v>1</v>
      </c>
      <c r="N174">
        <v>4</v>
      </c>
      <c r="O174">
        <f t="shared" si="30"/>
        <v>0</v>
      </c>
      <c r="P174">
        <f t="shared" si="31"/>
        <v>0</v>
      </c>
      <c r="Q174">
        <f t="shared" si="32"/>
        <v>0</v>
      </c>
      <c r="R174">
        <f t="shared" si="33"/>
        <v>0</v>
      </c>
      <c r="S174">
        <f t="shared" si="34"/>
        <v>1</v>
      </c>
      <c r="T174">
        <f t="shared" si="41"/>
        <v>1</v>
      </c>
      <c r="V174" t="s">
        <v>40</v>
      </c>
      <c r="W174" t="s">
        <v>46</v>
      </c>
      <c r="X174" t="s">
        <v>52</v>
      </c>
      <c r="Y174" t="s">
        <v>42</v>
      </c>
      <c r="Z174">
        <v>1</v>
      </c>
      <c r="AA174">
        <v>2</v>
      </c>
      <c r="AB174">
        <v>0</v>
      </c>
      <c r="AC174" t="s">
        <v>44</v>
      </c>
      <c r="AD174" t="s">
        <v>43</v>
      </c>
      <c r="AE174">
        <f t="shared" si="42"/>
        <v>1</v>
      </c>
      <c r="AF174" t="s">
        <v>43</v>
      </c>
      <c r="AG174">
        <f t="shared" si="43"/>
        <v>1</v>
      </c>
      <c r="AH174" t="s">
        <v>43</v>
      </c>
      <c r="AI174" t="s">
        <v>43</v>
      </c>
      <c r="AJ174" t="s">
        <v>43</v>
      </c>
      <c r="AK174" t="s">
        <v>43</v>
      </c>
      <c r="AL174">
        <f t="shared" si="44"/>
        <v>1</v>
      </c>
      <c r="AM174" t="s">
        <v>44</v>
      </c>
      <c r="AN174">
        <v>4</v>
      </c>
      <c r="AO174">
        <v>4</v>
      </c>
      <c r="AP174">
        <v>4</v>
      </c>
      <c r="AQ174">
        <v>1</v>
      </c>
      <c r="AR174">
        <v>3</v>
      </c>
      <c r="AS174">
        <v>5</v>
      </c>
      <c r="AT174">
        <v>0</v>
      </c>
      <c r="AV174">
        <v>13</v>
      </c>
      <c r="AW174">
        <v>11</v>
      </c>
      <c r="AX174">
        <v>10</v>
      </c>
    </row>
    <row r="175" spans="1:50" x14ac:dyDescent="0.2">
      <c r="A175" t="s">
        <v>34</v>
      </c>
      <c r="B175" t="s">
        <v>35</v>
      </c>
      <c r="C175">
        <v>16</v>
      </c>
      <c r="D175" t="s">
        <v>36</v>
      </c>
      <c r="E175" t="s">
        <v>37</v>
      </c>
      <c r="F175" t="s">
        <v>45</v>
      </c>
      <c r="G175">
        <f t="shared" si="35"/>
        <v>1</v>
      </c>
      <c r="H175">
        <v>1</v>
      </c>
      <c r="I175">
        <f t="shared" si="36"/>
        <v>0</v>
      </c>
      <c r="J175">
        <f t="shared" si="37"/>
        <v>1</v>
      </c>
      <c r="K175">
        <f t="shared" si="38"/>
        <v>0</v>
      </c>
      <c r="L175">
        <f t="shared" si="39"/>
        <v>0</v>
      </c>
      <c r="M175">
        <f t="shared" si="40"/>
        <v>0</v>
      </c>
      <c r="N175">
        <v>3</v>
      </c>
      <c r="O175">
        <f t="shared" si="30"/>
        <v>0</v>
      </c>
      <c r="P175">
        <f t="shared" si="31"/>
        <v>0</v>
      </c>
      <c r="Q175">
        <f t="shared" si="32"/>
        <v>0</v>
      </c>
      <c r="R175">
        <f t="shared" si="33"/>
        <v>1</v>
      </c>
      <c r="S175">
        <f t="shared" si="34"/>
        <v>0</v>
      </c>
      <c r="T175">
        <f t="shared" si="41"/>
        <v>0</v>
      </c>
      <c r="V175" t="s">
        <v>39</v>
      </c>
      <c r="W175" t="s">
        <v>49</v>
      </c>
      <c r="X175" t="s">
        <v>50</v>
      </c>
      <c r="Y175" t="s">
        <v>42</v>
      </c>
      <c r="Z175">
        <v>1</v>
      </c>
      <c r="AA175">
        <v>2</v>
      </c>
      <c r="AB175">
        <v>3</v>
      </c>
      <c r="AC175" t="s">
        <v>44</v>
      </c>
      <c r="AD175" t="s">
        <v>44</v>
      </c>
      <c r="AE175">
        <f t="shared" si="42"/>
        <v>0</v>
      </c>
      <c r="AF175" t="s">
        <v>44</v>
      </c>
      <c r="AG175">
        <f t="shared" si="43"/>
        <v>0</v>
      </c>
      <c r="AH175" t="s">
        <v>43</v>
      </c>
      <c r="AI175" t="s">
        <v>44</v>
      </c>
      <c r="AJ175" t="s">
        <v>43</v>
      </c>
      <c r="AK175" t="s">
        <v>43</v>
      </c>
      <c r="AL175">
        <f t="shared" si="44"/>
        <v>1</v>
      </c>
      <c r="AM175" t="s">
        <v>43</v>
      </c>
      <c r="AN175">
        <v>4</v>
      </c>
      <c r="AO175">
        <v>3</v>
      </c>
      <c r="AP175">
        <v>5</v>
      </c>
      <c r="AQ175">
        <v>1</v>
      </c>
      <c r="AR175">
        <v>1</v>
      </c>
      <c r="AS175">
        <v>3</v>
      </c>
      <c r="AT175">
        <v>0</v>
      </c>
      <c r="AV175">
        <v>8</v>
      </c>
      <c r="AW175">
        <v>7</v>
      </c>
      <c r="AX175">
        <v>0</v>
      </c>
    </row>
    <row r="176" spans="1:50" x14ac:dyDescent="0.2">
      <c r="A176" t="s">
        <v>34</v>
      </c>
      <c r="B176" t="s">
        <v>35</v>
      </c>
      <c r="C176">
        <v>16</v>
      </c>
      <c r="D176" t="s">
        <v>36</v>
      </c>
      <c r="E176" t="s">
        <v>48</v>
      </c>
      <c r="F176" t="s">
        <v>45</v>
      </c>
      <c r="G176">
        <f t="shared" si="35"/>
        <v>1</v>
      </c>
      <c r="H176">
        <v>3</v>
      </c>
      <c r="I176">
        <f t="shared" si="36"/>
        <v>0</v>
      </c>
      <c r="J176">
        <f t="shared" si="37"/>
        <v>0</v>
      </c>
      <c r="K176">
        <f t="shared" si="38"/>
        <v>0</v>
      </c>
      <c r="L176">
        <f t="shared" si="39"/>
        <v>1</v>
      </c>
      <c r="M176">
        <f t="shared" si="40"/>
        <v>0</v>
      </c>
      <c r="N176">
        <v>3</v>
      </c>
      <c r="O176">
        <f t="shared" si="30"/>
        <v>0</v>
      </c>
      <c r="P176">
        <f t="shared" si="31"/>
        <v>0</v>
      </c>
      <c r="Q176">
        <f t="shared" si="32"/>
        <v>0</v>
      </c>
      <c r="R176">
        <f t="shared" si="33"/>
        <v>1</v>
      </c>
      <c r="S176">
        <f t="shared" si="34"/>
        <v>0</v>
      </c>
      <c r="T176">
        <f t="shared" si="41"/>
        <v>0</v>
      </c>
      <c r="V176" t="s">
        <v>46</v>
      </c>
      <c r="W176" t="s">
        <v>46</v>
      </c>
      <c r="X176" t="s">
        <v>52</v>
      </c>
      <c r="Y176" t="s">
        <v>42</v>
      </c>
      <c r="Z176">
        <v>2</v>
      </c>
      <c r="AA176">
        <v>2</v>
      </c>
      <c r="AB176">
        <v>0</v>
      </c>
      <c r="AC176" t="s">
        <v>44</v>
      </c>
      <c r="AD176" t="s">
        <v>43</v>
      </c>
      <c r="AE176">
        <f t="shared" si="42"/>
        <v>1</v>
      </c>
      <c r="AF176" t="s">
        <v>43</v>
      </c>
      <c r="AG176">
        <f t="shared" si="43"/>
        <v>1</v>
      </c>
      <c r="AH176" t="s">
        <v>43</v>
      </c>
      <c r="AI176" t="s">
        <v>43</v>
      </c>
      <c r="AJ176" t="s">
        <v>43</v>
      </c>
      <c r="AK176" t="s">
        <v>43</v>
      </c>
      <c r="AL176">
        <f t="shared" si="44"/>
        <v>1</v>
      </c>
      <c r="AM176" t="s">
        <v>44</v>
      </c>
      <c r="AN176">
        <v>4</v>
      </c>
      <c r="AO176">
        <v>4</v>
      </c>
      <c r="AP176">
        <v>5</v>
      </c>
      <c r="AQ176">
        <v>1</v>
      </c>
      <c r="AR176">
        <v>1</v>
      </c>
      <c r="AS176">
        <v>4</v>
      </c>
      <c r="AT176">
        <v>4</v>
      </c>
      <c r="AV176">
        <v>10</v>
      </c>
      <c r="AW176">
        <v>11</v>
      </c>
      <c r="AX176">
        <v>9</v>
      </c>
    </row>
    <row r="177" spans="1:50" x14ac:dyDescent="0.2">
      <c r="A177" t="s">
        <v>34</v>
      </c>
      <c r="B177" t="s">
        <v>51</v>
      </c>
      <c r="C177">
        <v>17</v>
      </c>
      <c r="D177" t="s">
        <v>36</v>
      </c>
      <c r="E177" t="s">
        <v>48</v>
      </c>
      <c r="F177" t="s">
        <v>45</v>
      </c>
      <c r="G177">
        <f t="shared" si="35"/>
        <v>1</v>
      </c>
      <c r="H177">
        <v>4</v>
      </c>
      <c r="I177">
        <f t="shared" si="36"/>
        <v>0</v>
      </c>
      <c r="J177">
        <f t="shared" si="37"/>
        <v>0</v>
      </c>
      <c r="K177">
        <f t="shared" si="38"/>
        <v>0</v>
      </c>
      <c r="L177">
        <f t="shared" si="39"/>
        <v>0</v>
      </c>
      <c r="M177">
        <f t="shared" si="40"/>
        <v>1</v>
      </c>
      <c r="N177">
        <v>3</v>
      </c>
      <c r="O177">
        <f t="shared" si="30"/>
        <v>0</v>
      </c>
      <c r="P177">
        <f t="shared" si="31"/>
        <v>0</v>
      </c>
      <c r="Q177">
        <f t="shared" si="32"/>
        <v>0</v>
      </c>
      <c r="R177">
        <f t="shared" si="33"/>
        <v>1</v>
      </c>
      <c r="S177">
        <f t="shared" si="34"/>
        <v>0</v>
      </c>
      <c r="T177">
        <f t="shared" si="41"/>
        <v>0</v>
      </c>
      <c r="V177" t="s">
        <v>40</v>
      </c>
      <c r="W177" t="s">
        <v>46</v>
      </c>
      <c r="X177" t="s">
        <v>41</v>
      </c>
      <c r="Y177" t="s">
        <v>42</v>
      </c>
      <c r="Z177">
        <v>2</v>
      </c>
      <c r="AA177">
        <v>2</v>
      </c>
      <c r="AB177">
        <v>0</v>
      </c>
      <c r="AC177" t="s">
        <v>44</v>
      </c>
      <c r="AD177" t="s">
        <v>44</v>
      </c>
      <c r="AE177">
        <f t="shared" si="42"/>
        <v>0</v>
      </c>
      <c r="AF177" t="s">
        <v>43</v>
      </c>
      <c r="AG177">
        <f t="shared" si="43"/>
        <v>1</v>
      </c>
      <c r="AH177" t="s">
        <v>43</v>
      </c>
      <c r="AI177" t="s">
        <v>43</v>
      </c>
      <c r="AJ177" t="s">
        <v>43</v>
      </c>
      <c r="AK177" t="s">
        <v>43</v>
      </c>
      <c r="AL177">
        <f t="shared" si="44"/>
        <v>1</v>
      </c>
      <c r="AM177" t="s">
        <v>44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4</v>
      </c>
      <c r="AT177">
        <v>4</v>
      </c>
      <c r="AV177">
        <v>10</v>
      </c>
      <c r="AW177">
        <v>9</v>
      </c>
      <c r="AX177">
        <v>9</v>
      </c>
    </row>
    <row r="178" spans="1:50" x14ac:dyDescent="0.2">
      <c r="A178" t="s">
        <v>34</v>
      </c>
      <c r="B178" t="s">
        <v>35</v>
      </c>
      <c r="C178">
        <v>16</v>
      </c>
      <c r="D178" t="s">
        <v>36</v>
      </c>
      <c r="E178" t="s">
        <v>37</v>
      </c>
      <c r="F178" t="s">
        <v>45</v>
      </c>
      <c r="G178">
        <f t="shared" si="35"/>
        <v>1</v>
      </c>
      <c r="H178">
        <v>2</v>
      </c>
      <c r="I178">
        <f t="shared" si="36"/>
        <v>0</v>
      </c>
      <c r="J178">
        <f t="shared" si="37"/>
        <v>0</v>
      </c>
      <c r="K178">
        <f t="shared" si="38"/>
        <v>1</v>
      </c>
      <c r="L178">
        <f t="shared" si="39"/>
        <v>0</v>
      </c>
      <c r="M178">
        <f t="shared" si="40"/>
        <v>0</v>
      </c>
      <c r="N178">
        <v>2</v>
      </c>
      <c r="O178">
        <f t="shared" si="30"/>
        <v>0</v>
      </c>
      <c r="P178">
        <f t="shared" si="31"/>
        <v>0</v>
      </c>
      <c r="Q178">
        <f t="shared" si="32"/>
        <v>1</v>
      </c>
      <c r="R178">
        <f t="shared" si="33"/>
        <v>0</v>
      </c>
      <c r="S178">
        <f t="shared" si="34"/>
        <v>0</v>
      </c>
      <c r="T178">
        <f t="shared" si="41"/>
        <v>0</v>
      </c>
      <c r="V178" t="s">
        <v>49</v>
      </c>
      <c r="W178" t="s">
        <v>46</v>
      </c>
      <c r="X178" t="s">
        <v>52</v>
      </c>
      <c r="Y178" t="s">
        <v>42</v>
      </c>
      <c r="Z178">
        <v>2</v>
      </c>
      <c r="AA178">
        <v>2</v>
      </c>
      <c r="AB178">
        <v>0</v>
      </c>
      <c r="AC178" t="s">
        <v>44</v>
      </c>
      <c r="AD178" t="s">
        <v>44</v>
      </c>
      <c r="AE178">
        <f t="shared" si="42"/>
        <v>0</v>
      </c>
      <c r="AF178" t="s">
        <v>43</v>
      </c>
      <c r="AG178">
        <f t="shared" si="43"/>
        <v>1</v>
      </c>
      <c r="AH178" t="s">
        <v>43</v>
      </c>
      <c r="AI178" t="s">
        <v>44</v>
      </c>
      <c r="AJ178" t="s">
        <v>43</v>
      </c>
      <c r="AK178" t="s">
        <v>43</v>
      </c>
      <c r="AL178">
        <f t="shared" si="44"/>
        <v>1</v>
      </c>
      <c r="AM178" t="s">
        <v>44</v>
      </c>
      <c r="AN178">
        <v>3</v>
      </c>
      <c r="AO178">
        <v>4</v>
      </c>
      <c r="AP178">
        <v>4</v>
      </c>
      <c r="AQ178">
        <v>1</v>
      </c>
      <c r="AR178">
        <v>4</v>
      </c>
      <c r="AS178">
        <v>5</v>
      </c>
      <c r="AT178">
        <v>2</v>
      </c>
      <c r="AV178">
        <v>13</v>
      </c>
      <c r="AW178">
        <v>13</v>
      </c>
      <c r="AX178">
        <v>11</v>
      </c>
    </row>
    <row r="179" spans="1:50" x14ac:dyDescent="0.2">
      <c r="A179" t="s">
        <v>34</v>
      </c>
      <c r="B179" t="s">
        <v>51</v>
      </c>
      <c r="C179">
        <v>17</v>
      </c>
      <c r="D179" t="s">
        <v>36</v>
      </c>
      <c r="E179" t="s">
        <v>37</v>
      </c>
      <c r="F179" t="s">
        <v>45</v>
      </c>
      <c r="G179">
        <f t="shared" si="35"/>
        <v>1</v>
      </c>
      <c r="H179">
        <v>3</v>
      </c>
      <c r="I179">
        <f t="shared" si="36"/>
        <v>0</v>
      </c>
      <c r="J179">
        <f t="shared" si="37"/>
        <v>0</v>
      </c>
      <c r="K179">
        <f t="shared" si="38"/>
        <v>0</v>
      </c>
      <c r="L179">
        <f t="shared" si="39"/>
        <v>1</v>
      </c>
      <c r="M179">
        <f t="shared" si="40"/>
        <v>0</v>
      </c>
      <c r="N179">
        <v>3</v>
      </c>
      <c r="O179">
        <f t="shared" si="30"/>
        <v>0</v>
      </c>
      <c r="P179">
        <f t="shared" si="31"/>
        <v>0</v>
      </c>
      <c r="Q179">
        <f t="shared" si="32"/>
        <v>0</v>
      </c>
      <c r="R179">
        <f t="shared" si="33"/>
        <v>1</v>
      </c>
      <c r="S179">
        <f t="shared" si="34"/>
        <v>0</v>
      </c>
      <c r="T179">
        <f t="shared" si="41"/>
        <v>0</v>
      </c>
      <c r="V179" t="s">
        <v>46</v>
      </c>
      <c r="W179" t="s">
        <v>46</v>
      </c>
      <c r="X179" t="s">
        <v>52</v>
      </c>
      <c r="Y179" t="s">
        <v>47</v>
      </c>
      <c r="Z179">
        <v>1</v>
      </c>
      <c r="AA179">
        <v>2</v>
      </c>
      <c r="AB179">
        <v>0</v>
      </c>
      <c r="AC179" t="s">
        <v>44</v>
      </c>
      <c r="AD179" t="s">
        <v>44</v>
      </c>
      <c r="AE179">
        <f t="shared" si="42"/>
        <v>0</v>
      </c>
      <c r="AF179" t="s">
        <v>44</v>
      </c>
      <c r="AG179">
        <f t="shared" si="43"/>
        <v>0</v>
      </c>
      <c r="AH179" t="s">
        <v>43</v>
      </c>
      <c r="AI179" t="s">
        <v>44</v>
      </c>
      <c r="AJ179" t="s">
        <v>43</v>
      </c>
      <c r="AK179" t="s">
        <v>43</v>
      </c>
      <c r="AL179">
        <f t="shared" si="44"/>
        <v>1</v>
      </c>
      <c r="AM179" t="s">
        <v>44</v>
      </c>
      <c r="AN179">
        <v>4</v>
      </c>
      <c r="AO179">
        <v>3</v>
      </c>
      <c r="AP179">
        <v>4</v>
      </c>
      <c r="AQ179">
        <v>1</v>
      </c>
      <c r="AR179">
        <v>4</v>
      </c>
      <c r="AS179">
        <v>4</v>
      </c>
      <c r="AT179">
        <v>4</v>
      </c>
      <c r="AV179">
        <v>6</v>
      </c>
      <c r="AW179">
        <v>5</v>
      </c>
      <c r="AX179">
        <v>6</v>
      </c>
    </row>
    <row r="180" spans="1:50" x14ac:dyDescent="0.2">
      <c r="A180" t="s">
        <v>34</v>
      </c>
      <c r="B180" t="s">
        <v>51</v>
      </c>
      <c r="C180">
        <v>16</v>
      </c>
      <c r="D180" t="s">
        <v>53</v>
      </c>
      <c r="E180" t="s">
        <v>37</v>
      </c>
      <c r="F180" t="s">
        <v>45</v>
      </c>
      <c r="G180">
        <f t="shared" si="35"/>
        <v>1</v>
      </c>
      <c r="H180">
        <v>4</v>
      </c>
      <c r="I180">
        <f t="shared" si="36"/>
        <v>0</v>
      </c>
      <c r="J180">
        <f t="shared" si="37"/>
        <v>0</v>
      </c>
      <c r="K180">
        <f t="shared" si="38"/>
        <v>0</v>
      </c>
      <c r="L180">
        <f t="shared" si="39"/>
        <v>0</v>
      </c>
      <c r="M180">
        <f t="shared" si="40"/>
        <v>1</v>
      </c>
      <c r="N180">
        <v>2</v>
      </c>
      <c r="O180">
        <f t="shared" si="30"/>
        <v>0</v>
      </c>
      <c r="P180">
        <f t="shared" si="31"/>
        <v>0</v>
      </c>
      <c r="Q180">
        <f t="shared" si="32"/>
        <v>1</v>
      </c>
      <c r="R180">
        <f t="shared" si="33"/>
        <v>0</v>
      </c>
      <c r="S180">
        <f t="shared" si="34"/>
        <v>0</v>
      </c>
      <c r="T180">
        <f t="shared" si="41"/>
        <v>0</v>
      </c>
      <c r="V180" t="s">
        <v>40</v>
      </c>
      <c r="W180" t="s">
        <v>49</v>
      </c>
      <c r="X180" t="s">
        <v>46</v>
      </c>
      <c r="Y180" t="s">
        <v>42</v>
      </c>
      <c r="Z180">
        <v>1</v>
      </c>
      <c r="AA180">
        <v>1</v>
      </c>
      <c r="AB180">
        <v>0</v>
      </c>
      <c r="AC180" t="s">
        <v>44</v>
      </c>
      <c r="AD180" t="s">
        <v>43</v>
      </c>
      <c r="AE180">
        <f t="shared" si="42"/>
        <v>1</v>
      </c>
      <c r="AF180" t="s">
        <v>44</v>
      </c>
      <c r="AG180">
        <f t="shared" si="43"/>
        <v>0</v>
      </c>
      <c r="AH180" t="s">
        <v>43</v>
      </c>
      <c r="AI180" t="s">
        <v>43</v>
      </c>
      <c r="AJ180" t="s">
        <v>43</v>
      </c>
      <c r="AK180" t="s">
        <v>43</v>
      </c>
      <c r="AL180">
        <f t="shared" si="44"/>
        <v>1</v>
      </c>
      <c r="AM180" t="s">
        <v>43</v>
      </c>
      <c r="AN180">
        <v>4</v>
      </c>
      <c r="AO180">
        <v>3</v>
      </c>
      <c r="AP180">
        <v>3</v>
      </c>
      <c r="AQ180">
        <v>3</v>
      </c>
      <c r="AR180">
        <v>4</v>
      </c>
      <c r="AS180">
        <v>3</v>
      </c>
      <c r="AT180">
        <v>10</v>
      </c>
      <c r="AV180">
        <v>10</v>
      </c>
      <c r="AW180">
        <v>8</v>
      </c>
      <c r="AX180">
        <v>9</v>
      </c>
    </row>
    <row r="181" spans="1:50" x14ac:dyDescent="0.2">
      <c r="A181" t="s">
        <v>34</v>
      </c>
      <c r="B181" t="s">
        <v>51</v>
      </c>
      <c r="C181">
        <v>17</v>
      </c>
      <c r="D181" t="s">
        <v>36</v>
      </c>
      <c r="E181" t="s">
        <v>37</v>
      </c>
      <c r="F181" t="s">
        <v>45</v>
      </c>
      <c r="G181">
        <f t="shared" si="35"/>
        <v>1</v>
      </c>
      <c r="H181">
        <v>4</v>
      </c>
      <c r="I181">
        <f t="shared" si="36"/>
        <v>0</v>
      </c>
      <c r="J181">
        <f t="shared" si="37"/>
        <v>0</v>
      </c>
      <c r="K181">
        <f t="shared" si="38"/>
        <v>0</v>
      </c>
      <c r="L181">
        <f t="shared" si="39"/>
        <v>0</v>
      </c>
      <c r="M181">
        <f t="shared" si="40"/>
        <v>1</v>
      </c>
      <c r="N181">
        <v>3</v>
      </c>
      <c r="O181">
        <f t="shared" si="30"/>
        <v>0</v>
      </c>
      <c r="P181">
        <f t="shared" si="31"/>
        <v>0</v>
      </c>
      <c r="Q181">
        <f t="shared" si="32"/>
        <v>0</v>
      </c>
      <c r="R181">
        <f t="shared" si="33"/>
        <v>1</v>
      </c>
      <c r="S181">
        <f t="shared" si="34"/>
        <v>0</v>
      </c>
      <c r="T181">
        <f t="shared" si="41"/>
        <v>0</v>
      </c>
      <c r="V181" t="s">
        <v>46</v>
      </c>
      <c r="W181" t="s">
        <v>46</v>
      </c>
      <c r="X181" t="s">
        <v>41</v>
      </c>
      <c r="Y181" t="s">
        <v>42</v>
      </c>
      <c r="Z181">
        <v>1</v>
      </c>
      <c r="AA181">
        <v>2</v>
      </c>
      <c r="AB181">
        <v>0</v>
      </c>
      <c r="AC181" t="s">
        <v>44</v>
      </c>
      <c r="AD181" t="s">
        <v>43</v>
      </c>
      <c r="AE181">
        <f t="shared" si="42"/>
        <v>1</v>
      </c>
      <c r="AF181" t="s">
        <v>44</v>
      </c>
      <c r="AG181">
        <f t="shared" si="43"/>
        <v>0</v>
      </c>
      <c r="AH181" t="s">
        <v>43</v>
      </c>
      <c r="AI181" t="s">
        <v>43</v>
      </c>
      <c r="AJ181" t="s">
        <v>43</v>
      </c>
      <c r="AK181" t="s">
        <v>43</v>
      </c>
      <c r="AL181">
        <f t="shared" si="44"/>
        <v>1</v>
      </c>
      <c r="AM181" t="s">
        <v>43</v>
      </c>
      <c r="AN181">
        <v>5</v>
      </c>
      <c r="AO181">
        <v>2</v>
      </c>
      <c r="AP181">
        <v>3</v>
      </c>
      <c r="AQ181">
        <v>1</v>
      </c>
      <c r="AR181">
        <v>1</v>
      </c>
      <c r="AS181">
        <v>2</v>
      </c>
      <c r="AT181">
        <v>4</v>
      </c>
      <c r="AV181">
        <v>10</v>
      </c>
      <c r="AW181">
        <v>10</v>
      </c>
      <c r="AX181">
        <v>11</v>
      </c>
    </row>
    <row r="182" spans="1:50" x14ac:dyDescent="0.2">
      <c r="A182" t="s">
        <v>34</v>
      </c>
      <c r="B182" t="s">
        <v>51</v>
      </c>
      <c r="C182">
        <v>16</v>
      </c>
      <c r="D182" t="s">
        <v>36</v>
      </c>
      <c r="E182" t="s">
        <v>37</v>
      </c>
      <c r="F182" t="s">
        <v>45</v>
      </c>
      <c r="G182">
        <f t="shared" si="35"/>
        <v>1</v>
      </c>
      <c r="H182">
        <v>4</v>
      </c>
      <c r="I182">
        <f t="shared" si="36"/>
        <v>0</v>
      </c>
      <c r="J182">
        <f t="shared" si="37"/>
        <v>0</v>
      </c>
      <c r="K182">
        <f t="shared" si="38"/>
        <v>0</v>
      </c>
      <c r="L182">
        <f t="shared" si="39"/>
        <v>0</v>
      </c>
      <c r="M182">
        <f t="shared" si="40"/>
        <v>1</v>
      </c>
      <c r="N182">
        <v>3</v>
      </c>
      <c r="O182">
        <f t="shared" si="30"/>
        <v>0</v>
      </c>
      <c r="P182">
        <f t="shared" si="31"/>
        <v>0</v>
      </c>
      <c r="Q182">
        <f t="shared" si="32"/>
        <v>0</v>
      </c>
      <c r="R182">
        <f t="shared" si="33"/>
        <v>1</v>
      </c>
      <c r="S182">
        <f t="shared" si="34"/>
        <v>0</v>
      </c>
      <c r="T182">
        <f t="shared" si="41"/>
        <v>0</v>
      </c>
      <c r="V182" t="s">
        <v>40</v>
      </c>
      <c r="W182" t="s">
        <v>46</v>
      </c>
      <c r="X182" t="s">
        <v>50</v>
      </c>
      <c r="Y182" t="s">
        <v>42</v>
      </c>
      <c r="Z182">
        <v>1</v>
      </c>
      <c r="AA182">
        <v>2</v>
      </c>
      <c r="AB182">
        <v>0</v>
      </c>
      <c r="AC182" t="s">
        <v>44</v>
      </c>
      <c r="AD182" t="s">
        <v>43</v>
      </c>
      <c r="AE182">
        <f t="shared" si="42"/>
        <v>1</v>
      </c>
      <c r="AF182" t="s">
        <v>43</v>
      </c>
      <c r="AG182">
        <f t="shared" si="43"/>
        <v>1</v>
      </c>
      <c r="AH182" t="s">
        <v>43</v>
      </c>
      <c r="AI182" t="s">
        <v>43</v>
      </c>
      <c r="AJ182" t="s">
        <v>43</v>
      </c>
      <c r="AK182" t="s">
        <v>43</v>
      </c>
      <c r="AL182">
        <f t="shared" si="44"/>
        <v>1</v>
      </c>
      <c r="AM182" t="s">
        <v>44</v>
      </c>
      <c r="AN182">
        <v>3</v>
      </c>
      <c r="AO182">
        <v>4</v>
      </c>
      <c r="AP182">
        <v>3</v>
      </c>
      <c r="AQ182">
        <v>2</v>
      </c>
      <c r="AR182">
        <v>3</v>
      </c>
      <c r="AS182">
        <v>3</v>
      </c>
      <c r="AT182">
        <v>10</v>
      </c>
      <c r="AV182">
        <v>9</v>
      </c>
      <c r="AW182">
        <v>8</v>
      </c>
      <c r="AX182">
        <v>8</v>
      </c>
    </row>
    <row r="183" spans="1:50" x14ac:dyDescent="0.2">
      <c r="A183" t="s">
        <v>34</v>
      </c>
      <c r="B183" t="s">
        <v>51</v>
      </c>
      <c r="C183">
        <v>16</v>
      </c>
      <c r="D183" t="s">
        <v>36</v>
      </c>
      <c r="E183" t="s">
        <v>37</v>
      </c>
      <c r="F183" t="s">
        <v>45</v>
      </c>
      <c r="G183">
        <f t="shared" si="35"/>
        <v>1</v>
      </c>
      <c r="H183">
        <v>3</v>
      </c>
      <c r="I183">
        <f t="shared" si="36"/>
        <v>0</v>
      </c>
      <c r="J183">
        <f t="shared" si="37"/>
        <v>0</v>
      </c>
      <c r="K183">
        <f t="shared" si="38"/>
        <v>0</v>
      </c>
      <c r="L183">
        <f t="shared" si="39"/>
        <v>1</v>
      </c>
      <c r="M183">
        <f t="shared" si="40"/>
        <v>0</v>
      </c>
      <c r="N183">
        <v>3</v>
      </c>
      <c r="O183">
        <f t="shared" si="30"/>
        <v>0</v>
      </c>
      <c r="P183">
        <f t="shared" si="31"/>
        <v>0</v>
      </c>
      <c r="Q183">
        <f t="shared" si="32"/>
        <v>0</v>
      </c>
      <c r="R183">
        <f t="shared" si="33"/>
        <v>1</v>
      </c>
      <c r="S183">
        <f t="shared" si="34"/>
        <v>0</v>
      </c>
      <c r="T183">
        <f t="shared" si="41"/>
        <v>0</v>
      </c>
      <c r="V183" t="s">
        <v>49</v>
      </c>
      <c r="W183" t="s">
        <v>46</v>
      </c>
      <c r="X183" t="s">
        <v>50</v>
      </c>
      <c r="Y183" t="s">
        <v>42</v>
      </c>
      <c r="Z183">
        <v>1</v>
      </c>
      <c r="AA183">
        <v>2</v>
      </c>
      <c r="AB183">
        <v>0</v>
      </c>
      <c r="AC183" t="s">
        <v>44</v>
      </c>
      <c r="AD183" t="s">
        <v>44</v>
      </c>
      <c r="AE183">
        <f t="shared" si="42"/>
        <v>0</v>
      </c>
      <c r="AF183" t="s">
        <v>43</v>
      </c>
      <c r="AG183">
        <f t="shared" si="43"/>
        <v>1</v>
      </c>
      <c r="AH183" t="s">
        <v>43</v>
      </c>
      <c r="AI183" t="s">
        <v>43</v>
      </c>
      <c r="AJ183" t="s">
        <v>43</v>
      </c>
      <c r="AK183" t="s">
        <v>43</v>
      </c>
      <c r="AL183">
        <f t="shared" si="44"/>
        <v>1</v>
      </c>
      <c r="AM183" t="s">
        <v>43</v>
      </c>
      <c r="AN183">
        <v>4</v>
      </c>
      <c r="AO183">
        <v>2</v>
      </c>
      <c r="AP183">
        <v>3</v>
      </c>
      <c r="AQ183">
        <v>1</v>
      </c>
      <c r="AR183">
        <v>2</v>
      </c>
      <c r="AS183">
        <v>3</v>
      </c>
      <c r="AT183">
        <v>2</v>
      </c>
      <c r="AV183">
        <v>12</v>
      </c>
      <c r="AW183">
        <v>13</v>
      </c>
      <c r="AX183">
        <v>12</v>
      </c>
    </row>
    <row r="184" spans="1:50" x14ac:dyDescent="0.2">
      <c r="A184" t="s">
        <v>34</v>
      </c>
      <c r="B184" t="s">
        <v>35</v>
      </c>
      <c r="C184">
        <v>17</v>
      </c>
      <c r="D184" t="s">
        <v>36</v>
      </c>
      <c r="E184" t="s">
        <v>37</v>
      </c>
      <c r="F184" t="s">
        <v>45</v>
      </c>
      <c r="G184">
        <f t="shared" si="35"/>
        <v>1</v>
      </c>
      <c r="H184">
        <v>2</v>
      </c>
      <c r="I184">
        <f t="shared" si="36"/>
        <v>0</v>
      </c>
      <c r="J184">
        <f t="shared" si="37"/>
        <v>0</v>
      </c>
      <c r="K184">
        <f t="shared" si="38"/>
        <v>1</v>
      </c>
      <c r="L184">
        <f t="shared" si="39"/>
        <v>0</v>
      </c>
      <c r="M184">
        <f t="shared" si="40"/>
        <v>0</v>
      </c>
      <c r="N184">
        <v>4</v>
      </c>
      <c r="O184">
        <f t="shared" si="30"/>
        <v>0</v>
      </c>
      <c r="P184">
        <f t="shared" si="31"/>
        <v>0</v>
      </c>
      <c r="Q184">
        <f t="shared" si="32"/>
        <v>0</v>
      </c>
      <c r="R184">
        <f t="shared" si="33"/>
        <v>0</v>
      </c>
      <c r="S184">
        <f t="shared" si="34"/>
        <v>1</v>
      </c>
      <c r="T184">
        <f t="shared" si="41"/>
        <v>0</v>
      </c>
      <c r="V184" t="s">
        <v>49</v>
      </c>
      <c r="W184" t="s">
        <v>49</v>
      </c>
      <c r="X184" t="s">
        <v>52</v>
      </c>
      <c r="Y184" t="s">
        <v>47</v>
      </c>
      <c r="Z184">
        <v>1</v>
      </c>
      <c r="AA184">
        <v>2</v>
      </c>
      <c r="AB184">
        <v>0</v>
      </c>
      <c r="AC184" t="s">
        <v>44</v>
      </c>
      <c r="AD184" t="s">
        <v>43</v>
      </c>
      <c r="AE184">
        <f t="shared" si="42"/>
        <v>1</v>
      </c>
      <c r="AF184" t="s">
        <v>44</v>
      </c>
      <c r="AG184">
        <f t="shared" si="43"/>
        <v>0</v>
      </c>
      <c r="AH184" t="s">
        <v>43</v>
      </c>
      <c r="AI184" t="s">
        <v>43</v>
      </c>
      <c r="AJ184" t="s">
        <v>43</v>
      </c>
      <c r="AK184" t="s">
        <v>44</v>
      </c>
      <c r="AL184">
        <f t="shared" si="44"/>
        <v>0</v>
      </c>
      <c r="AM184" t="s">
        <v>44</v>
      </c>
      <c r="AN184">
        <v>5</v>
      </c>
      <c r="AO184">
        <v>4</v>
      </c>
      <c r="AP184">
        <v>2</v>
      </c>
      <c r="AQ184">
        <v>2</v>
      </c>
      <c r="AR184">
        <v>3</v>
      </c>
      <c r="AS184">
        <v>5</v>
      </c>
      <c r="AT184">
        <v>0</v>
      </c>
      <c r="AV184">
        <v>16</v>
      </c>
      <c r="AW184">
        <v>17</v>
      </c>
      <c r="AX184">
        <v>17</v>
      </c>
    </row>
    <row r="185" spans="1:50" x14ac:dyDescent="0.2">
      <c r="A185" t="s">
        <v>34</v>
      </c>
      <c r="B185" t="s">
        <v>35</v>
      </c>
      <c r="C185">
        <v>17</v>
      </c>
      <c r="D185" t="s">
        <v>36</v>
      </c>
      <c r="E185" t="s">
        <v>48</v>
      </c>
      <c r="F185" t="s">
        <v>45</v>
      </c>
      <c r="G185">
        <f t="shared" si="35"/>
        <v>1</v>
      </c>
      <c r="H185">
        <v>3</v>
      </c>
      <c r="I185">
        <f t="shared" si="36"/>
        <v>0</v>
      </c>
      <c r="J185">
        <f t="shared" si="37"/>
        <v>0</v>
      </c>
      <c r="K185">
        <f t="shared" si="38"/>
        <v>0</v>
      </c>
      <c r="L185">
        <f t="shared" si="39"/>
        <v>1</v>
      </c>
      <c r="M185">
        <f t="shared" si="40"/>
        <v>0</v>
      </c>
      <c r="N185">
        <v>3</v>
      </c>
      <c r="O185">
        <f t="shared" si="30"/>
        <v>0</v>
      </c>
      <c r="P185">
        <f t="shared" si="31"/>
        <v>0</v>
      </c>
      <c r="Q185">
        <f t="shared" si="32"/>
        <v>0</v>
      </c>
      <c r="R185">
        <f t="shared" si="33"/>
        <v>1</v>
      </c>
      <c r="S185">
        <f t="shared" si="34"/>
        <v>0</v>
      </c>
      <c r="T185">
        <f t="shared" si="41"/>
        <v>0</v>
      </c>
      <c r="V185" t="s">
        <v>46</v>
      </c>
      <c r="W185" t="s">
        <v>46</v>
      </c>
      <c r="X185" t="s">
        <v>52</v>
      </c>
      <c r="Y185" t="s">
        <v>42</v>
      </c>
      <c r="Z185">
        <v>1</v>
      </c>
      <c r="AA185">
        <v>2</v>
      </c>
      <c r="AB185">
        <v>0</v>
      </c>
      <c r="AC185" t="s">
        <v>44</v>
      </c>
      <c r="AD185" t="s">
        <v>43</v>
      </c>
      <c r="AE185">
        <f t="shared" si="42"/>
        <v>1</v>
      </c>
      <c r="AF185" t="s">
        <v>44</v>
      </c>
      <c r="AG185">
        <f t="shared" si="43"/>
        <v>0</v>
      </c>
      <c r="AH185" t="s">
        <v>43</v>
      </c>
      <c r="AI185" t="s">
        <v>43</v>
      </c>
      <c r="AJ185" t="s">
        <v>43</v>
      </c>
      <c r="AK185" t="s">
        <v>43</v>
      </c>
      <c r="AL185">
        <f t="shared" si="44"/>
        <v>1</v>
      </c>
      <c r="AM185" t="s">
        <v>43</v>
      </c>
      <c r="AN185">
        <v>5</v>
      </c>
      <c r="AO185">
        <v>3</v>
      </c>
      <c r="AP185">
        <v>3</v>
      </c>
      <c r="AQ185">
        <v>2</v>
      </c>
      <c r="AR185">
        <v>3</v>
      </c>
      <c r="AS185">
        <v>1</v>
      </c>
      <c r="AT185">
        <v>56</v>
      </c>
      <c r="AV185">
        <v>9</v>
      </c>
      <c r="AW185">
        <v>9</v>
      </c>
      <c r="AX185">
        <v>8</v>
      </c>
    </row>
    <row r="186" spans="1:50" x14ac:dyDescent="0.2">
      <c r="A186" t="s">
        <v>34</v>
      </c>
      <c r="B186" t="s">
        <v>35</v>
      </c>
      <c r="C186">
        <v>16</v>
      </c>
      <c r="D186" t="s">
        <v>36</v>
      </c>
      <c r="E186" t="s">
        <v>37</v>
      </c>
      <c r="F186" t="s">
        <v>45</v>
      </c>
      <c r="G186">
        <f t="shared" si="35"/>
        <v>1</v>
      </c>
      <c r="H186">
        <v>3</v>
      </c>
      <c r="I186">
        <f t="shared" si="36"/>
        <v>0</v>
      </c>
      <c r="J186">
        <f t="shared" si="37"/>
        <v>0</v>
      </c>
      <c r="K186">
        <f t="shared" si="38"/>
        <v>0</v>
      </c>
      <c r="L186">
        <f t="shared" si="39"/>
        <v>1</v>
      </c>
      <c r="M186">
        <f t="shared" si="40"/>
        <v>0</v>
      </c>
      <c r="N186">
        <v>2</v>
      </c>
      <c r="O186">
        <f t="shared" si="30"/>
        <v>0</v>
      </c>
      <c r="P186">
        <f t="shared" si="31"/>
        <v>0</v>
      </c>
      <c r="Q186">
        <f t="shared" si="32"/>
        <v>1</v>
      </c>
      <c r="R186">
        <f t="shared" si="33"/>
        <v>0</v>
      </c>
      <c r="S186">
        <f t="shared" si="34"/>
        <v>0</v>
      </c>
      <c r="T186">
        <f t="shared" si="41"/>
        <v>0</v>
      </c>
      <c r="V186" t="s">
        <v>46</v>
      </c>
      <c r="W186" t="s">
        <v>46</v>
      </c>
      <c r="X186" t="s">
        <v>52</v>
      </c>
      <c r="Y186" t="s">
        <v>42</v>
      </c>
      <c r="Z186">
        <v>1</v>
      </c>
      <c r="AA186">
        <v>2</v>
      </c>
      <c r="AB186">
        <v>0</v>
      </c>
      <c r="AC186" t="s">
        <v>44</v>
      </c>
      <c r="AD186" t="s">
        <v>43</v>
      </c>
      <c r="AE186">
        <f t="shared" si="42"/>
        <v>1</v>
      </c>
      <c r="AF186" t="s">
        <v>43</v>
      </c>
      <c r="AG186">
        <f t="shared" si="43"/>
        <v>1</v>
      </c>
      <c r="AH186" t="s">
        <v>44</v>
      </c>
      <c r="AI186" t="s">
        <v>43</v>
      </c>
      <c r="AJ186" t="s">
        <v>43</v>
      </c>
      <c r="AK186" t="s">
        <v>43</v>
      </c>
      <c r="AL186">
        <f t="shared" si="44"/>
        <v>1</v>
      </c>
      <c r="AM186" t="s">
        <v>44</v>
      </c>
      <c r="AN186">
        <v>1</v>
      </c>
      <c r="AO186">
        <v>2</v>
      </c>
      <c r="AP186">
        <v>2</v>
      </c>
      <c r="AQ186">
        <v>1</v>
      </c>
      <c r="AR186">
        <v>2</v>
      </c>
      <c r="AS186">
        <v>1</v>
      </c>
      <c r="AT186">
        <v>14</v>
      </c>
      <c r="AV186">
        <v>12</v>
      </c>
      <c r="AW186">
        <v>13</v>
      </c>
      <c r="AX186">
        <v>12</v>
      </c>
    </row>
    <row r="187" spans="1:50" x14ac:dyDescent="0.2">
      <c r="A187" t="s">
        <v>34</v>
      </c>
      <c r="B187" t="s">
        <v>51</v>
      </c>
      <c r="C187">
        <v>17</v>
      </c>
      <c r="D187" t="s">
        <v>36</v>
      </c>
      <c r="E187" t="s">
        <v>37</v>
      </c>
      <c r="F187" t="s">
        <v>45</v>
      </c>
      <c r="G187">
        <f t="shared" si="35"/>
        <v>1</v>
      </c>
      <c r="H187">
        <v>3</v>
      </c>
      <c r="I187">
        <f t="shared" si="36"/>
        <v>0</v>
      </c>
      <c r="J187">
        <f t="shared" si="37"/>
        <v>0</v>
      </c>
      <c r="K187">
        <f t="shared" si="38"/>
        <v>0</v>
      </c>
      <c r="L187">
        <f t="shared" si="39"/>
        <v>1</v>
      </c>
      <c r="M187">
        <f t="shared" si="40"/>
        <v>0</v>
      </c>
      <c r="N187">
        <v>3</v>
      </c>
      <c r="O187">
        <f t="shared" si="30"/>
        <v>0</v>
      </c>
      <c r="P187">
        <f t="shared" si="31"/>
        <v>0</v>
      </c>
      <c r="Q187">
        <f t="shared" si="32"/>
        <v>0</v>
      </c>
      <c r="R187">
        <f t="shared" si="33"/>
        <v>1</v>
      </c>
      <c r="S187">
        <f t="shared" si="34"/>
        <v>0</v>
      </c>
      <c r="T187">
        <f t="shared" si="41"/>
        <v>0</v>
      </c>
      <c r="V187" t="s">
        <v>49</v>
      </c>
      <c r="W187" t="s">
        <v>49</v>
      </c>
      <c r="X187" t="s">
        <v>46</v>
      </c>
      <c r="Y187" t="s">
        <v>42</v>
      </c>
      <c r="Z187">
        <v>1</v>
      </c>
      <c r="AA187">
        <v>2</v>
      </c>
      <c r="AB187">
        <v>0</v>
      </c>
      <c r="AC187" t="s">
        <v>44</v>
      </c>
      <c r="AD187" t="s">
        <v>43</v>
      </c>
      <c r="AE187">
        <f t="shared" si="42"/>
        <v>1</v>
      </c>
      <c r="AF187" t="s">
        <v>44</v>
      </c>
      <c r="AG187">
        <f t="shared" si="43"/>
        <v>0</v>
      </c>
      <c r="AH187" t="s">
        <v>43</v>
      </c>
      <c r="AI187" t="s">
        <v>43</v>
      </c>
      <c r="AJ187" t="s">
        <v>43</v>
      </c>
      <c r="AK187" t="s">
        <v>43</v>
      </c>
      <c r="AL187">
        <f t="shared" si="44"/>
        <v>1</v>
      </c>
      <c r="AM187" t="s">
        <v>43</v>
      </c>
      <c r="AN187">
        <v>4</v>
      </c>
      <c r="AO187">
        <v>3</v>
      </c>
      <c r="AP187">
        <v>4</v>
      </c>
      <c r="AQ187">
        <v>2</v>
      </c>
      <c r="AR187">
        <v>3</v>
      </c>
      <c r="AS187">
        <v>4</v>
      </c>
      <c r="AT187">
        <v>12</v>
      </c>
      <c r="AV187">
        <v>12</v>
      </c>
      <c r="AW187">
        <v>12</v>
      </c>
      <c r="AX187">
        <v>11</v>
      </c>
    </row>
    <row r="188" spans="1:50" x14ac:dyDescent="0.2">
      <c r="A188" t="s">
        <v>34</v>
      </c>
      <c r="B188" t="s">
        <v>51</v>
      </c>
      <c r="C188">
        <v>16</v>
      </c>
      <c r="D188" t="s">
        <v>36</v>
      </c>
      <c r="E188" t="s">
        <v>37</v>
      </c>
      <c r="F188" t="s">
        <v>45</v>
      </c>
      <c r="G188">
        <f t="shared" si="35"/>
        <v>1</v>
      </c>
      <c r="H188">
        <v>1</v>
      </c>
      <c r="I188">
        <f t="shared" si="36"/>
        <v>0</v>
      </c>
      <c r="J188">
        <f t="shared" si="37"/>
        <v>1</v>
      </c>
      <c r="K188">
        <f t="shared" si="38"/>
        <v>0</v>
      </c>
      <c r="L188">
        <f t="shared" si="39"/>
        <v>0</v>
      </c>
      <c r="M188">
        <f t="shared" si="40"/>
        <v>0</v>
      </c>
      <c r="N188">
        <v>2</v>
      </c>
      <c r="O188">
        <f t="shared" si="30"/>
        <v>0</v>
      </c>
      <c r="P188">
        <f t="shared" si="31"/>
        <v>0</v>
      </c>
      <c r="Q188">
        <f t="shared" si="32"/>
        <v>1</v>
      </c>
      <c r="R188">
        <f t="shared" si="33"/>
        <v>0</v>
      </c>
      <c r="S188">
        <f t="shared" si="34"/>
        <v>0</v>
      </c>
      <c r="T188">
        <f t="shared" si="41"/>
        <v>0</v>
      </c>
      <c r="V188" t="s">
        <v>49</v>
      </c>
      <c r="W188" t="s">
        <v>49</v>
      </c>
      <c r="X188" t="s">
        <v>46</v>
      </c>
      <c r="Y188" t="s">
        <v>42</v>
      </c>
      <c r="Z188">
        <v>1</v>
      </c>
      <c r="AA188">
        <v>1</v>
      </c>
      <c r="AB188">
        <v>0</v>
      </c>
      <c r="AC188" t="s">
        <v>44</v>
      </c>
      <c r="AD188" t="s">
        <v>43</v>
      </c>
      <c r="AE188">
        <f t="shared" si="42"/>
        <v>1</v>
      </c>
      <c r="AF188" t="s">
        <v>43</v>
      </c>
      <c r="AG188">
        <f t="shared" si="43"/>
        <v>1</v>
      </c>
      <c r="AH188" t="s">
        <v>43</v>
      </c>
      <c r="AI188" t="s">
        <v>43</v>
      </c>
      <c r="AJ188" t="s">
        <v>43</v>
      </c>
      <c r="AK188" t="s">
        <v>43</v>
      </c>
      <c r="AL188">
        <f t="shared" si="44"/>
        <v>1</v>
      </c>
      <c r="AM188" t="s">
        <v>43</v>
      </c>
      <c r="AN188">
        <v>3</v>
      </c>
      <c r="AO188">
        <v>3</v>
      </c>
      <c r="AP188">
        <v>3</v>
      </c>
      <c r="AQ188">
        <v>1</v>
      </c>
      <c r="AR188">
        <v>2</v>
      </c>
      <c r="AS188">
        <v>3</v>
      </c>
      <c r="AT188">
        <v>2</v>
      </c>
      <c r="AV188">
        <v>11</v>
      </c>
      <c r="AW188">
        <v>12</v>
      </c>
      <c r="AX188">
        <v>11</v>
      </c>
    </row>
    <row r="189" spans="1:50" x14ac:dyDescent="0.2">
      <c r="A189" t="s">
        <v>34</v>
      </c>
      <c r="B189" t="s">
        <v>51</v>
      </c>
      <c r="C189">
        <v>16</v>
      </c>
      <c r="D189" t="s">
        <v>36</v>
      </c>
      <c r="E189" t="s">
        <v>48</v>
      </c>
      <c r="F189" t="s">
        <v>45</v>
      </c>
      <c r="G189">
        <f t="shared" si="35"/>
        <v>1</v>
      </c>
      <c r="H189">
        <v>2</v>
      </c>
      <c r="I189">
        <f t="shared" si="36"/>
        <v>0</v>
      </c>
      <c r="J189">
        <f t="shared" si="37"/>
        <v>0</v>
      </c>
      <c r="K189">
        <f t="shared" si="38"/>
        <v>1</v>
      </c>
      <c r="L189">
        <f t="shared" si="39"/>
        <v>0</v>
      </c>
      <c r="M189">
        <f t="shared" si="40"/>
        <v>0</v>
      </c>
      <c r="N189">
        <v>1</v>
      </c>
      <c r="O189">
        <f t="shared" si="30"/>
        <v>0</v>
      </c>
      <c r="P189">
        <f t="shared" si="31"/>
        <v>1</v>
      </c>
      <c r="Q189">
        <f t="shared" si="32"/>
        <v>0</v>
      </c>
      <c r="R189">
        <f t="shared" si="33"/>
        <v>0</v>
      </c>
      <c r="S189">
        <f t="shared" si="34"/>
        <v>0</v>
      </c>
      <c r="T189">
        <f t="shared" si="41"/>
        <v>0</v>
      </c>
      <c r="V189" t="s">
        <v>46</v>
      </c>
      <c r="W189" t="s">
        <v>46</v>
      </c>
      <c r="X189" t="s">
        <v>41</v>
      </c>
      <c r="Y189" t="s">
        <v>42</v>
      </c>
      <c r="Z189">
        <v>1</v>
      </c>
      <c r="AA189">
        <v>2</v>
      </c>
      <c r="AB189">
        <v>0</v>
      </c>
      <c r="AC189" t="s">
        <v>44</v>
      </c>
      <c r="AD189" t="s">
        <v>44</v>
      </c>
      <c r="AE189">
        <f t="shared" si="42"/>
        <v>0</v>
      </c>
      <c r="AF189" t="s">
        <v>43</v>
      </c>
      <c r="AG189">
        <f t="shared" si="43"/>
        <v>1</v>
      </c>
      <c r="AH189" t="s">
        <v>43</v>
      </c>
      <c r="AI189" t="s">
        <v>43</v>
      </c>
      <c r="AJ189" t="s">
        <v>43</v>
      </c>
      <c r="AK189" t="s">
        <v>43</v>
      </c>
      <c r="AL189">
        <f t="shared" si="44"/>
        <v>1</v>
      </c>
      <c r="AM189" t="s">
        <v>43</v>
      </c>
      <c r="AN189">
        <v>4</v>
      </c>
      <c r="AO189">
        <v>2</v>
      </c>
      <c r="AP189">
        <v>3</v>
      </c>
      <c r="AQ189">
        <v>1</v>
      </c>
      <c r="AR189">
        <v>2</v>
      </c>
      <c r="AS189">
        <v>5</v>
      </c>
      <c r="AT189">
        <v>0</v>
      </c>
      <c r="AV189">
        <v>15</v>
      </c>
      <c r="AW189">
        <v>15</v>
      </c>
      <c r="AX189">
        <v>15</v>
      </c>
    </row>
    <row r="190" spans="1:50" x14ac:dyDescent="0.2">
      <c r="A190" t="s">
        <v>34</v>
      </c>
      <c r="B190" t="s">
        <v>35</v>
      </c>
      <c r="C190">
        <v>17</v>
      </c>
      <c r="D190" t="s">
        <v>36</v>
      </c>
      <c r="E190" t="s">
        <v>37</v>
      </c>
      <c r="F190" t="s">
        <v>38</v>
      </c>
      <c r="G190">
        <f t="shared" si="35"/>
        <v>0</v>
      </c>
      <c r="H190">
        <v>3</v>
      </c>
      <c r="I190">
        <f t="shared" si="36"/>
        <v>0</v>
      </c>
      <c r="J190">
        <f t="shared" si="37"/>
        <v>0</v>
      </c>
      <c r="K190">
        <f t="shared" si="38"/>
        <v>0</v>
      </c>
      <c r="L190">
        <f t="shared" si="39"/>
        <v>1</v>
      </c>
      <c r="M190">
        <f t="shared" si="40"/>
        <v>0</v>
      </c>
      <c r="N190">
        <v>3</v>
      </c>
      <c r="O190">
        <f t="shared" si="30"/>
        <v>0</v>
      </c>
      <c r="P190">
        <f t="shared" si="31"/>
        <v>0</v>
      </c>
      <c r="Q190">
        <f t="shared" si="32"/>
        <v>0</v>
      </c>
      <c r="R190">
        <f t="shared" si="33"/>
        <v>1</v>
      </c>
      <c r="S190">
        <f t="shared" si="34"/>
        <v>0</v>
      </c>
      <c r="T190">
        <f t="shared" si="41"/>
        <v>0</v>
      </c>
      <c r="V190" t="s">
        <v>29</v>
      </c>
      <c r="W190" t="s">
        <v>46</v>
      </c>
      <c r="X190" t="s">
        <v>52</v>
      </c>
      <c r="Y190" t="s">
        <v>42</v>
      </c>
      <c r="Z190">
        <v>1</v>
      </c>
      <c r="AA190">
        <v>2</v>
      </c>
      <c r="AB190">
        <v>0</v>
      </c>
      <c r="AC190" t="s">
        <v>44</v>
      </c>
      <c r="AD190" t="s">
        <v>43</v>
      </c>
      <c r="AE190">
        <f t="shared" si="42"/>
        <v>1</v>
      </c>
      <c r="AF190" t="s">
        <v>44</v>
      </c>
      <c r="AG190">
        <f t="shared" si="43"/>
        <v>0</v>
      </c>
      <c r="AH190" t="s">
        <v>44</v>
      </c>
      <c r="AI190" t="s">
        <v>44</v>
      </c>
      <c r="AJ190" t="s">
        <v>43</v>
      </c>
      <c r="AK190" t="s">
        <v>43</v>
      </c>
      <c r="AL190">
        <f t="shared" si="44"/>
        <v>1</v>
      </c>
      <c r="AM190" t="s">
        <v>43</v>
      </c>
      <c r="AN190">
        <v>3</v>
      </c>
      <c r="AO190">
        <v>3</v>
      </c>
      <c r="AP190">
        <v>3</v>
      </c>
      <c r="AQ190">
        <v>1</v>
      </c>
      <c r="AR190">
        <v>3</v>
      </c>
      <c r="AS190">
        <v>3</v>
      </c>
      <c r="AT190">
        <v>6</v>
      </c>
      <c r="AV190">
        <v>8</v>
      </c>
      <c r="AW190">
        <v>7</v>
      </c>
      <c r="AX190">
        <v>9</v>
      </c>
    </row>
    <row r="191" spans="1:50" x14ac:dyDescent="0.2">
      <c r="A191" t="s">
        <v>34</v>
      </c>
      <c r="B191" t="s">
        <v>51</v>
      </c>
      <c r="C191">
        <v>17</v>
      </c>
      <c r="D191" t="s">
        <v>53</v>
      </c>
      <c r="E191" t="s">
        <v>37</v>
      </c>
      <c r="F191" t="s">
        <v>45</v>
      </c>
      <c r="G191">
        <f t="shared" si="35"/>
        <v>1</v>
      </c>
      <c r="H191">
        <v>1</v>
      </c>
      <c r="I191">
        <f t="shared" si="36"/>
        <v>0</v>
      </c>
      <c r="J191">
        <f t="shared" si="37"/>
        <v>1</v>
      </c>
      <c r="K191">
        <f t="shared" si="38"/>
        <v>0</v>
      </c>
      <c r="L191">
        <f t="shared" si="39"/>
        <v>0</v>
      </c>
      <c r="M191">
        <f t="shared" si="40"/>
        <v>0</v>
      </c>
      <c r="N191">
        <v>2</v>
      </c>
      <c r="O191">
        <f t="shared" si="30"/>
        <v>0</v>
      </c>
      <c r="P191">
        <f t="shared" si="31"/>
        <v>0</v>
      </c>
      <c r="Q191">
        <f t="shared" si="32"/>
        <v>1</v>
      </c>
      <c r="R191">
        <f t="shared" si="33"/>
        <v>0</v>
      </c>
      <c r="S191">
        <f t="shared" si="34"/>
        <v>0</v>
      </c>
      <c r="T191">
        <f t="shared" si="41"/>
        <v>0</v>
      </c>
      <c r="V191" t="s">
        <v>39</v>
      </c>
      <c r="W191" t="s">
        <v>46</v>
      </c>
      <c r="X191" t="s">
        <v>50</v>
      </c>
      <c r="Y191" t="s">
        <v>42</v>
      </c>
      <c r="Z191">
        <v>1</v>
      </c>
      <c r="AA191">
        <v>2</v>
      </c>
      <c r="AB191">
        <v>0</v>
      </c>
      <c r="AC191" t="s">
        <v>44</v>
      </c>
      <c r="AD191" t="s">
        <v>44</v>
      </c>
      <c r="AE191">
        <f t="shared" si="42"/>
        <v>0</v>
      </c>
      <c r="AF191" t="s">
        <v>44</v>
      </c>
      <c r="AG191">
        <f t="shared" si="43"/>
        <v>0</v>
      </c>
      <c r="AH191" t="s">
        <v>44</v>
      </c>
      <c r="AI191" t="s">
        <v>43</v>
      </c>
      <c r="AJ191" t="s">
        <v>43</v>
      </c>
      <c r="AK191" t="s">
        <v>44</v>
      </c>
      <c r="AL191">
        <f t="shared" si="44"/>
        <v>0</v>
      </c>
      <c r="AM191" t="s">
        <v>44</v>
      </c>
      <c r="AN191">
        <v>3</v>
      </c>
      <c r="AO191">
        <v>1</v>
      </c>
      <c r="AP191">
        <v>3</v>
      </c>
      <c r="AQ191">
        <v>1</v>
      </c>
      <c r="AR191">
        <v>5</v>
      </c>
      <c r="AS191">
        <v>3</v>
      </c>
      <c r="AT191">
        <v>4</v>
      </c>
      <c r="AV191">
        <v>8</v>
      </c>
      <c r="AW191">
        <v>9</v>
      </c>
      <c r="AX191">
        <v>10</v>
      </c>
    </row>
    <row r="192" spans="1:50" x14ac:dyDescent="0.2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f t="shared" si="35"/>
        <v>1</v>
      </c>
      <c r="H192">
        <v>2</v>
      </c>
      <c r="I192">
        <f t="shared" si="36"/>
        <v>0</v>
      </c>
      <c r="J192">
        <f t="shared" si="37"/>
        <v>0</v>
      </c>
      <c r="K192">
        <f t="shared" si="38"/>
        <v>1</v>
      </c>
      <c r="L192">
        <f t="shared" si="39"/>
        <v>0</v>
      </c>
      <c r="M192">
        <f t="shared" si="40"/>
        <v>0</v>
      </c>
      <c r="N192">
        <v>3</v>
      </c>
      <c r="O192">
        <f t="shared" si="30"/>
        <v>0</v>
      </c>
      <c r="P192">
        <f t="shared" si="31"/>
        <v>0</v>
      </c>
      <c r="Q192">
        <f t="shared" si="32"/>
        <v>0</v>
      </c>
      <c r="R192">
        <f t="shared" si="33"/>
        <v>1</v>
      </c>
      <c r="S192">
        <f t="shared" si="34"/>
        <v>0</v>
      </c>
      <c r="T192">
        <f t="shared" si="41"/>
        <v>0</v>
      </c>
      <c r="V192" t="s">
        <v>49</v>
      </c>
      <c r="W192" t="s">
        <v>49</v>
      </c>
      <c r="X192" t="s">
        <v>41</v>
      </c>
      <c r="Y192" t="s">
        <v>42</v>
      </c>
      <c r="Z192">
        <v>1</v>
      </c>
      <c r="AA192">
        <v>2</v>
      </c>
      <c r="AB192">
        <v>0</v>
      </c>
      <c r="AC192" t="s">
        <v>44</v>
      </c>
      <c r="AD192" t="s">
        <v>44</v>
      </c>
      <c r="AE192">
        <f t="shared" si="42"/>
        <v>0</v>
      </c>
      <c r="AF192" t="s">
        <v>44</v>
      </c>
      <c r="AG192">
        <f t="shared" si="43"/>
        <v>0</v>
      </c>
      <c r="AH192" t="s">
        <v>44</v>
      </c>
      <c r="AI192" t="s">
        <v>43</v>
      </c>
      <c r="AJ192" t="s">
        <v>43</v>
      </c>
      <c r="AK192" t="s">
        <v>43</v>
      </c>
      <c r="AL192">
        <f t="shared" si="44"/>
        <v>1</v>
      </c>
      <c r="AM192" t="s">
        <v>44</v>
      </c>
      <c r="AN192">
        <v>4</v>
      </c>
      <c r="AO192">
        <v>3</v>
      </c>
      <c r="AP192">
        <v>3</v>
      </c>
      <c r="AQ192">
        <v>1</v>
      </c>
      <c r="AR192">
        <v>1</v>
      </c>
      <c r="AS192">
        <v>2</v>
      </c>
      <c r="AT192">
        <v>10</v>
      </c>
      <c r="AV192">
        <v>11</v>
      </c>
      <c r="AW192">
        <v>12</v>
      </c>
      <c r="AX192">
        <v>13</v>
      </c>
    </row>
    <row r="193" spans="1:50" x14ac:dyDescent="0.2">
      <c r="A193" t="s">
        <v>34</v>
      </c>
      <c r="B193" t="s">
        <v>35</v>
      </c>
      <c r="C193">
        <v>17</v>
      </c>
      <c r="D193" t="s">
        <v>36</v>
      </c>
      <c r="E193" t="s">
        <v>37</v>
      </c>
      <c r="F193" t="s">
        <v>45</v>
      </c>
      <c r="G193">
        <f t="shared" si="35"/>
        <v>1</v>
      </c>
      <c r="H193">
        <v>1</v>
      </c>
      <c r="I193">
        <f t="shared" si="36"/>
        <v>0</v>
      </c>
      <c r="J193">
        <f t="shared" si="37"/>
        <v>1</v>
      </c>
      <c r="K193">
        <f t="shared" si="38"/>
        <v>0</v>
      </c>
      <c r="L193">
        <f t="shared" si="39"/>
        <v>0</v>
      </c>
      <c r="M193">
        <f t="shared" si="40"/>
        <v>0</v>
      </c>
      <c r="N193">
        <v>1</v>
      </c>
      <c r="O193">
        <f t="shared" si="30"/>
        <v>0</v>
      </c>
      <c r="P193">
        <f t="shared" si="31"/>
        <v>1</v>
      </c>
      <c r="Q193">
        <f t="shared" si="32"/>
        <v>0</v>
      </c>
      <c r="R193">
        <f t="shared" si="33"/>
        <v>0</v>
      </c>
      <c r="S193">
        <f t="shared" si="34"/>
        <v>0</v>
      </c>
      <c r="T193">
        <f t="shared" si="41"/>
        <v>0</v>
      </c>
      <c r="V193" t="s">
        <v>39</v>
      </c>
      <c r="W193" t="s">
        <v>49</v>
      </c>
      <c r="X193" t="s">
        <v>41</v>
      </c>
      <c r="Y193" t="s">
        <v>42</v>
      </c>
      <c r="Z193">
        <v>1</v>
      </c>
      <c r="AA193">
        <v>2</v>
      </c>
      <c r="AB193">
        <v>0</v>
      </c>
      <c r="AC193" t="s">
        <v>44</v>
      </c>
      <c r="AD193" t="s">
        <v>44</v>
      </c>
      <c r="AE193">
        <f t="shared" si="42"/>
        <v>0</v>
      </c>
      <c r="AF193" t="s">
        <v>44</v>
      </c>
      <c r="AG193">
        <f t="shared" si="43"/>
        <v>0</v>
      </c>
      <c r="AH193" t="s">
        <v>43</v>
      </c>
      <c r="AI193" t="s">
        <v>43</v>
      </c>
      <c r="AJ193" t="s">
        <v>43</v>
      </c>
      <c r="AK193" t="s">
        <v>43</v>
      </c>
      <c r="AL193">
        <f t="shared" si="44"/>
        <v>1</v>
      </c>
      <c r="AM193" t="s">
        <v>44</v>
      </c>
      <c r="AN193">
        <v>5</v>
      </c>
      <c r="AO193">
        <v>3</v>
      </c>
      <c r="AP193">
        <v>3</v>
      </c>
      <c r="AQ193">
        <v>1</v>
      </c>
      <c r="AR193">
        <v>1</v>
      </c>
      <c r="AS193">
        <v>3</v>
      </c>
      <c r="AT193">
        <v>0</v>
      </c>
      <c r="AV193">
        <v>8</v>
      </c>
      <c r="AW193">
        <v>8</v>
      </c>
      <c r="AX193">
        <v>9</v>
      </c>
    </row>
    <row r="194" spans="1:50" x14ac:dyDescent="0.2">
      <c r="A194" t="s">
        <v>34</v>
      </c>
      <c r="B194" t="s">
        <v>51</v>
      </c>
      <c r="C194">
        <v>17</v>
      </c>
      <c r="D194" t="s">
        <v>36</v>
      </c>
      <c r="E194" t="s">
        <v>37</v>
      </c>
      <c r="F194" t="s">
        <v>45</v>
      </c>
      <c r="G194">
        <f t="shared" si="35"/>
        <v>1</v>
      </c>
      <c r="H194">
        <v>1</v>
      </c>
      <c r="I194">
        <f t="shared" si="36"/>
        <v>0</v>
      </c>
      <c r="J194">
        <f t="shared" si="37"/>
        <v>1</v>
      </c>
      <c r="K194">
        <f t="shared" si="38"/>
        <v>0</v>
      </c>
      <c r="L194">
        <f t="shared" si="39"/>
        <v>0</v>
      </c>
      <c r="M194">
        <f t="shared" si="40"/>
        <v>0</v>
      </c>
      <c r="N194">
        <v>2</v>
      </c>
      <c r="O194">
        <f t="shared" ref="O194:O257" si="45" xml:space="preserve"> IF($N194=0,1,0)</f>
        <v>0</v>
      </c>
      <c r="P194">
        <f t="shared" ref="P194:P257" si="46" xml:space="preserve"> IF($N194=1,1,0)</f>
        <v>0</v>
      </c>
      <c r="Q194">
        <f t="shared" ref="Q194:Q257" si="47" xml:space="preserve"> IF($N194=2,1,0)</f>
        <v>1</v>
      </c>
      <c r="R194">
        <f t="shared" ref="R194:R257" si="48" xml:space="preserve"> IF($N194=3,1,0)</f>
        <v>0</v>
      </c>
      <c r="S194">
        <f t="shared" ref="S194:S257" si="49" xml:space="preserve"> IF($N194=4,1,0)</f>
        <v>0</v>
      </c>
      <c r="T194">
        <f t="shared" si="41"/>
        <v>0</v>
      </c>
      <c r="V194" t="s">
        <v>39</v>
      </c>
      <c r="W194" t="s">
        <v>49</v>
      </c>
      <c r="X194" t="s">
        <v>46</v>
      </c>
      <c r="Y194" t="s">
        <v>46</v>
      </c>
      <c r="Z194">
        <v>2</v>
      </c>
      <c r="AA194">
        <v>2</v>
      </c>
      <c r="AB194">
        <v>0</v>
      </c>
      <c r="AC194" t="s">
        <v>44</v>
      </c>
      <c r="AD194" t="s">
        <v>44</v>
      </c>
      <c r="AE194">
        <f t="shared" si="42"/>
        <v>0</v>
      </c>
      <c r="AF194" t="s">
        <v>43</v>
      </c>
      <c r="AG194">
        <f t="shared" si="43"/>
        <v>1</v>
      </c>
      <c r="AH194" t="s">
        <v>43</v>
      </c>
      <c r="AI194" t="s">
        <v>44</v>
      </c>
      <c r="AJ194" t="s">
        <v>43</v>
      </c>
      <c r="AK194" t="s">
        <v>43</v>
      </c>
      <c r="AL194">
        <f t="shared" si="44"/>
        <v>1</v>
      </c>
      <c r="AM194" t="s">
        <v>44</v>
      </c>
      <c r="AN194">
        <v>4</v>
      </c>
      <c r="AO194">
        <v>4</v>
      </c>
      <c r="AP194">
        <v>4</v>
      </c>
      <c r="AQ194">
        <v>4</v>
      </c>
      <c r="AR194">
        <v>5</v>
      </c>
      <c r="AS194">
        <v>5</v>
      </c>
      <c r="AT194">
        <v>12</v>
      </c>
      <c r="AV194">
        <v>7</v>
      </c>
      <c r="AW194">
        <v>8</v>
      </c>
      <c r="AX194">
        <v>8</v>
      </c>
    </row>
    <row r="195" spans="1:50" x14ac:dyDescent="0.2">
      <c r="A195" t="s">
        <v>34</v>
      </c>
      <c r="B195" t="s">
        <v>51</v>
      </c>
      <c r="C195">
        <v>16</v>
      </c>
      <c r="D195" t="s">
        <v>53</v>
      </c>
      <c r="E195" t="s">
        <v>37</v>
      </c>
      <c r="F195" t="s">
        <v>45</v>
      </c>
      <c r="G195">
        <f t="shared" ref="G195:G258" si="50">IF(F195="T",1,0)</f>
        <v>1</v>
      </c>
      <c r="H195">
        <v>3</v>
      </c>
      <c r="I195">
        <f t="shared" ref="I195:I258" si="51" xml:space="preserve"> IF($H195=0,1,0)</f>
        <v>0</v>
      </c>
      <c r="J195">
        <f t="shared" ref="J195:J258" si="52" xml:space="preserve"> IF($H195=1,1,0)</f>
        <v>0</v>
      </c>
      <c r="K195">
        <f t="shared" ref="K195:K258" si="53" xml:space="preserve"> IF($H195=2,1,0)</f>
        <v>0</v>
      </c>
      <c r="L195">
        <f t="shared" ref="L195:L258" si="54" xml:space="preserve"> IF($H195=3,1,0)</f>
        <v>1</v>
      </c>
      <c r="M195">
        <f t="shared" ref="M195:M258" si="55" xml:space="preserve"> IF($H195=4,1,0)</f>
        <v>0</v>
      </c>
      <c r="N195">
        <v>3</v>
      </c>
      <c r="O195">
        <f t="shared" si="45"/>
        <v>0</v>
      </c>
      <c r="P195">
        <f t="shared" si="46"/>
        <v>0</v>
      </c>
      <c r="Q195">
        <f t="shared" si="47"/>
        <v>0</v>
      </c>
      <c r="R195">
        <f t="shared" si="48"/>
        <v>1</v>
      </c>
      <c r="S195">
        <f t="shared" si="49"/>
        <v>0</v>
      </c>
      <c r="T195">
        <f t="shared" ref="T195:T258" si="56">IF(AND(M195=1,S195=1),1,0)</f>
        <v>0</v>
      </c>
      <c r="V195" t="s">
        <v>49</v>
      </c>
      <c r="W195" t="s">
        <v>49</v>
      </c>
      <c r="X195" t="s">
        <v>52</v>
      </c>
      <c r="Y195" t="s">
        <v>42</v>
      </c>
      <c r="Z195">
        <v>1</v>
      </c>
      <c r="AA195">
        <v>1</v>
      </c>
      <c r="AB195">
        <v>0</v>
      </c>
      <c r="AC195" t="s">
        <v>44</v>
      </c>
      <c r="AD195" t="s">
        <v>43</v>
      </c>
      <c r="AE195">
        <f t="shared" ref="AE195:AE258" si="57">IF(AD195="yes",1,0)</f>
        <v>1</v>
      </c>
      <c r="AF195" t="s">
        <v>44</v>
      </c>
      <c r="AG195">
        <f t="shared" ref="AG195:AG258" si="58">IF(AF195="yes",1,0)</f>
        <v>0</v>
      </c>
      <c r="AH195" t="s">
        <v>43</v>
      </c>
      <c r="AI195" t="s">
        <v>43</v>
      </c>
      <c r="AJ195" t="s">
        <v>43</v>
      </c>
      <c r="AK195" t="s">
        <v>43</v>
      </c>
      <c r="AL195">
        <f t="shared" ref="AL195:AL258" si="59">IF(AK195="yes",1,0)</f>
        <v>1</v>
      </c>
      <c r="AM195" t="s">
        <v>44</v>
      </c>
      <c r="AN195">
        <v>4</v>
      </c>
      <c r="AO195">
        <v>3</v>
      </c>
      <c r="AP195">
        <v>2</v>
      </c>
      <c r="AQ195">
        <v>3</v>
      </c>
      <c r="AR195">
        <v>4</v>
      </c>
      <c r="AS195">
        <v>5</v>
      </c>
      <c r="AT195">
        <v>8</v>
      </c>
      <c r="AV195">
        <v>8</v>
      </c>
      <c r="AW195">
        <v>9</v>
      </c>
      <c r="AX195">
        <v>10</v>
      </c>
    </row>
    <row r="196" spans="1:50" x14ac:dyDescent="0.2">
      <c r="A196" t="s">
        <v>34</v>
      </c>
      <c r="B196" t="s">
        <v>51</v>
      </c>
      <c r="C196">
        <v>16</v>
      </c>
      <c r="D196" t="s">
        <v>36</v>
      </c>
      <c r="E196" t="s">
        <v>37</v>
      </c>
      <c r="F196" t="s">
        <v>45</v>
      </c>
      <c r="G196">
        <f t="shared" si="50"/>
        <v>1</v>
      </c>
      <c r="H196">
        <v>2</v>
      </c>
      <c r="I196">
        <f t="shared" si="51"/>
        <v>0</v>
      </c>
      <c r="J196">
        <f t="shared" si="52"/>
        <v>0</v>
      </c>
      <c r="K196">
        <f t="shared" si="53"/>
        <v>1</v>
      </c>
      <c r="L196">
        <f t="shared" si="54"/>
        <v>0</v>
      </c>
      <c r="M196">
        <f t="shared" si="55"/>
        <v>0</v>
      </c>
      <c r="N196">
        <v>3</v>
      </c>
      <c r="O196">
        <f t="shared" si="45"/>
        <v>0</v>
      </c>
      <c r="P196">
        <f t="shared" si="46"/>
        <v>0</v>
      </c>
      <c r="Q196">
        <f t="shared" si="47"/>
        <v>0</v>
      </c>
      <c r="R196">
        <f t="shared" si="48"/>
        <v>1</v>
      </c>
      <c r="S196">
        <f t="shared" si="49"/>
        <v>0</v>
      </c>
      <c r="T196">
        <f t="shared" si="56"/>
        <v>0</v>
      </c>
      <c r="V196" t="s">
        <v>46</v>
      </c>
      <c r="W196" t="s">
        <v>46</v>
      </c>
      <c r="X196" t="s">
        <v>50</v>
      </c>
      <c r="Y196" t="s">
        <v>47</v>
      </c>
      <c r="Z196">
        <v>2</v>
      </c>
      <c r="AA196">
        <v>1</v>
      </c>
      <c r="AB196">
        <v>0</v>
      </c>
      <c r="AC196" t="s">
        <v>44</v>
      </c>
      <c r="AD196" t="s">
        <v>44</v>
      </c>
      <c r="AE196">
        <f t="shared" si="57"/>
        <v>0</v>
      </c>
      <c r="AF196" t="s">
        <v>44</v>
      </c>
      <c r="AG196">
        <f t="shared" si="58"/>
        <v>0</v>
      </c>
      <c r="AH196" t="s">
        <v>44</v>
      </c>
      <c r="AI196" t="s">
        <v>43</v>
      </c>
      <c r="AJ196" t="s">
        <v>43</v>
      </c>
      <c r="AK196" t="s">
        <v>43</v>
      </c>
      <c r="AL196">
        <f t="shared" si="59"/>
        <v>1</v>
      </c>
      <c r="AM196" t="s">
        <v>44</v>
      </c>
      <c r="AN196">
        <v>5</v>
      </c>
      <c r="AO196">
        <v>3</v>
      </c>
      <c r="AP196">
        <v>3</v>
      </c>
      <c r="AQ196">
        <v>1</v>
      </c>
      <c r="AR196">
        <v>1</v>
      </c>
      <c r="AS196">
        <v>3</v>
      </c>
      <c r="AT196">
        <v>0</v>
      </c>
      <c r="AV196">
        <v>13</v>
      </c>
      <c r="AW196">
        <v>14</v>
      </c>
      <c r="AX196">
        <v>14</v>
      </c>
    </row>
    <row r="197" spans="1:50" x14ac:dyDescent="0.2">
      <c r="A197" t="s">
        <v>34</v>
      </c>
      <c r="B197" t="s">
        <v>35</v>
      </c>
      <c r="C197">
        <v>17</v>
      </c>
      <c r="D197" t="s">
        <v>36</v>
      </c>
      <c r="E197" t="s">
        <v>48</v>
      </c>
      <c r="F197" t="s">
        <v>45</v>
      </c>
      <c r="G197">
        <f t="shared" si="50"/>
        <v>1</v>
      </c>
      <c r="H197">
        <v>2</v>
      </c>
      <c r="I197">
        <f t="shared" si="51"/>
        <v>0</v>
      </c>
      <c r="J197">
        <f t="shared" si="52"/>
        <v>0</v>
      </c>
      <c r="K197">
        <f t="shared" si="53"/>
        <v>1</v>
      </c>
      <c r="L197">
        <f t="shared" si="54"/>
        <v>0</v>
      </c>
      <c r="M197">
        <f t="shared" si="55"/>
        <v>0</v>
      </c>
      <c r="N197">
        <v>4</v>
      </c>
      <c r="O197">
        <f t="shared" si="45"/>
        <v>0</v>
      </c>
      <c r="P197">
        <f t="shared" si="46"/>
        <v>0</v>
      </c>
      <c r="Q197">
        <f t="shared" si="47"/>
        <v>0</v>
      </c>
      <c r="R197">
        <f t="shared" si="48"/>
        <v>0</v>
      </c>
      <c r="S197">
        <f t="shared" si="49"/>
        <v>1</v>
      </c>
      <c r="T197">
        <f t="shared" si="56"/>
        <v>0</v>
      </c>
      <c r="V197" t="s">
        <v>49</v>
      </c>
      <c r="W197" t="s">
        <v>49</v>
      </c>
      <c r="X197" t="s">
        <v>41</v>
      </c>
      <c r="Y197" t="s">
        <v>47</v>
      </c>
      <c r="Z197">
        <v>1</v>
      </c>
      <c r="AA197">
        <v>2</v>
      </c>
      <c r="AB197">
        <v>0</v>
      </c>
      <c r="AC197" t="s">
        <v>44</v>
      </c>
      <c r="AD197" t="s">
        <v>44</v>
      </c>
      <c r="AE197">
        <f t="shared" si="57"/>
        <v>0</v>
      </c>
      <c r="AF197" t="s">
        <v>44</v>
      </c>
      <c r="AG197">
        <f t="shared" si="58"/>
        <v>0</v>
      </c>
      <c r="AH197" t="s">
        <v>43</v>
      </c>
      <c r="AI197" t="s">
        <v>43</v>
      </c>
      <c r="AJ197" t="s">
        <v>43</v>
      </c>
      <c r="AK197" t="s">
        <v>43</v>
      </c>
      <c r="AL197">
        <f t="shared" si="59"/>
        <v>1</v>
      </c>
      <c r="AM197" t="s">
        <v>43</v>
      </c>
      <c r="AN197">
        <v>4</v>
      </c>
      <c r="AO197">
        <v>3</v>
      </c>
      <c r="AP197">
        <v>2</v>
      </c>
      <c r="AQ197">
        <v>1</v>
      </c>
      <c r="AR197">
        <v>1</v>
      </c>
      <c r="AS197">
        <v>5</v>
      </c>
      <c r="AT197">
        <v>0</v>
      </c>
      <c r="AV197">
        <v>14</v>
      </c>
      <c r="AW197">
        <v>15</v>
      </c>
      <c r="AX197">
        <v>15</v>
      </c>
    </row>
    <row r="198" spans="1:50" x14ac:dyDescent="0.2">
      <c r="A198" t="s">
        <v>34</v>
      </c>
      <c r="B198" t="s">
        <v>51</v>
      </c>
      <c r="C198">
        <v>17</v>
      </c>
      <c r="D198" t="s">
        <v>36</v>
      </c>
      <c r="E198" t="s">
        <v>37</v>
      </c>
      <c r="F198" t="s">
        <v>45</v>
      </c>
      <c r="G198">
        <f t="shared" si="50"/>
        <v>1</v>
      </c>
      <c r="H198">
        <v>4</v>
      </c>
      <c r="I198">
        <f t="shared" si="51"/>
        <v>0</v>
      </c>
      <c r="J198">
        <f t="shared" si="52"/>
        <v>0</v>
      </c>
      <c r="K198">
        <f t="shared" si="53"/>
        <v>0</v>
      </c>
      <c r="L198">
        <f t="shared" si="54"/>
        <v>0</v>
      </c>
      <c r="M198">
        <f t="shared" si="55"/>
        <v>1</v>
      </c>
      <c r="N198">
        <v>4</v>
      </c>
      <c r="O198">
        <f t="shared" si="45"/>
        <v>0</v>
      </c>
      <c r="P198">
        <f t="shared" si="46"/>
        <v>0</v>
      </c>
      <c r="Q198">
        <f t="shared" si="47"/>
        <v>0</v>
      </c>
      <c r="R198">
        <f t="shared" si="48"/>
        <v>0</v>
      </c>
      <c r="S198">
        <f t="shared" si="49"/>
        <v>1</v>
      </c>
      <c r="T198">
        <f t="shared" si="56"/>
        <v>1</v>
      </c>
      <c r="V198" t="s">
        <v>49</v>
      </c>
      <c r="W198" t="s">
        <v>40</v>
      </c>
      <c r="X198" t="s">
        <v>50</v>
      </c>
      <c r="Y198" t="s">
        <v>42</v>
      </c>
      <c r="Z198">
        <v>1</v>
      </c>
      <c r="AA198">
        <v>1</v>
      </c>
      <c r="AB198">
        <v>0</v>
      </c>
      <c r="AC198" t="s">
        <v>44</v>
      </c>
      <c r="AD198" t="s">
        <v>44</v>
      </c>
      <c r="AE198">
        <f t="shared" si="57"/>
        <v>0</v>
      </c>
      <c r="AF198" t="s">
        <v>44</v>
      </c>
      <c r="AG198">
        <f t="shared" si="58"/>
        <v>0</v>
      </c>
      <c r="AH198" t="s">
        <v>44</v>
      </c>
      <c r="AI198" t="s">
        <v>43</v>
      </c>
      <c r="AJ198" t="s">
        <v>43</v>
      </c>
      <c r="AK198" t="s">
        <v>43</v>
      </c>
      <c r="AL198">
        <f t="shared" si="59"/>
        <v>1</v>
      </c>
      <c r="AM198" t="s">
        <v>44</v>
      </c>
      <c r="AN198">
        <v>5</v>
      </c>
      <c r="AO198">
        <v>2</v>
      </c>
      <c r="AP198">
        <v>3</v>
      </c>
      <c r="AQ198">
        <v>1</v>
      </c>
      <c r="AR198">
        <v>2</v>
      </c>
      <c r="AS198">
        <v>5</v>
      </c>
      <c r="AT198">
        <v>4</v>
      </c>
      <c r="AV198">
        <v>17</v>
      </c>
      <c r="AW198">
        <v>15</v>
      </c>
      <c r="AX198">
        <v>16</v>
      </c>
    </row>
    <row r="199" spans="1:50" x14ac:dyDescent="0.2">
      <c r="A199" t="s">
        <v>34</v>
      </c>
      <c r="B199" t="s">
        <v>51</v>
      </c>
      <c r="C199">
        <v>16</v>
      </c>
      <c r="D199" t="s">
        <v>53</v>
      </c>
      <c r="E199" t="s">
        <v>48</v>
      </c>
      <c r="F199" t="s">
        <v>45</v>
      </c>
      <c r="G199">
        <f t="shared" si="50"/>
        <v>1</v>
      </c>
      <c r="H199">
        <v>3</v>
      </c>
      <c r="I199">
        <f t="shared" si="51"/>
        <v>0</v>
      </c>
      <c r="J199">
        <f t="shared" si="52"/>
        <v>0</v>
      </c>
      <c r="K199">
        <f t="shared" si="53"/>
        <v>0</v>
      </c>
      <c r="L199">
        <f t="shared" si="54"/>
        <v>1</v>
      </c>
      <c r="M199">
        <f t="shared" si="55"/>
        <v>0</v>
      </c>
      <c r="N199">
        <v>3</v>
      </c>
      <c r="O199">
        <f t="shared" si="45"/>
        <v>0</v>
      </c>
      <c r="P199">
        <f t="shared" si="46"/>
        <v>0</v>
      </c>
      <c r="Q199">
        <f t="shared" si="47"/>
        <v>0</v>
      </c>
      <c r="R199">
        <f t="shared" si="48"/>
        <v>1</v>
      </c>
      <c r="S199">
        <f t="shared" si="49"/>
        <v>0</v>
      </c>
      <c r="T199">
        <f t="shared" si="56"/>
        <v>0</v>
      </c>
      <c r="V199" t="s">
        <v>40</v>
      </c>
      <c r="W199" t="s">
        <v>46</v>
      </c>
      <c r="X199" t="s">
        <v>50</v>
      </c>
      <c r="Y199" t="s">
        <v>47</v>
      </c>
      <c r="Z199">
        <v>3</v>
      </c>
      <c r="AA199">
        <v>1</v>
      </c>
      <c r="AB199">
        <v>0</v>
      </c>
      <c r="AC199" t="s">
        <v>44</v>
      </c>
      <c r="AD199" t="s">
        <v>43</v>
      </c>
      <c r="AE199">
        <f t="shared" si="57"/>
        <v>1</v>
      </c>
      <c r="AF199" t="s">
        <v>43</v>
      </c>
      <c r="AG199">
        <f t="shared" si="58"/>
        <v>1</v>
      </c>
      <c r="AH199" t="s">
        <v>43</v>
      </c>
      <c r="AI199" t="s">
        <v>43</v>
      </c>
      <c r="AJ199" t="s">
        <v>43</v>
      </c>
      <c r="AK199" t="s">
        <v>43</v>
      </c>
      <c r="AL199">
        <f t="shared" si="59"/>
        <v>1</v>
      </c>
      <c r="AM199" t="s">
        <v>44</v>
      </c>
      <c r="AN199">
        <v>3</v>
      </c>
      <c r="AO199">
        <v>3</v>
      </c>
      <c r="AP199">
        <v>4</v>
      </c>
      <c r="AQ199">
        <v>3</v>
      </c>
      <c r="AR199">
        <v>5</v>
      </c>
      <c r="AS199">
        <v>3</v>
      </c>
      <c r="AT199">
        <v>8</v>
      </c>
      <c r="AV199">
        <v>9</v>
      </c>
      <c r="AW199">
        <v>9</v>
      </c>
      <c r="AX199">
        <v>10</v>
      </c>
    </row>
    <row r="200" spans="1:50" x14ac:dyDescent="0.2">
      <c r="A200" t="s">
        <v>34</v>
      </c>
      <c r="B200" t="s">
        <v>35</v>
      </c>
      <c r="C200">
        <v>17</v>
      </c>
      <c r="D200" t="s">
        <v>36</v>
      </c>
      <c r="E200" t="s">
        <v>37</v>
      </c>
      <c r="F200" t="s">
        <v>45</v>
      </c>
      <c r="G200">
        <f t="shared" si="50"/>
        <v>1</v>
      </c>
      <c r="H200">
        <v>4</v>
      </c>
      <c r="I200">
        <f t="shared" si="51"/>
        <v>0</v>
      </c>
      <c r="J200">
        <f t="shared" si="52"/>
        <v>0</v>
      </c>
      <c r="K200">
        <f t="shared" si="53"/>
        <v>0</v>
      </c>
      <c r="L200">
        <f t="shared" si="54"/>
        <v>0</v>
      </c>
      <c r="M200">
        <f t="shared" si="55"/>
        <v>1</v>
      </c>
      <c r="N200">
        <v>4</v>
      </c>
      <c r="O200">
        <f t="shared" si="45"/>
        <v>0</v>
      </c>
      <c r="P200">
        <f t="shared" si="46"/>
        <v>0</v>
      </c>
      <c r="Q200">
        <f t="shared" si="47"/>
        <v>0</v>
      </c>
      <c r="R200">
        <f t="shared" si="48"/>
        <v>0</v>
      </c>
      <c r="S200">
        <f t="shared" si="49"/>
        <v>1</v>
      </c>
      <c r="T200">
        <f t="shared" si="56"/>
        <v>1</v>
      </c>
      <c r="V200" t="s">
        <v>49</v>
      </c>
      <c r="W200" t="s">
        <v>40</v>
      </c>
      <c r="X200" t="s">
        <v>50</v>
      </c>
      <c r="Y200" t="s">
        <v>42</v>
      </c>
      <c r="Z200">
        <v>2</v>
      </c>
      <c r="AA200">
        <v>1</v>
      </c>
      <c r="AB200">
        <v>1</v>
      </c>
      <c r="AC200" t="s">
        <v>44</v>
      </c>
      <c r="AD200" t="s">
        <v>43</v>
      </c>
      <c r="AE200">
        <f t="shared" si="57"/>
        <v>1</v>
      </c>
      <c r="AF200" t="s">
        <v>44</v>
      </c>
      <c r="AG200">
        <f t="shared" si="58"/>
        <v>0</v>
      </c>
      <c r="AH200" t="s">
        <v>44</v>
      </c>
      <c r="AI200" t="s">
        <v>43</v>
      </c>
      <c r="AJ200" t="s">
        <v>43</v>
      </c>
      <c r="AK200" t="s">
        <v>43</v>
      </c>
      <c r="AL200">
        <f t="shared" si="59"/>
        <v>1</v>
      </c>
      <c r="AM200" t="s">
        <v>44</v>
      </c>
      <c r="AN200">
        <v>4</v>
      </c>
      <c r="AO200">
        <v>2</v>
      </c>
      <c r="AP200">
        <v>4</v>
      </c>
      <c r="AQ200">
        <v>2</v>
      </c>
      <c r="AR200">
        <v>3</v>
      </c>
      <c r="AS200">
        <v>2</v>
      </c>
      <c r="AT200">
        <v>24</v>
      </c>
      <c r="AV200">
        <v>18</v>
      </c>
      <c r="AW200">
        <v>18</v>
      </c>
      <c r="AX200">
        <v>18</v>
      </c>
    </row>
    <row r="201" spans="1:50" x14ac:dyDescent="0.2">
      <c r="A201" t="s">
        <v>34</v>
      </c>
      <c r="B201" t="s">
        <v>35</v>
      </c>
      <c r="C201">
        <v>16</v>
      </c>
      <c r="D201" t="s">
        <v>36</v>
      </c>
      <c r="E201" t="s">
        <v>48</v>
      </c>
      <c r="F201" t="s">
        <v>45</v>
      </c>
      <c r="G201">
        <f t="shared" si="50"/>
        <v>1</v>
      </c>
      <c r="H201">
        <v>4</v>
      </c>
      <c r="I201">
        <f t="shared" si="51"/>
        <v>0</v>
      </c>
      <c r="J201">
        <f t="shared" si="52"/>
        <v>0</v>
      </c>
      <c r="K201">
        <f t="shared" si="53"/>
        <v>0</v>
      </c>
      <c r="L201">
        <f t="shared" si="54"/>
        <v>0</v>
      </c>
      <c r="M201">
        <f t="shared" si="55"/>
        <v>1</v>
      </c>
      <c r="N201">
        <v>4</v>
      </c>
      <c r="O201">
        <f t="shared" si="45"/>
        <v>0</v>
      </c>
      <c r="P201">
        <f t="shared" si="46"/>
        <v>0</v>
      </c>
      <c r="Q201">
        <f t="shared" si="47"/>
        <v>0</v>
      </c>
      <c r="R201">
        <f t="shared" si="48"/>
        <v>0</v>
      </c>
      <c r="S201">
        <f t="shared" si="49"/>
        <v>1</v>
      </c>
      <c r="T201">
        <f t="shared" si="56"/>
        <v>1</v>
      </c>
      <c r="V201" t="s">
        <v>40</v>
      </c>
      <c r="W201" t="s">
        <v>40</v>
      </c>
      <c r="X201" t="s">
        <v>52</v>
      </c>
      <c r="Y201" t="s">
        <v>42</v>
      </c>
      <c r="Z201">
        <v>1</v>
      </c>
      <c r="AA201">
        <v>2</v>
      </c>
      <c r="AB201">
        <v>0</v>
      </c>
      <c r="AC201" t="s">
        <v>44</v>
      </c>
      <c r="AD201" t="s">
        <v>43</v>
      </c>
      <c r="AE201">
        <f t="shared" si="57"/>
        <v>1</v>
      </c>
      <c r="AF201" t="s">
        <v>43</v>
      </c>
      <c r="AG201">
        <f t="shared" si="58"/>
        <v>1</v>
      </c>
      <c r="AH201" t="s">
        <v>44</v>
      </c>
      <c r="AI201" t="s">
        <v>43</v>
      </c>
      <c r="AJ201" t="s">
        <v>43</v>
      </c>
      <c r="AK201" t="s">
        <v>43</v>
      </c>
      <c r="AL201">
        <f t="shared" si="59"/>
        <v>1</v>
      </c>
      <c r="AM201" t="s">
        <v>44</v>
      </c>
      <c r="AN201">
        <v>4</v>
      </c>
      <c r="AO201">
        <v>5</v>
      </c>
      <c r="AP201">
        <v>2</v>
      </c>
      <c r="AQ201">
        <v>1</v>
      </c>
      <c r="AR201">
        <v>2</v>
      </c>
      <c r="AS201">
        <v>3</v>
      </c>
      <c r="AT201">
        <v>0</v>
      </c>
      <c r="AV201">
        <v>9</v>
      </c>
      <c r="AW201">
        <v>9</v>
      </c>
      <c r="AX201">
        <v>10</v>
      </c>
    </row>
    <row r="202" spans="1:50" x14ac:dyDescent="0.2">
      <c r="A202" t="s">
        <v>34</v>
      </c>
      <c r="B202" t="s">
        <v>35</v>
      </c>
      <c r="C202">
        <v>16</v>
      </c>
      <c r="D202" t="s">
        <v>36</v>
      </c>
      <c r="E202" t="s">
        <v>37</v>
      </c>
      <c r="F202" t="s">
        <v>45</v>
      </c>
      <c r="G202">
        <f t="shared" si="50"/>
        <v>1</v>
      </c>
      <c r="H202">
        <v>4</v>
      </c>
      <c r="I202">
        <f t="shared" si="51"/>
        <v>0</v>
      </c>
      <c r="J202">
        <f t="shared" si="52"/>
        <v>0</v>
      </c>
      <c r="K202">
        <f t="shared" si="53"/>
        <v>0</v>
      </c>
      <c r="L202">
        <f t="shared" si="54"/>
        <v>0</v>
      </c>
      <c r="M202">
        <f t="shared" si="55"/>
        <v>1</v>
      </c>
      <c r="N202">
        <v>3</v>
      </c>
      <c r="O202">
        <f t="shared" si="45"/>
        <v>0</v>
      </c>
      <c r="P202">
        <f t="shared" si="46"/>
        <v>0</v>
      </c>
      <c r="Q202">
        <f t="shared" si="47"/>
        <v>0</v>
      </c>
      <c r="R202">
        <f t="shared" si="48"/>
        <v>1</v>
      </c>
      <c r="S202">
        <f t="shared" si="49"/>
        <v>0</v>
      </c>
      <c r="T202">
        <f t="shared" si="56"/>
        <v>0</v>
      </c>
      <c r="V202" t="s">
        <v>29</v>
      </c>
      <c r="W202" t="s">
        <v>46</v>
      </c>
      <c r="X202" t="s">
        <v>50</v>
      </c>
      <c r="Y202" t="s">
        <v>42</v>
      </c>
      <c r="Z202">
        <v>1</v>
      </c>
      <c r="AA202">
        <v>2</v>
      </c>
      <c r="AB202">
        <v>0</v>
      </c>
      <c r="AC202" t="s">
        <v>44</v>
      </c>
      <c r="AD202" t="s">
        <v>43</v>
      </c>
      <c r="AE202">
        <f t="shared" si="57"/>
        <v>1</v>
      </c>
      <c r="AF202" t="s">
        <v>44</v>
      </c>
      <c r="AG202">
        <f t="shared" si="58"/>
        <v>0</v>
      </c>
      <c r="AH202" t="s">
        <v>43</v>
      </c>
      <c r="AI202" t="s">
        <v>43</v>
      </c>
      <c r="AJ202" t="s">
        <v>43</v>
      </c>
      <c r="AK202" t="s">
        <v>43</v>
      </c>
      <c r="AL202">
        <f t="shared" si="59"/>
        <v>1</v>
      </c>
      <c r="AM202" t="s">
        <v>44</v>
      </c>
      <c r="AN202">
        <v>4</v>
      </c>
      <c r="AO202">
        <v>3</v>
      </c>
      <c r="AP202">
        <v>5</v>
      </c>
      <c r="AQ202">
        <v>1</v>
      </c>
      <c r="AR202">
        <v>5</v>
      </c>
      <c r="AS202">
        <v>2</v>
      </c>
      <c r="AT202">
        <v>2</v>
      </c>
      <c r="AV202">
        <v>16</v>
      </c>
      <c r="AW202">
        <v>16</v>
      </c>
      <c r="AX202">
        <v>16</v>
      </c>
    </row>
    <row r="203" spans="1:50" x14ac:dyDescent="0.2">
      <c r="A203" t="s">
        <v>34</v>
      </c>
      <c r="B203" t="s">
        <v>35</v>
      </c>
      <c r="C203">
        <v>16</v>
      </c>
      <c r="D203" t="s">
        <v>36</v>
      </c>
      <c r="E203" t="s">
        <v>37</v>
      </c>
      <c r="F203" t="s">
        <v>45</v>
      </c>
      <c r="G203">
        <f t="shared" si="50"/>
        <v>1</v>
      </c>
      <c r="H203">
        <v>2</v>
      </c>
      <c r="I203">
        <f t="shared" si="51"/>
        <v>0</v>
      </c>
      <c r="J203">
        <f t="shared" si="52"/>
        <v>0</v>
      </c>
      <c r="K203">
        <f t="shared" si="53"/>
        <v>1</v>
      </c>
      <c r="L203">
        <f t="shared" si="54"/>
        <v>0</v>
      </c>
      <c r="M203">
        <f t="shared" si="55"/>
        <v>0</v>
      </c>
      <c r="N203">
        <v>3</v>
      </c>
      <c r="O203">
        <f t="shared" si="45"/>
        <v>0</v>
      </c>
      <c r="P203">
        <f t="shared" si="46"/>
        <v>0</v>
      </c>
      <c r="Q203">
        <f t="shared" si="47"/>
        <v>0</v>
      </c>
      <c r="R203">
        <f t="shared" si="48"/>
        <v>1</v>
      </c>
      <c r="S203">
        <f t="shared" si="49"/>
        <v>0</v>
      </c>
      <c r="T203">
        <f t="shared" si="56"/>
        <v>0</v>
      </c>
      <c r="V203" t="s">
        <v>46</v>
      </c>
      <c r="W203" t="s">
        <v>46</v>
      </c>
      <c r="X203" t="s">
        <v>52</v>
      </c>
      <c r="Y203" t="s">
        <v>42</v>
      </c>
      <c r="Z203">
        <v>1</v>
      </c>
      <c r="AA203">
        <v>2</v>
      </c>
      <c r="AB203">
        <v>0</v>
      </c>
      <c r="AC203" t="s">
        <v>43</v>
      </c>
      <c r="AD203" t="s">
        <v>43</v>
      </c>
      <c r="AE203">
        <f t="shared" si="57"/>
        <v>1</v>
      </c>
      <c r="AF203" t="s">
        <v>43</v>
      </c>
      <c r="AG203">
        <f t="shared" si="58"/>
        <v>1</v>
      </c>
      <c r="AH203" t="s">
        <v>43</v>
      </c>
      <c r="AI203" t="s">
        <v>43</v>
      </c>
      <c r="AJ203" t="s">
        <v>43</v>
      </c>
      <c r="AK203" t="s">
        <v>44</v>
      </c>
      <c r="AL203">
        <f t="shared" si="59"/>
        <v>0</v>
      </c>
      <c r="AM203" t="s">
        <v>44</v>
      </c>
      <c r="AN203">
        <v>4</v>
      </c>
      <c r="AO203">
        <v>4</v>
      </c>
      <c r="AP203">
        <v>3</v>
      </c>
      <c r="AQ203">
        <v>1</v>
      </c>
      <c r="AR203">
        <v>3</v>
      </c>
      <c r="AS203">
        <v>4</v>
      </c>
      <c r="AT203">
        <v>6</v>
      </c>
      <c r="AV203">
        <v>8</v>
      </c>
      <c r="AW203">
        <v>10</v>
      </c>
      <c r="AX203">
        <v>10</v>
      </c>
    </row>
    <row r="204" spans="1:50" x14ac:dyDescent="0.2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45</v>
      </c>
      <c r="G204">
        <f t="shared" si="50"/>
        <v>1</v>
      </c>
      <c r="H204">
        <v>1</v>
      </c>
      <c r="I204">
        <f t="shared" si="51"/>
        <v>0</v>
      </c>
      <c r="J204">
        <f t="shared" si="52"/>
        <v>1</v>
      </c>
      <c r="K204">
        <f t="shared" si="53"/>
        <v>0</v>
      </c>
      <c r="L204">
        <f t="shared" si="54"/>
        <v>0</v>
      </c>
      <c r="M204">
        <f t="shared" si="55"/>
        <v>0</v>
      </c>
      <c r="N204">
        <v>1</v>
      </c>
      <c r="O204">
        <f t="shared" si="45"/>
        <v>0</v>
      </c>
      <c r="P204">
        <f t="shared" si="46"/>
        <v>1</v>
      </c>
      <c r="Q204">
        <f t="shared" si="47"/>
        <v>0</v>
      </c>
      <c r="R204">
        <f t="shared" si="48"/>
        <v>0</v>
      </c>
      <c r="S204">
        <f t="shared" si="49"/>
        <v>0</v>
      </c>
      <c r="T204">
        <f t="shared" si="56"/>
        <v>0</v>
      </c>
      <c r="V204" t="s">
        <v>46</v>
      </c>
      <c r="W204" t="s">
        <v>46</v>
      </c>
      <c r="X204" t="s">
        <v>41</v>
      </c>
      <c r="Y204" t="s">
        <v>42</v>
      </c>
      <c r="Z204">
        <v>1</v>
      </c>
      <c r="AA204">
        <v>2</v>
      </c>
      <c r="AB204">
        <v>0</v>
      </c>
      <c r="AC204" t="s">
        <v>44</v>
      </c>
      <c r="AD204" t="s">
        <v>43</v>
      </c>
      <c r="AE204">
        <f t="shared" si="57"/>
        <v>1</v>
      </c>
      <c r="AF204" t="s">
        <v>43</v>
      </c>
      <c r="AG204">
        <f t="shared" si="58"/>
        <v>1</v>
      </c>
      <c r="AH204" t="s">
        <v>44</v>
      </c>
      <c r="AI204" t="s">
        <v>44</v>
      </c>
      <c r="AJ204" t="s">
        <v>43</v>
      </c>
      <c r="AK204" t="s">
        <v>44</v>
      </c>
      <c r="AL204">
        <f t="shared" si="59"/>
        <v>0</v>
      </c>
      <c r="AM204" t="s">
        <v>44</v>
      </c>
      <c r="AN204">
        <v>4</v>
      </c>
      <c r="AO204">
        <v>4</v>
      </c>
      <c r="AP204">
        <v>4</v>
      </c>
      <c r="AQ204">
        <v>1</v>
      </c>
      <c r="AR204">
        <v>3</v>
      </c>
      <c r="AS204">
        <v>1</v>
      </c>
      <c r="AT204">
        <v>4</v>
      </c>
      <c r="AV204">
        <v>9</v>
      </c>
      <c r="AW204">
        <v>9</v>
      </c>
      <c r="AX204">
        <v>10</v>
      </c>
    </row>
    <row r="205" spans="1:50" x14ac:dyDescent="0.2">
      <c r="A205" t="s">
        <v>34</v>
      </c>
      <c r="B205" t="s">
        <v>35</v>
      </c>
      <c r="C205">
        <v>17</v>
      </c>
      <c r="D205" t="s">
        <v>53</v>
      </c>
      <c r="E205" t="s">
        <v>37</v>
      </c>
      <c r="F205" t="s">
        <v>45</v>
      </c>
      <c r="G205">
        <f t="shared" si="50"/>
        <v>1</v>
      </c>
      <c r="H205">
        <v>2</v>
      </c>
      <c r="I205">
        <f t="shared" si="51"/>
        <v>0</v>
      </c>
      <c r="J205">
        <f t="shared" si="52"/>
        <v>0</v>
      </c>
      <c r="K205">
        <f t="shared" si="53"/>
        <v>1</v>
      </c>
      <c r="L205">
        <f t="shared" si="54"/>
        <v>0</v>
      </c>
      <c r="M205">
        <f t="shared" si="55"/>
        <v>0</v>
      </c>
      <c r="N205">
        <v>2</v>
      </c>
      <c r="O205">
        <f t="shared" si="45"/>
        <v>0</v>
      </c>
      <c r="P205">
        <f t="shared" si="46"/>
        <v>0</v>
      </c>
      <c r="Q205">
        <f t="shared" si="47"/>
        <v>1</v>
      </c>
      <c r="R205">
        <f t="shared" si="48"/>
        <v>0</v>
      </c>
      <c r="S205">
        <f t="shared" si="49"/>
        <v>0</v>
      </c>
      <c r="T205">
        <f t="shared" si="56"/>
        <v>0</v>
      </c>
      <c r="V205" t="s">
        <v>46</v>
      </c>
      <c r="W205" t="s">
        <v>46</v>
      </c>
      <c r="X205" t="s">
        <v>52</v>
      </c>
      <c r="Y205" t="s">
        <v>42</v>
      </c>
      <c r="Z205">
        <v>1</v>
      </c>
      <c r="AA205">
        <v>1</v>
      </c>
      <c r="AB205">
        <v>0</v>
      </c>
      <c r="AC205" t="s">
        <v>44</v>
      </c>
      <c r="AD205" t="s">
        <v>43</v>
      </c>
      <c r="AE205">
        <f t="shared" si="57"/>
        <v>1</v>
      </c>
      <c r="AF205" t="s">
        <v>44</v>
      </c>
      <c r="AG205">
        <f t="shared" si="58"/>
        <v>0</v>
      </c>
      <c r="AH205" t="s">
        <v>44</v>
      </c>
      <c r="AI205" t="s">
        <v>43</v>
      </c>
      <c r="AJ205" t="s">
        <v>43</v>
      </c>
      <c r="AK205" t="s">
        <v>43</v>
      </c>
      <c r="AL205">
        <f t="shared" si="59"/>
        <v>1</v>
      </c>
      <c r="AM205" t="s">
        <v>44</v>
      </c>
      <c r="AN205">
        <v>5</v>
      </c>
      <c r="AO205">
        <v>3</v>
      </c>
      <c r="AP205">
        <v>2</v>
      </c>
      <c r="AQ205">
        <v>1</v>
      </c>
      <c r="AR205">
        <v>2</v>
      </c>
      <c r="AS205">
        <v>3</v>
      </c>
      <c r="AT205">
        <v>18</v>
      </c>
      <c r="AV205">
        <v>7</v>
      </c>
      <c r="AW205">
        <v>6</v>
      </c>
      <c r="AX205">
        <v>6</v>
      </c>
    </row>
    <row r="206" spans="1:50" x14ac:dyDescent="0.2">
      <c r="A206" t="s">
        <v>34</v>
      </c>
      <c r="B206" t="s">
        <v>35</v>
      </c>
      <c r="C206">
        <v>16</v>
      </c>
      <c r="D206" t="s">
        <v>53</v>
      </c>
      <c r="E206" t="s">
        <v>37</v>
      </c>
      <c r="F206" t="s">
        <v>45</v>
      </c>
      <c r="G206">
        <f t="shared" si="50"/>
        <v>1</v>
      </c>
      <c r="H206">
        <v>2</v>
      </c>
      <c r="I206">
        <f t="shared" si="51"/>
        <v>0</v>
      </c>
      <c r="J206">
        <f t="shared" si="52"/>
        <v>0</v>
      </c>
      <c r="K206">
        <f t="shared" si="53"/>
        <v>1</v>
      </c>
      <c r="L206">
        <f t="shared" si="54"/>
        <v>0</v>
      </c>
      <c r="M206">
        <f t="shared" si="55"/>
        <v>0</v>
      </c>
      <c r="N206">
        <v>2</v>
      </c>
      <c r="O206">
        <f t="shared" si="45"/>
        <v>0</v>
      </c>
      <c r="P206">
        <f t="shared" si="46"/>
        <v>0</v>
      </c>
      <c r="Q206">
        <f t="shared" si="47"/>
        <v>1</v>
      </c>
      <c r="R206">
        <f t="shared" si="48"/>
        <v>0</v>
      </c>
      <c r="S206">
        <f t="shared" si="49"/>
        <v>0</v>
      </c>
      <c r="T206">
        <f t="shared" si="56"/>
        <v>0</v>
      </c>
      <c r="V206" t="s">
        <v>49</v>
      </c>
      <c r="W206" t="s">
        <v>49</v>
      </c>
      <c r="X206" t="s">
        <v>52</v>
      </c>
      <c r="Y206" t="s">
        <v>42</v>
      </c>
      <c r="Z206">
        <v>2</v>
      </c>
      <c r="AA206">
        <v>4</v>
      </c>
      <c r="AB206">
        <v>0</v>
      </c>
      <c r="AC206" t="s">
        <v>44</v>
      </c>
      <c r="AD206" t="s">
        <v>43</v>
      </c>
      <c r="AE206">
        <f t="shared" si="57"/>
        <v>1</v>
      </c>
      <c r="AF206" t="s">
        <v>43</v>
      </c>
      <c r="AG206">
        <f t="shared" si="58"/>
        <v>1</v>
      </c>
      <c r="AH206" t="s">
        <v>43</v>
      </c>
      <c r="AI206" t="s">
        <v>44</v>
      </c>
      <c r="AJ206" t="s">
        <v>43</v>
      </c>
      <c r="AK206" t="s">
        <v>43</v>
      </c>
      <c r="AL206">
        <f t="shared" si="59"/>
        <v>1</v>
      </c>
      <c r="AM206" t="s">
        <v>44</v>
      </c>
      <c r="AN206">
        <v>5</v>
      </c>
      <c r="AO206">
        <v>3</v>
      </c>
      <c r="AP206">
        <v>5</v>
      </c>
      <c r="AQ206">
        <v>1</v>
      </c>
      <c r="AR206">
        <v>1</v>
      </c>
      <c r="AS206">
        <v>5</v>
      </c>
      <c r="AT206">
        <v>6</v>
      </c>
      <c r="AV206">
        <v>10</v>
      </c>
      <c r="AW206">
        <v>10</v>
      </c>
      <c r="AX206">
        <v>11</v>
      </c>
    </row>
    <row r="207" spans="1:50" x14ac:dyDescent="0.2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f t="shared" si="50"/>
        <v>1</v>
      </c>
      <c r="H207">
        <v>3</v>
      </c>
      <c r="I207">
        <f t="shared" si="51"/>
        <v>0</v>
      </c>
      <c r="J207">
        <f t="shared" si="52"/>
        <v>0</v>
      </c>
      <c r="K207">
        <f t="shared" si="53"/>
        <v>0</v>
      </c>
      <c r="L207">
        <f t="shared" si="54"/>
        <v>1</v>
      </c>
      <c r="M207">
        <f t="shared" si="55"/>
        <v>0</v>
      </c>
      <c r="N207">
        <v>4</v>
      </c>
      <c r="O207">
        <f t="shared" si="45"/>
        <v>0</v>
      </c>
      <c r="P207">
        <f t="shared" si="46"/>
        <v>0</v>
      </c>
      <c r="Q207">
        <f t="shared" si="47"/>
        <v>0</v>
      </c>
      <c r="R207">
        <f t="shared" si="48"/>
        <v>0</v>
      </c>
      <c r="S207">
        <f t="shared" si="49"/>
        <v>1</v>
      </c>
      <c r="T207">
        <f t="shared" si="56"/>
        <v>0</v>
      </c>
      <c r="V207" t="s">
        <v>39</v>
      </c>
      <c r="W207" t="s">
        <v>49</v>
      </c>
      <c r="X207" t="s">
        <v>50</v>
      </c>
      <c r="Y207" t="s">
        <v>42</v>
      </c>
      <c r="Z207">
        <v>1</v>
      </c>
      <c r="AA207">
        <v>3</v>
      </c>
      <c r="AB207">
        <v>1</v>
      </c>
      <c r="AC207" t="s">
        <v>44</v>
      </c>
      <c r="AD207" t="s">
        <v>43</v>
      </c>
      <c r="AE207">
        <f t="shared" si="57"/>
        <v>1</v>
      </c>
      <c r="AF207" t="s">
        <v>43</v>
      </c>
      <c r="AG207">
        <f t="shared" si="58"/>
        <v>1</v>
      </c>
      <c r="AH207" t="s">
        <v>44</v>
      </c>
      <c r="AI207" t="s">
        <v>43</v>
      </c>
      <c r="AJ207" t="s">
        <v>43</v>
      </c>
      <c r="AK207" t="s">
        <v>43</v>
      </c>
      <c r="AL207">
        <f t="shared" si="59"/>
        <v>1</v>
      </c>
      <c r="AM207" t="s">
        <v>43</v>
      </c>
      <c r="AN207">
        <v>4</v>
      </c>
      <c r="AO207">
        <v>4</v>
      </c>
      <c r="AP207">
        <v>3</v>
      </c>
      <c r="AQ207">
        <v>3</v>
      </c>
      <c r="AR207">
        <v>4</v>
      </c>
      <c r="AS207">
        <v>5</v>
      </c>
      <c r="AT207">
        <v>28</v>
      </c>
      <c r="AV207">
        <v>10</v>
      </c>
      <c r="AW207">
        <v>9</v>
      </c>
      <c r="AX207">
        <v>9</v>
      </c>
    </row>
    <row r="208" spans="1:50" x14ac:dyDescent="0.2">
      <c r="A208" t="s">
        <v>34</v>
      </c>
      <c r="B208" t="s">
        <v>35</v>
      </c>
      <c r="C208">
        <v>16</v>
      </c>
      <c r="D208" t="s">
        <v>36</v>
      </c>
      <c r="E208" t="s">
        <v>37</v>
      </c>
      <c r="F208" t="s">
        <v>38</v>
      </c>
      <c r="G208">
        <f t="shared" si="50"/>
        <v>0</v>
      </c>
      <c r="H208">
        <v>3</v>
      </c>
      <c r="I208">
        <f t="shared" si="51"/>
        <v>0</v>
      </c>
      <c r="J208">
        <f t="shared" si="52"/>
        <v>0</v>
      </c>
      <c r="K208">
        <f t="shared" si="53"/>
        <v>0</v>
      </c>
      <c r="L208">
        <f t="shared" si="54"/>
        <v>1</v>
      </c>
      <c r="M208">
        <f t="shared" si="55"/>
        <v>0</v>
      </c>
      <c r="N208">
        <v>1</v>
      </c>
      <c r="O208">
        <f t="shared" si="45"/>
        <v>0</v>
      </c>
      <c r="P208">
        <f t="shared" si="46"/>
        <v>1</v>
      </c>
      <c r="Q208">
        <f t="shared" si="47"/>
        <v>0</v>
      </c>
      <c r="R208">
        <f t="shared" si="48"/>
        <v>0</v>
      </c>
      <c r="S208">
        <f t="shared" si="49"/>
        <v>0</v>
      </c>
      <c r="T208">
        <f t="shared" si="56"/>
        <v>0</v>
      </c>
      <c r="V208" t="s">
        <v>49</v>
      </c>
      <c r="W208" t="s">
        <v>46</v>
      </c>
      <c r="X208" t="s">
        <v>41</v>
      </c>
      <c r="Y208" t="s">
        <v>42</v>
      </c>
      <c r="Z208">
        <v>1</v>
      </c>
      <c r="AA208">
        <v>2</v>
      </c>
      <c r="AB208">
        <v>3</v>
      </c>
      <c r="AC208" t="s">
        <v>44</v>
      </c>
      <c r="AD208" t="s">
        <v>43</v>
      </c>
      <c r="AE208">
        <f t="shared" si="57"/>
        <v>1</v>
      </c>
      <c r="AF208" t="s">
        <v>43</v>
      </c>
      <c r="AG208">
        <f t="shared" si="58"/>
        <v>1</v>
      </c>
      <c r="AH208" t="s">
        <v>44</v>
      </c>
      <c r="AI208" t="s">
        <v>43</v>
      </c>
      <c r="AJ208" t="s">
        <v>43</v>
      </c>
      <c r="AK208" t="s">
        <v>43</v>
      </c>
      <c r="AL208">
        <f t="shared" si="59"/>
        <v>1</v>
      </c>
      <c r="AM208" t="s">
        <v>44</v>
      </c>
      <c r="AN208">
        <v>2</v>
      </c>
      <c r="AO208">
        <v>3</v>
      </c>
      <c r="AP208">
        <v>3</v>
      </c>
      <c r="AQ208">
        <v>2</v>
      </c>
      <c r="AR208">
        <v>2</v>
      </c>
      <c r="AS208">
        <v>4</v>
      </c>
      <c r="AT208">
        <v>5</v>
      </c>
      <c r="AV208">
        <v>7</v>
      </c>
      <c r="AW208">
        <v>7</v>
      </c>
      <c r="AX208">
        <v>7</v>
      </c>
    </row>
    <row r="209" spans="1:50" x14ac:dyDescent="0.2">
      <c r="A209" t="s">
        <v>34</v>
      </c>
      <c r="B209" t="s">
        <v>35</v>
      </c>
      <c r="C209">
        <v>16</v>
      </c>
      <c r="D209" t="s">
        <v>36</v>
      </c>
      <c r="E209" t="s">
        <v>37</v>
      </c>
      <c r="F209" t="s">
        <v>45</v>
      </c>
      <c r="G209">
        <f t="shared" si="50"/>
        <v>1</v>
      </c>
      <c r="H209">
        <v>4</v>
      </c>
      <c r="I209">
        <f t="shared" si="51"/>
        <v>0</v>
      </c>
      <c r="J209">
        <f t="shared" si="52"/>
        <v>0</v>
      </c>
      <c r="K209">
        <f t="shared" si="53"/>
        <v>0</v>
      </c>
      <c r="L209">
        <f t="shared" si="54"/>
        <v>0</v>
      </c>
      <c r="M209">
        <f t="shared" si="55"/>
        <v>1</v>
      </c>
      <c r="N209">
        <v>3</v>
      </c>
      <c r="O209">
        <f t="shared" si="45"/>
        <v>0</v>
      </c>
      <c r="P209">
        <f t="shared" si="46"/>
        <v>0</v>
      </c>
      <c r="Q209">
        <f t="shared" si="47"/>
        <v>0</v>
      </c>
      <c r="R209">
        <f t="shared" si="48"/>
        <v>1</v>
      </c>
      <c r="S209">
        <f t="shared" si="49"/>
        <v>0</v>
      </c>
      <c r="T209">
        <f t="shared" si="56"/>
        <v>0</v>
      </c>
      <c r="V209" t="s">
        <v>40</v>
      </c>
      <c r="W209" t="s">
        <v>46</v>
      </c>
      <c r="X209" t="s">
        <v>46</v>
      </c>
      <c r="Y209" t="s">
        <v>42</v>
      </c>
      <c r="Z209">
        <v>1</v>
      </c>
      <c r="AA209">
        <v>2</v>
      </c>
      <c r="AB209">
        <v>0</v>
      </c>
      <c r="AC209" t="s">
        <v>44</v>
      </c>
      <c r="AD209" t="s">
        <v>44</v>
      </c>
      <c r="AE209">
        <f t="shared" si="57"/>
        <v>0</v>
      </c>
      <c r="AF209" t="s">
        <v>43</v>
      </c>
      <c r="AG209">
        <f t="shared" si="58"/>
        <v>1</v>
      </c>
      <c r="AH209" t="s">
        <v>43</v>
      </c>
      <c r="AI209" t="s">
        <v>43</v>
      </c>
      <c r="AJ209" t="s">
        <v>43</v>
      </c>
      <c r="AK209" t="s">
        <v>43</v>
      </c>
      <c r="AL209">
        <f t="shared" si="59"/>
        <v>1</v>
      </c>
      <c r="AM209" t="s">
        <v>43</v>
      </c>
      <c r="AN209">
        <v>1</v>
      </c>
      <c r="AO209">
        <v>3</v>
      </c>
      <c r="AP209">
        <v>2</v>
      </c>
      <c r="AQ209">
        <v>1</v>
      </c>
      <c r="AR209">
        <v>1</v>
      </c>
      <c r="AS209">
        <v>1</v>
      </c>
      <c r="AT209">
        <v>10</v>
      </c>
      <c r="AV209">
        <v>11</v>
      </c>
      <c r="AW209">
        <v>12</v>
      </c>
      <c r="AX209">
        <v>13</v>
      </c>
    </row>
    <row r="210" spans="1:50" x14ac:dyDescent="0.2">
      <c r="A210" t="s">
        <v>34</v>
      </c>
      <c r="B210" t="s">
        <v>35</v>
      </c>
      <c r="C210">
        <v>16</v>
      </c>
      <c r="D210" t="s">
        <v>36</v>
      </c>
      <c r="E210" t="s">
        <v>37</v>
      </c>
      <c r="F210" t="s">
        <v>45</v>
      </c>
      <c r="G210">
        <f t="shared" si="50"/>
        <v>1</v>
      </c>
      <c r="H210">
        <v>1</v>
      </c>
      <c r="I210">
        <f t="shared" si="51"/>
        <v>0</v>
      </c>
      <c r="J210">
        <f t="shared" si="52"/>
        <v>1</v>
      </c>
      <c r="K210">
        <f t="shared" si="53"/>
        <v>0</v>
      </c>
      <c r="L210">
        <f t="shared" si="54"/>
        <v>0</v>
      </c>
      <c r="M210">
        <f t="shared" si="55"/>
        <v>0</v>
      </c>
      <c r="N210">
        <v>1</v>
      </c>
      <c r="O210">
        <f t="shared" si="45"/>
        <v>0</v>
      </c>
      <c r="P210">
        <f t="shared" si="46"/>
        <v>1</v>
      </c>
      <c r="Q210">
        <f t="shared" si="47"/>
        <v>0</v>
      </c>
      <c r="R210">
        <f t="shared" si="48"/>
        <v>0</v>
      </c>
      <c r="S210">
        <f t="shared" si="49"/>
        <v>0</v>
      </c>
      <c r="T210">
        <f t="shared" si="56"/>
        <v>0</v>
      </c>
      <c r="V210" t="s">
        <v>39</v>
      </c>
      <c r="W210" t="s">
        <v>46</v>
      </c>
      <c r="X210" t="s">
        <v>50</v>
      </c>
      <c r="Y210" t="s">
        <v>42</v>
      </c>
      <c r="Z210">
        <v>2</v>
      </c>
      <c r="AA210">
        <v>1</v>
      </c>
      <c r="AB210">
        <v>0</v>
      </c>
      <c r="AC210" t="s">
        <v>44</v>
      </c>
      <c r="AD210" t="s">
        <v>43</v>
      </c>
      <c r="AE210">
        <f t="shared" si="57"/>
        <v>1</v>
      </c>
      <c r="AF210" t="s">
        <v>43</v>
      </c>
      <c r="AG210">
        <f t="shared" si="58"/>
        <v>1</v>
      </c>
      <c r="AH210" t="s">
        <v>44</v>
      </c>
      <c r="AI210" t="s">
        <v>43</v>
      </c>
      <c r="AJ210" t="s">
        <v>43</v>
      </c>
      <c r="AK210" t="s">
        <v>44</v>
      </c>
      <c r="AL210">
        <f t="shared" si="59"/>
        <v>0</v>
      </c>
      <c r="AM210" t="s">
        <v>44</v>
      </c>
      <c r="AN210">
        <v>4</v>
      </c>
      <c r="AO210">
        <v>3</v>
      </c>
      <c r="AP210">
        <v>2</v>
      </c>
      <c r="AQ210">
        <v>1</v>
      </c>
      <c r="AR210">
        <v>4</v>
      </c>
      <c r="AS210">
        <v>5</v>
      </c>
      <c r="AT210">
        <v>6</v>
      </c>
      <c r="AV210">
        <v>9</v>
      </c>
      <c r="AW210">
        <v>9</v>
      </c>
      <c r="AX210">
        <v>10</v>
      </c>
    </row>
    <row r="211" spans="1:50" x14ac:dyDescent="0.2">
      <c r="A211" t="s">
        <v>34</v>
      </c>
      <c r="B211" t="s">
        <v>35</v>
      </c>
      <c r="C211">
        <v>17</v>
      </c>
      <c r="D211" t="s">
        <v>53</v>
      </c>
      <c r="E211" t="s">
        <v>37</v>
      </c>
      <c r="F211" t="s">
        <v>45</v>
      </c>
      <c r="G211">
        <f t="shared" si="50"/>
        <v>1</v>
      </c>
      <c r="H211">
        <v>4</v>
      </c>
      <c r="I211">
        <f t="shared" si="51"/>
        <v>0</v>
      </c>
      <c r="J211">
        <f t="shared" si="52"/>
        <v>0</v>
      </c>
      <c r="K211">
        <f t="shared" si="53"/>
        <v>0</v>
      </c>
      <c r="L211">
        <f t="shared" si="54"/>
        <v>0</v>
      </c>
      <c r="M211">
        <f t="shared" si="55"/>
        <v>1</v>
      </c>
      <c r="N211">
        <v>3</v>
      </c>
      <c r="O211">
        <f t="shared" si="45"/>
        <v>0</v>
      </c>
      <c r="P211">
        <f t="shared" si="46"/>
        <v>0</v>
      </c>
      <c r="Q211">
        <f t="shared" si="47"/>
        <v>0</v>
      </c>
      <c r="R211">
        <f t="shared" si="48"/>
        <v>1</v>
      </c>
      <c r="S211">
        <f t="shared" si="49"/>
        <v>0</v>
      </c>
      <c r="T211">
        <f t="shared" si="56"/>
        <v>0</v>
      </c>
      <c r="V211" t="s">
        <v>40</v>
      </c>
      <c r="W211" t="s">
        <v>46</v>
      </c>
      <c r="X211" t="s">
        <v>52</v>
      </c>
      <c r="Y211" t="s">
        <v>42</v>
      </c>
      <c r="Z211">
        <v>2</v>
      </c>
      <c r="AA211">
        <v>3</v>
      </c>
      <c r="AB211">
        <v>0</v>
      </c>
      <c r="AC211" t="s">
        <v>44</v>
      </c>
      <c r="AD211" t="s">
        <v>43</v>
      </c>
      <c r="AE211">
        <f t="shared" si="57"/>
        <v>1</v>
      </c>
      <c r="AF211" t="s">
        <v>43</v>
      </c>
      <c r="AG211">
        <f t="shared" si="58"/>
        <v>1</v>
      </c>
      <c r="AH211" t="s">
        <v>43</v>
      </c>
      <c r="AI211" t="s">
        <v>43</v>
      </c>
      <c r="AJ211" t="s">
        <v>43</v>
      </c>
      <c r="AK211" t="s">
        <v>43</v>
      </c>
      <c r="AL211">
        <f t="shared" si="59"/>
        <v>1</v>
      </c>
      <c r="AM211" t="s">
        <v>43</v>
      </c>
      <c r="AN211">
        <v>4</v>
      </c>
      <c r="AO211">
        <v>4</v>
      </c>
      <c r="AP211">
        <v>2</v>
      </c>
      <c r="AQ211">
        <v>1</v>
      </c>
      <c r="AR211">
        <v>1</v>
      </c>
      <c r="AS211">
        <v>4</v>
      </c>
      <c r="AT211">
        <v>6</v>
      </c>
      <c r="AV211">
        <v>7</v>
      </c>
      <c r="AW211">
        <v>7</v>
      </c>
      <c r="AX211">
        <v>7</v>
      </c>
    </row>
    <row r="212" spans="1:50" x14ac:dyDescent="0.2">
      <c r="A212" t="s">
        <v>34</v>
      </c>
      <c r="B212" t="s">
        <v>35</v>
      </c>
      <c r="C212">
        <v>19</v>
      </c>
      <c r="D212" t="s">
        <v>36</v>
      </c>
      <c r="E212" t="s">
        <v>37</v>
      </c>
      <c r="F212" t="s">
        <v>45</v>
      </c>
      <c r="G212">
        <f t="shared" si="50"/>
        <v>1</v>
      </c>
      <c r="H212">
        <v>3</v>
      </c>
      <c r="I212">
        <f t="shared" si="51"/>
        <v>0</v>
      </c>
      <c r="J212">
        <f t="shared" si="52"/>
        <v>0</v>
      </c>
      <c r="K212">
        <f t="shared" si="53"/>
        <v>0</v>
      </c>
      <c r="L212">
        <f t="shared" si="54"/>
        <v>1</v>
      </c>
      <c r="M212">
        <f t="shared" si="55"/>
        <v>0</v>
      </c>
      <c r="N212">
        <v>3</v>
      </c>
      <c r="O212">
        <f t="shared" si="45"/>
        <v>0</v>
      </c>
      <c r="P212">
        <f t="shared" si="46"/>
        <v>0</v>
      </c>
      <c r="Q212">
        <f t="shared" si="47"/>
        <v>0</v>
      </c>
      <c r="R212">
        <f t="shared" si="48"/>
        <v>1</v>
      </c>
      <c r="S212">
        <f t="shared" si="49"/>
        <v>0</v>
      </c>
      <c r="T212">
        <f t="shared" si="56"/>
        <v>0</v>
      </c>
      <c r="V212" t="s">
        <v>46</v>
      </c>
      <c r="W212" t="s">
        <v>46</v>
      </c>
      <c r="X212" t="s">
        <v>52</v>
      </c>
      <c r="Y212" t="s">
        <v>46</v>
      </c>
      <c r="Z212">
        <v>1</v>
      </c>
      <c r="AA212">
        <v>4</v>
      </c>
      <c r="AB212">
        <v>0</v>
      </c>
      <c r="AC212" t="s">
        <v>44</v>
      </c>
      <c r="AD212" t="s">
        <v>43</v>
      </c>
      <c r="AE212">
        <f t="shared" si="57"/>
        <v>1</v>
      </c>
      <c r="AF212" t="s">
        <v>43</v>
      </c>
      <c r="AG212">
        <f t="shared" si="58"/>
        <v>1</v>
      </c>
      <c r="AH212" t="s">
        <v>43</v>
      </c>
      <c r="AI212" t="s">
        <v>43</v>
      </c>
      <c r="AJ212" t="s">
        <v>43</v>
      </c>
      <c r="AK212" t="s">
        <v>43</v>
      </c>
      <c r="AL212">
        <f t="shared" si="59"/>
        <v>1</v>
      </c>
      <c r="AM212" t="s">
        <v>44</v>
      </c>
      <c r="AN212">
        <v>4</v>
      </c>
      <c r="AO212">
        <v>3</v>
      </c>
      <c r="AP212">
        <v>3</v>
      </c>
      <c r="AQ212">
        <v>1</v>
      </c>
      <c r="AR212">
        <v>2</v>
      </c>
      <c r="AS212">
        <v>3</v>
      </c>
      <c r="AT212">
        <v>10</v>
      </c>
      <c r="AV212">
        <v>8</v>
      </c>
      <c r="AW212">
        <v>8</v>
      </c>
      <c r="AX212">
        <v>8</v>
      </c>
    </row>
    <row r="213" spans="1:50" x14ac:dyDescent="0.2">
      <c r="A213" t="s">
        <v>34</v>
      </c>
      <c r="B213" t="s">
        <v>51</v>
      </c>
      <c r="C213">
        <v>17</v>
      </c>
      <c r="D213" t="s">
        <v>36</v>
      </c>
      <c r="E213" t="s">
        <v>48</v>
      </c>
      <c r="F213" t="s">
        <v>45</v>
      </c>
      <c r="G213">
        <f t="shared" si="50"/>
        <v>1</v>
      </c>
      <c r="H213">
        <v>4</v>
      </c>
      <c r="I213">
        <f t="shared" si="51"/>
        <v>0</v>
      </c>
      <c r="J213">
        <f t="shared" si="52"/>
        <v>0</v>
      </c>
      <c r="K213">
        <f t="shared" si="53"/>
        <v>0</v>
      </c>
      <c r="L213">
        <f t="shared" si="54"/>
        <v>0</v>
      </c>
      <c r="M213">
        <f t="shared" si="55"/>
        <v>1</v>
      </c>
      <c r="N213">
        <v>4</v>
      </c>
      <c r="O213">
        <f t="shared" si="45"/>
        <v>0</v>
      </c>
      <c r="P213">
        <f t="shared" si="46"/>
        <v>0</v>
      </c>
      <c r="Q213">
        <f t="shared" si="47"/>
        <v>0</v>
      </c>
      <c r="R213">
        <f t="shared" si="48"/>
        <v>0</v>
      </c>
      <c r="S213">
        <f t="shared" si="49"/>
        <v>1</v>
      </c>
      <c r="T213">
        <f t="shared" si="56"/>
        <v>1</v>
      </c>
      <c r="V213" t="s">
        <v>49</v>
      </c>
      <c r="W213" t="s">
        <v>46</v>
      </c>
      <c r="X213" t="s">
        <v>50</v>
      </c>
      <c r="Y213" t="s">
        <v>42</v>
      </c>
      <c r="Z213">
        <v>1</v>
      </c>
      <c r="AA213">
        <v>2</v>
      </c>
      <c r="AB213">
        <v>0</v>
      </c>
      <c r="AC213" t="s">
        <v>44</v>
      </c>
      <c r="AD213" t="s">
        <v>43</v>
      </c>
      <c r="AE213">
        <f t="shared" si="57"/>
        <v>1</v>
      </c>
      <c r="AF213" t="s">
        <v>43</v>
      </c>
      <c r="AG213">
        <f t="shared" si="58"/>
        <v>1</v>
      </c>
      <c r="AH213" t="s">
        <v>44</v>
      </c>
      <c r="AI213" t="s">
        <v>43</v>
      </c>
      <c r="AJ213" t="s">
        <v>43</v>
      </c>
      <c r="AK213" t="s">
        <v>43</v>
      </c>
      <c r="AL213">
        <f t="shared" si="59"/>
        <v>1</v>
      </c>
      <c r="AM213" t="s">
        <v>43</v>
      </c>
      <c r="AN213">
        <v>5</v>
      </c>
      <c r="AO213">
        <v>3</v>
      </c>
      <c r="AP213">
        <v>5</v>
      </c>
      <c r="AQ213">
        <v>4</v>
      </c>
      <c r="AR213">
        <v>5</v>
      </c>
      <c r="AS213">
        <v>3</v>
      </c>
      <c r="AT213">
        <v>13</v>
      </c>
      <c r="AV213">
        <v>12</v>
      </c>
      <c r="AW213">
        <v>12</v>
      </c>
      <c r="AX213">
        <v>13</v>
      </c>
    </row>
    <row r="214" spans="1:50" x14ac:dyDescent="0.2">
      <c r="A214" t="s">
        <v>34</v>
      </c>
      <c r="B214" t="s">
        <v>35</v>
      </c>
      <c r="C214">
        <v>16</v>
      </c>
      <c r="D214" t="s">
        <v>36</v>
      </c>
      <c r="E214" t="s">
        <v>37</v>
      </c>
      <c r="F214" t="s">
        <v>38</v>
      </c>
      <c r="G214">
        <f t="shared" si="50"/>
        <v>0</v>
      </c>
      <c r="H214">
        <v>2</v>
      </c>
      <c r="I214">
        <f t="shared" si="51"/>
        <v>0</v>
      </c>
      <c r="J214">
        <f t="shared" si="52"/>
        <v>0</v>
      </c>
      <c r="K214">
        <f t="shared" si="53"/>
        <v>1</v>
      </c>
      <c r="L214">
        <f t="shared" si="54"/>
        <v>0</v>
      </c>
      <c r="M214">
        <f t="shared" si="55"/>
        <v>0</v>
      </c>
      <c r="N214">
        <v>2</v>
      </c>
      <c r="O214">
        <f t="shared" si="45"/>
        <v>0</v>
      </c>
      <c r="P214">
        <f t="shared" si="46"/>
        <v>0</v>
      </c>
      <c r="Q214">
        <f t="shared" si="47"/>
        <v>1</v>
      </c>
      <c r="R214">
        <f t="shared" si="48"/>
        <v>0</v>
      </c>
      <c r="S214">
        <f t="shared" si="49"/>
        <v>0</v>
      </c>
      <c r="T214">
        <f t="shared" si="56"/>
        <v>0</v>
      </c>
      <c r="V214" t="s">
        <v>46</v>
      </c>
      <c r="W214" t="s">
        <v>46</v>
      </c>
      <c r="X214" t="s">
        <v>52</v>
      </c>
      <c r="Y214" t="s">
        <v>42</v>
      </c>
      <c r="Z214">
        <v>1</v>
      </c>
      <c r="AA214">
        <v>2</v>
      </c>
      <c r="AB214">
        <v>0</v>
      </c>
      <c r="AC214" t="s">
        <v>43</v>
      </c>
      <c r="AD214" t="s">
        <v>43</v>
      </c>
      <c r="AE214">
        <f t="shared" si="57"/>
        <v>1</v>
      </c>
      <c r="AF214" t="s">
        <v>43</v>
      </c>
      <c r="AG214">
        <f t="shared" si="58"/>
        <v>1</v>
      </c>
      <c r="AH214" t="s">
        <v>44</v>
      </c>
      <c r="AI214" t="s">
        <v>43</v>
      </c>
      <c r="AJ214" t="s">
        <v>43</v>
      </c>
      <c r="AK214" t="s">
        <v>43</v>
      </c>
      <c r="AL214">
        <f t="shared" si="59"/>
        <v>1</v>
      </c>
      <c r="AM214" t="s">
        <v>44</v>
      </c>
      <c r="AN214">
        <v>3</v>
      </c>
      <c r="AO214">
        <v>3</v>
      </c>
      <c r="AP214">
        <v>4</v>
      </c>
      <c r="AQ214">
        <v>1</v>
      </c>
      <c r="AR214">
        <v>1</v>
      </c>
      <c r="AS214">
        <v>4</v>
      </c>
      <c r="AT214">
        <v>0</v>
      </c>
      <c r="AV214">
        <v>12</v>
      </c>
      <c r="AW214">
        <v>13</v>
      </c>
      <c r="AX214">
        <v>14</v>
      </c>
    </row>
    <row r="215" spans="1:50" x14ac:dyDescent="0.2">
      <c r="A215" t="s">
        <v>34</v>
      </c>
      <c r="B215" t="s">
        <v>51</v>
      </c>
      <c r="C215">
        <v>18</v>
      </c>
      <c r="D215" t="s">
        <v>36</v>
      </c>
      <c r="E215" t="s">
        <v>37</v>
      </c>
      <c r="F215" t="s">
        <v>45</v>
      </c>
      <c r="G215">
        <f t="shared" si="50"/>
        <v>1</v>
      </c>
      <c r="H215">
        <v>2</v>
      </c>
      <c r="I215">
        <f t="shared" si="51"/>
        <v>0</v>
      </c>
      <c r="J215">
        <f t="shared" si="52"/>
        <v>0</v>
      </c>
      <c r="K215">
        <f t="shared" si="53"/>
        <v>1</v>
      </c>
      <c r="L215">
        <f t="shared" si="54"/>
        <v>0</v>
      </c>
      <c r="M215">
        <f t="shared" si="55"/>
        <v>0</v>
      </c>
      <c r="N215">
        <v>2</v>
      </c>
      <c r="O215">
        <f t="shared" si="45"/>
        <v>0</v>
      </c>
      <c r="P215">
        <f t="shared" si="46"/>
        <v>0</v>
      </c>
      <c r="Q215">
        <f t="shared" si="47"/>
        <v>1</v>
      </c>
      <c r="R215">
        <f t="shared" si="48"/>
        <v>0</v>
      </c>
      <c r="S215">
        <f t="shared" si="49"/>
        <v>0</v>
      </c>
      <c r="T215">
        <f t="shared" si="56"/>
        <v>0</v>
      </c>
      <c r="V215" t="s">
        <v>49</v>
      </c>
      <c r="W215" t="s">
        <v>46</v>
      </c>
      <c r="X215" t="s">
        <v>50</v>
      </c>
      <c r="Y215" t="s">
        <v>42</v>
      </c>
      <c r="Z215">
        <v>1</v>
      </c>
      <c r="AA215">
        <v>2</v>
      </c>
      <c r="AB215">
        <v>1</v>
      </c>
      <c r="AC215" t="s">
        <v>44</v>
      </c>
      <c r="AD215" t="s">
        <v>43</v>
      </c>
      <c r="AE215">
        <f t="shared" si="57"/>
        <v>1</v>
      </c>
      <c r="AF215" t="s">
        <v>43</v>
      </c>
      <c r="AG215">
        <f t="shared" si="58"/>
        <v>1</v>
      </c>
      <c r="AH215" t="s">
        <v>43</v>
      </c>
      <c r="AI215" t="s">
        <v>43</v>
      </c>
      <c r="AJ215" t="s">
        <v>43</v>
      </c>
      <c r="AK215" t="s">
        <v>43</v>
      </c>
      <c r="AL215">
        <f t="shared" si="59"/>
        <v>1</v>
      </c>
      <c r="AM215" t="s">
        <v>44</v>
      </c>
      <c r="AN215">
        <v>4</v>
      </c>
      <c r="AO215">
        <v>4</v>
      </c>
      <c r="AP215">
        <v>4</v>
      </c>
      <c r="AQ215">
        <v>2</v>
      </c>
      <c r="AR215">
        <v>4</v>
      </c>
      <c r="AS215">
        <v>5</v>
      </c>
      <c r="AT215">
        <v>15</v>
      </c>
      <c r="AV215">
        <v>6</v>
      </c>
      <c r="AW215">
        <v>7</v>
      </c>
      <c r="AX215">
        <v>8</v>
      </c>
    </row>
    <row r="216" spans="1:50" x14ac:dyDescent="0.2">
      <c r="A216" t="s">
        <v>34</v>
      </c>
      <c r="B216" t="s">
        <v>35</v>
      </c>
      <c r="C216">
        <v>17</v>
      </c>
      <c r="D216" t="s">
        <v>53</v>
      </c>
      <c r="E216" t="s">
        <v>48</v>
      </c>
      <c r="F216" t="s">
        <v>45</v>
      </c>
      <c r="G216">
        <f t="shared" si="50"/>
        <v>1</v>
      </c>
      <c r="H216">
        <v>4</v>
      </c>
      <c r="I216">
        <f t="shared" si="51"/>
        <v>0</v>
      </c>
      <c r="J216">
        <f t="shared" si="52"/>
        <v>0</v>
      </c>
      <c r="K216">
        <f t="shared" si="53"/>
        <v>0</v>
      </c>
      <c r="L216">
        <f t="shared" si="54"/>
        <v>0</v>
      </c>
      <c r="M216">
        <f t="shared" si="55"/>
        <v>1</v>
      </c>
      <c r="N216">
        <v>4</v>
      </c>
      <c r="O216">
        <f t="shared" si="45"/>
        <v>0</v>
      </c>
      <c r="P216">
        <f t="shared" si="46"/>
        <v>0</v>
      </c>
      <c r="Q216">
        <f t="shared" si="47"/>
        <v>0</v>
      </c>
      <c r="R216">
        <f t="shared" si="48"/>
        <v>0</v>
      </c>
      <c r="S216">
        <f t="shared" si="49"/>
        <v>1</v>
      </c>
      <c r="T216">
        <f t="shared" si="56"/>
        <v>1</v>
      </c>
      <c r="V216" t="s">
        <v>49</v>
      </c>
      <c r="W216" t="s">
        <v>46</v>
      </c>
      <c r="X216" t="s">
        <v>46</v>
      </c>
      <c r="Y216" t="s">
        <v>42</v>
      </c>
      <c r="Z216">
        <v>1</v>
      </c>
      <c r="AA216">
        <v>1</v>
      </c>
      <c r="AB216">
        <v>0</v>
      </c>
      <c r="AC216" t="s">
        <v>44</v>
      </c>
      <c r="AD216" t="s">
        <v>43</v>
      </c>
      <c r="AE216">
        <f t="shared" si="57"/>
        <v>1</v>
      </c>
      <c r="AF216" t="s">
        <v>43</v>
      </c>
      <c r="AG216">
        <f t="shared" si="58"/>
        <v>1</v>
      </c>
      <c r="AH216" t="s">
        <v>44</v>
      </c>
      <c r="AI216" t="s">
        <v>43</v>
      </c>
      <c r="AJ216" t="s">
        <v>43</v>
      </c>
      <c r="AK216" t="s">
        <v>44</v>
      </c>
      <c r="AL216">
        <f t="shared" si="59"/>
        <v>0</v>
      </c>
      <c r="AM216" t="s">
        <v>44</v>
      </c>
      <c r="AN216">
        <v>5</v>
      </c>
      <c r="AO216">
        <v>2</v>
      </c>
      <c r="AP216">
        <v>1</v>
      </c>
      <c r="AQ216">
        <v>1</v>
      </c>
      <c r="AR216">
        <v>2</v>
      </c>
      <c r="AS216">
        <v>3</v>
      </c>
      <c r="AT216">
        <v>12</v>
      </c>
      <c r="AV216">
        <v>8</v>
      </c>
      <c r="AW216">
        <v>10</v>
      </c>
      <c r="AX216">
        <v>10</v>
      </c>
    </row>
    <row r="217" spans="1:50" x14ac:dyDescent="0.2">
      <c r="A217" t="s">
        <v>34</v>
      </c>
      <c r="B217" t="s">
        <v>35</v>
      </c>
      <c r="C217">
        <v>17</v>
      </c>
      <c r="D217" t="s">
        <v>36</v>
      </c>
      <c r="E217" t="s">
        <v>48</v>
      </c>
      <c r="F217" t="s">
        <v>45</v>
      </c>
      <c r="G217">
        <f t="shared" si="50"/>
        <v>1</v>
      </c>
      <c r="H217">
        <v>3</v>
      </c>
      <c r="I217">
        <f t="shared" si="51"/>
        <v>0</v>
      </c>
      <c r="J217">
        <f t="shared" si="52"/>
        <v>0</v>
      </c>
      <c r="K217">
        <f t="shared" si="53"/>
        <v>0</v>
      </c>
      <c r="L217">
        <f t="shared" si="54"/>
        <v>1</v>
      </c>
      <c r="M217">
        <f t="shared" si="55"/>
        <v>0</v>
      </c>
      <c r="N217">
        <v>2</v>
      </c>
      <c r="O217">
        <f t="shared" si="45"/>
        <v>0</v>
      </c>
      <c r="P217">
        <f t="shared" si="46"/>
        <v>0</v>
      </c>
      <c r="Q217">
        <f t="shared" si="47"/>
        <v>1</v>
      </c>
      <c r="R217">
        <f t="shared" si="48"/>
        <v>0</v>
      </c>
      <c r="S217">
        <f t="shared" si="49"/>
        <v>0</v>
      </c>
      <c r="T217">
        <f t="shared" si="56"/>
        <v>0</v>
      </c>
      <c r="V217" t="s">
        <v>46</v>
      </c>
      <c r="W217" t="s">
        <v>46</v>
      </c>
      <c r="X217" t="s">
        <v>52</v>
      </c>
      <c r="Y217" t="s">
        <v>42</v>
      </c>
      <c r="Z217">
        <v>2</v>
      </c>
      <c r="AA217">
        <v>2</v>
      </c>
      <c r="AB217">
        <v>0</v>
      </c>
      <c r="AC217" t="s">
        <v>44</v>
      </c>
      <c r="AD217" t="s">
        <v>44</v>
      </c>
      <c r="AE217">
        <f t="shared" si="57"/>
        <v>0</v>
      </c>
      <c r="AF217" t="s">
        <v>43</v>
      </c>
      <c r="AG217">
        <f t="shared" si="58"/>
        <v>1</v>
      </c>
      <c r="AH217" t="s">
        <v>44</v>
      </c>
      <c r="AI217" t="s">
        <v>43</v>
      </c>
      <c r="AJ217" t="s">
        <v>43</v>
      </c>
      <c r="AK217" t="s">
        <v>43</v>
      </c>
      <c r="AL217">
        <f t="shared" si="59"/>
        <v>1</v>
      </c>
      <c r="AM217" t="s">
        <v>44</v>
      </c>
      <c r="AN217">
        <v>4</v>
      </c>
      <c r="AO217">
        <v>4</v>
      </c>
      <c r="AP217">
        <v>4</v>
      </c>
      <c r="AQ217">
        <v>1</v>
      </c>
      <c r="AR217">
        <v>3</v>
      </c>
      <c r="AS217">
        <v>1</v>
      </c>
      <c r="AT217">
        <v>2</v>
      </c>
      <c r="AV217">
        <v>14</v>
      </c>
      <c r="AW217">
        <v>15</v>
      </c>
      <c r="AX217">
        <v>15</v>
      </c>
    </row>
    <row r="218" spans="1:50" x14ac:dyDescent="0.2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f t="shared" si="50"/>
        <v>1</v>
      </c>
      <c r="H218">
        <v>4</v>
      </c>
      <c r="I218">
        <f t="shared" si="51"/>
        <v>0</v>
      </c>
      <c r="J218">
        <f t="shared" si="52"/>
        <v>0</v>
      </c>
      <c r="K218">
        <f t="shared" si="53"/>
        <v>0</v>
      </c>
      <c r="L218">
        <f t="shared" si="54"/>
        <v>0</v>
      </c>
      <c r="M218">
        <f t="shared" si="55"/>
        <v>1</v>
      </c>
      <c r="N218">
        <v>3</v>
      </c>
      <c r="O218">
        <f t="shared" si="45"/>
        <v>0</v>
      </c>
      <c r="P218">
        <f t="shared" si="46"/>
        <v>0</v>
      </c>
      <c r="Q218">
        <f t="shared" si="47"/>
        <v>0</v>
      </c>
      <c r="R218">
        <f t="shared" si="48"/>
        <v>1</v>
      </c>
      <c r="S218">
        <f t="shared" si="49"/>
        <v>0</v>
      </c>
      <c r="T218">
        <f t="shared" si="56"/>
        <v>0</v>
      </c>
      <c r="V218" t="s">
        <v>46</v>
      </c>
      <c r="W218" t="s">
        <v>46</v>
      </c>
      <c r="X218" t="s">
        <v>52</v>
      </c>
      <c r="Y218" t="s">
        <v>42</v>
      </c>
      <c r="Z218">
        <v>1</v>
      </c>
      <c r="AA218">
        <v>2</v>
      </c>
      <c r="AB218">
        <v>2</v>
      </c>
      <c r="AC218" t="s">
        <v>44</v>
      </c>
      <c r="AD218" t="s">
        <v>44</v>
      </c>
      <c r="AE218">
        <f t="shared" si="57"/>
        <v>0</v>
      </c>
      <c r="AF218" t="s">
        <v>43</v>
      </c>
      <c r="AG218">
        <f t="shared" si="58"/>
        <v>1</v>
      </c>
      <c r="AH218" t="s">
        <v>44</v>
      </c>
      <c r="AI218" t="s">
        <v>43</v>
      </c>
      <c r="AJ218" t="s">
        <v>43</v>
      </c>
      <c r="AK218" t="s">
        <v>43</v>
      </c>
      <c r="AL218">
        <f t="shared" si="59"/>
        <v>1</v>
      </c>
      <c r="AM218" t="s">
        <v>43</v>
      </c>
      <c r="AN218">
        <v>3</v>
      </c>
      <c r="AO218">
        <v>4</v>
      </c>
      <c r="AP218">
        <v>5</v>
      </c>
      <c r="AQ218">
        <v>2</v>
      </c>
      <c r="AR218">
        <v>4</v>
      </c>
      <c r="AS218">
        <v>1</v>
      </c>
      <c r="AT218">
        <v>22</v>
      </c>
      <c r="AV218">
        <v>6</v>
      </c>
      <c r="AW218">
        <v>6</v>
      </c>
      <c r="AX218">
        <v>4</v>
      </c>
    </row>
    <row r="219" spans="1:50" x14ac:dyDescent="0.2">
      <c r="A219" t="s">
        <v>34</v>
      </c>
      <c r="B219" t="s">
        <v>51</v>
      </c>
      <c r="C219">
        <v>18</v>
      </c>
      <c r="D219" t="s">
        <v>36</v>
      </c>
      <c r="E219" t="s">
        <v>48</v>
      </c>
      <c r="F219" t="s">
        <v>45</v>
      </c>
      <c r="G219">
        <f t="shared" si="50"/>
        <v>1</v>
      </c>
      <c r="H219">
        <v>3</v>
      </c>
      <c r="I219">
        <f t="shared" si="51"/>
        <v>0</v>
      </c>
      <c r="J219">
        <f t="shared" si="52"/>
        <v>0</v>
      </c>
      <c r="K219">
        <f t="shared" si="53"/>
        <v>0</v>
      </c>
      <c r="L219">
        <f t="shared" si="54"/>
        <v>1</v>
      </c>
      <c r="M219">
        <f t="shared" si="55"/>
        <v>0</v>
      </c>
      <c r="N219">
        <v>3</v>
      </c>
      <c r="O219">
        <f t="shared" si="45"/>
        <v>0</v>
      </c>
      <c r="P219">
        <f t="shared" si="46"/>
        <v>0</v>
      </c>
      <c r="Q219">
        <f t="shared" si="47"/>
        <v>0</v>
      </c>
      <c r="R219">
        <f t="shared" si="48"/>
        <v>1</v>
      </c>
      <c r="S219">
        <f t="shared" si="49"/>
        <v>0</v>
      </c>
      <c r="T219">
        <f t="shared" si="56"/>
        <v>0</v>
      </c>
      <c r="V219" t="s">
        <v>49</v>
      </c>
      <c r="W219" t="s">
        <v>29</v>
      </c>
      <c r="X219" t="s">
        <v>50</v>
      </c>
      <c r="Y219" t="s">
        <v>47</v>
      </c>
      <c r="Z219">
        <v>1</v>
      </c>
      <c r="AA219">
        <v>2</v>
      </c>
      <c r="AB219">
        <v>1</v>
      </c>
      <c r="AC219" t="s">
        <v>44</v>
      </c>
      <c r="AD219" t="s">
        <v>43</v>
      </c>
      <c r="AE219">
        <f t="shared" si="57"/>
        <v>1</v>
      </c>
      <c r="AF219" t="s">
        <v>43</v>
      </c>
      <c r="AG219">
        <f t="shared" si="58"/>
        <v>1</v>
      </c>
      <c r="AH219" t="s">
        <v>44</v>
      </c>
      <c r="AI219" t="s">
        <v>43</v>
      </c>
      <c r="AJ219" t="s">
        <v>43</v>
      </c>
      <c r="AK219" t="s">
        <v>43</v>
      </c>
      <c r="AL219">
        <f t="shared" si="59"/>
        <v>1</v>
      </c>
      <c r="AM219" t="s">
        <v>44</v>
      </c>
      <c r="AN219">
        <v>3</v>
      </c>
      <c r="AO219">
        <v>2</v>
      </c>
      <c r="AP219">
        <v>4</v>
      </c>
      <c r="AQ219">
        <v>2</v>
      </c>
      <c r="AR219">
        <v>4</v>
      </c>
      <c r="AS219">
        <v>4</v>
      </c>
      <c r="AT219">
        <v>13</v>
      </c>
      <c r="AV219">
        <v>6</v>
      </c>
      <c r="AW219">
        <v>6</v>
      </c>
      <c r="AX219">
        <v>8</v>
      </c>
    </row>
    <row r="220" spans="1:50" x14ac:dyDescent="0.2">
      <c r="A220" t="s">
        <v>34</v>
      </c>
      <c r="B220" t="s">
        <v>35</v>
      </c>
      <c r="C220">
        <v>17</v>
      </c>
      <c r="D220" t="s">
        <v>36</v>
      </c>
      <c r="E220" t="s">
        <v>37</v>
      </c>
      <c r="F220" t="s">
        <v>45</v>
      </c>
      <c r="G220">
        <f t="shared" si="50"/>
        <v>1</v>
      </c>
      <c r="H220">
        <v>2</v>
      </c>
      <c r="I220">
        <f t="shared" si="51"/>
        <v>0</v>
      </c>
      <c r="J220">
        <f t="shared" si="52"/>
        <v>0</v>
      </c>
      <c r="K220">
        <f t="shared" si="53"/>
        <v>1</v>
      </c>
      <c r="L220">
        <f t="shared" si="54"/>
        <v>0</v>
      </c>
      <c r="M220">
        <f t="shared" si="55"/>
        <v>0</v>
      </c>
      <c r="N220">
        <v>3</v>
      </c>
      <c r="O220">
        <f t="shared" si="45"/>
        <v>0</v>
      </c>
      <c r="P220">
        <f t="shared" si="46"/>
        <v>0</v>
      </c>
      <c r="Q220">
        <f t="shared" si="47"/>
        <v>0</v>
      </c>
      <c r="R220">
        <f t="shared" si="48"/>
        <v>1</v>
      </c>
      <c r="S220">
        <f t="shared" si="49"/>
        <v>0</v>
      </c>
      <c r="T220">
        <f t="shared" si="56"/>
        <v>0</v>
      </c>
      <c r="V220" t="s">
        <v>39</v>
      </c>
      <c r="W220" t="s">
        <v>46</v>
      </c>
      <c r="X220" t="s">
        <v>50</v>
      </c>
      <c r="Y220" t="s">
        <v>47</v>
      </c>
      <c r="Z220">
        <v>2</v>
      </c>
      <c r="AA220">
        <v>1</v>
      </c>
      <c r="AB220">
        <v>0</v>
      </c>
      <c r="AC220" t="s">
        <v>44</v>
      </c>
      <c r="AD220" t="s">
        <v>43</v>
      </c>
      <c r="AE220">
        <f t="shared" si="57"/>
        <v>1</v>
      </c>
      <c r="AF220" t="s">
        <v>43</v>
      </c>
      <c r="AG220">
        <f t="shared" si="58"/>
        <v>1</v>
      </c>
      <c r="AH220" t="s">
        <v>44</v>
      </c>
      <c r="AI220" t="s">
        <v>43</v>
      </c>
      <c r="AJ220" t="s">
        <v>43</v>
      </c>
      <c r="AK220" t="s">
        <v>44</v>
      </c>
      <c r="AL220">
        <f t="shared" si="59"/>
        <v>0</v>
      </c>
      <c r="AM220" t="s">
        <v>44</v>
      </c>
      <c r="AN220">
        <v>3</v>
      </c>
      <c r="AO220">
        <v>3</v>
      </c>
      <c r="AP220">
        <v>3</v>
      </c>
      <c r="AQ220">
        <v>1</v>
      </c>
      <c r="AR220">
        <v>4</v>
      </c>
      <c r="AS220">
        <v>3</v>
      </c>
      <c r="AT220">
        <v>3</v>
      </c>
      <c r="AV220">
        <v>7</v>
      </c>
      <c r="AW220">
        <v>7</v>
      </c>
      <c r="AX220">
        <v>8</v>
      </c>
    </row>
    <row r="221" spans="1:50" x14ac:dyDescent="0.2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f t="shared" si="50"/>
        <v>1</v>
      </c>
      <c r="H221">
        <v>2</v>
      </c>
      <c r="I221">
        <f t="shared" si="51"/>
        <v>0</v>
      </c>
      <c r="J221">
        <f t="shared" si="52"/>
        <v>0</v>
      </c>
      <c r="K221">
        <f t="shared" si="53"/>
        <v>1</v>
      </c>
      <c r="L221">
        <f t="shared" si="54"/>
        <v>0</v>
      </c>
      <c r="M221">
        <f t="shared" si="55"/>
        <v>0</v>
      </c>
      <c r="N221">
        <v>2</v>
      </c>
      <c r="O221">
        <f t="shared" si="45"/>
        <v>0</v>
      </c>
      <c r="P221">
        <f t="shared" si="46"/>
        <v>0</v>
      </c>
      <c r="Q221">
        <f t="shared" si="47"/>
        <v>1</v>
      </c>
      <c r="R221">
        <f t="shared" si="48"/>
        <v>0</v>
      </c>
      <c r="S221">
        <f t="shared" si="49"/>
        <v>0</v>
      </c>
      <c r="T221">
        <f t="shared" si="56"/>
        <v>0</v>
      </c>
      <c r="V221" t="s">
        <v>39</v>
      </c>
      <c r="W221" t="s">
        <v>39</v>
      </c>
      <c r="X221" t="s">
        <v>41</v>
      </c>
      <c r="Y221" t="s">
        <v>42</v>
      </c>
      <c r="Z221">
        <v>1</v>
      </c>
      <c r="AA221">
        <v>3</v>
      </c>
      <c r="AB221">
        <v>0</v>
      </c>
      <c r="AC221" t="s">
        <v>44</v>
      </c>
      <c r="AD221" t="s">
        <v>43</v>
      </c>
      <c r="AE221">
        <f t="shared" si="57"/>
        <v>1</v>
      </c>
      <c r="AF221" t="s">
        <v>43</v>
      </c>
      <c r="AG221">
        <f t="shared" si="58"/>
        <v>1</v>
      </c>
      <c r="AH221" t="s">
        <v>43</v>
      </c>
      <c r="AI221" t="s">
        <v>43</v>
      </c>
      <c r="AJ221" t="s">
        <v>43</v>
      </c>
      <c r="AK221" t="s">
        <v>43</v>
      </c>
      <c r="AL221">
        <f t="shared" si="59"/>
        <v>1</v>
      </c>
      <c r="AM221" t="s">
        <v>44</v>
      </c>
      <c r="AN221">
        <v>4</v>
      </c>
      <c r="AO221">
        <v>3</v>
      </c>
      <c r="AP221">
        <v>3</v>
      </c>
      <c r="AQ221">
        <v>1</v>
      </c>
      <c r="AR221">
        <v>1</v>
      </c>
      <c r="AS221">
        <v>4</v>
      </c>
      <c r="AT221">
        <v>4</v>
      </c>
      <c r="AV221">
        <v>9</v>
      </c>
      <c r="AW221">
        <v>10</v>
      </c>
      <c r="AX221">
        <v>10</v>
      </c>
    </row>
    <row r="222" spans="1:50" x14ac:dyDescent="0.2">
      <c r="A222" t="s">
        <v>34</v>
      </c>
      <c r="B222" t="s">
        <v>35</v>
      </c>
      <c r="C222">
        <v>17</v>
      </c>
      <c r="D222" t="s">
        <v>53</v>
      </c>
      <c r="E222" t="s">
        <v>37</v>
      </c>
      <c r="F222" t="s">
        <v>45</v>
      </c>
      <c r="G222">
        <f t="shared" si="50"/>
        <v>1</v>
      </c>
      <c r="H222">
        <v>2</v>
      </c>
      <c r="I222">
        <f t="shared" si="51"/>
        <v>0</v>
      </c>
      <c r="J222">
        <f t="shared" si="52"/>
        <v>0</v>
      </c>
      <c r="K222">
        <f t="shared" si="53"/>
        <v>1</v>
      </c>
      <c r="L222">
        <f t="shared" si="54"/>
        <v>0</v>
      </c>
      <c r="M222">
        <f t="shared" si="55"/>
        <v>0</v>
      </c>
      <c r="N222">
        <v>1</v>
      </c>
      <c r="O222">
        <f t="shared" si="45"/>
        <v>0</v>
      </c>
      <c r="P222">
        <f t="shared" si="46"/>
        <v>1</v>
      </c>
      <c r="Q222">
        <f t="shared" si="47"/>
        <v>0</v>
      </c>
      <c r="R222">
        <f t="shared" si="48"/>
        <v>0</v>
      </c>
      <c r="S222">
        <f t="shared" si="49"/>
        <v>0</v>
      </c>
      <c r="T222">
        <f t="shared" si="56"/>
        <v>0</v>
      </c>
      <c r="V222" t="s">
        <v>39</v>
      </c>
      <c r="W222" t="s">
        <v>49</v>
      </c>
      <c r="X222" t="s">
        <v>52</v>
      </c>
      <c r="Y222" t="s">
        <v>42</v>
      </c>
      <c r="Z222">
        <v>2</v>
      </c>
      <c r="AA222">
        <v>2</v>
      </c>
      <c r="AB222">
        <v>0</v>
      </c>
      <c r="AC222" t="s">
        <v>44</v>
      </c>
      <c r="AD222" t="s">
        <v>43</v>
      </c>
      <c r="AE222">
        <f t="shared" si="57"/>
        <v>1</v>
      </c>
      <c r="AF222" t="s">
        <v>44</v>
      </c>
      <c r="AG222">
        <f t="shared" si="58"/>
        <v>0</v>
      </c>
      <c r="AH222" t="s">
        <v>43</v>
      </c>
      <c r="AI222" t="s">
        <v>43</v>
      </c>
      <c r="AJ222" t="s">
        <v>43</v>
      </c>
      <c r="AK222" t="s">
        <v>43</v>
      </c>
      <c r="AL222">
        <f t="shared" si="59"/>
        <v>1</v>
      </c>
      <c r="AM222" t="s">
        <v>44</v>
      </c>
      <c r="AN222">
        <v>4</v>
      </c>
      <c r="AO222">
        <v>2</v>
      </c>
      <c r="AP222">
        <v>5</v>
      </c>
      <c r="AQ222">
        <v>1</v>
      </c>
      <c r="AR222">
        <v>2</v>
      </c>
      <c r="AS222">
        <v>5</v>
      </c>
      <c r="AT222">
        <v>2</v>
      </c>
      <c r="AV222">
        <v>6</v>
      </c>
      <c r="AW222">
        <v>6</v>
      </c>
      <c r="AX222">
        <v>6</v>
      </c>
    </row>
    <row r="223" spans="1:50" x14ac:dyDescent="0.2">
      <c r="A223" t="s">
        <v>34</v>
      </c>
      <c r="B223" t="s">
        <v>35</v>
      </c>
      <c r="C223">
        <v>17</v>
      </c>
      <c r="D223" t="s">
        <v>36</v>
      </c>
      <c r="E223" t="s">
        <v>37</v>
      </c>
      <c r="F223" t="s">
        <v>45</v>
      </c>
      <c r="G223">
        <f t="shared" si="50"/>
        <v>1</v>
      </c>
      <c r="H223">
        <v>1</v>
      </c>
      <c r="I223">
        <f t="shared" si="51"/>
        <v>0</v>
      </c>
      <c r="J223">
        <f t="shared" si="52"/>
        <v>1</v>
      </c>
      <c r="K223">
        <f t="shared" si="53"/>
        <v>0</v>
      </c>
      <c r="L223">
        <f t="shared" si="54"/>
        <v>0</v>
      </c>
      <c r="M223">
        <f t="shared" si="55"/>
        <v>0</v>
      </c>
      <c r="N223">
        <v>1</v>
      </c>
      <c r="O223">
        <f t="shared" si="45"/>
        <v>0</v>
      </c>
      <c r="P223">
        <f t="shared" si="46"/>
        <v>1</v>
      </c>
      <c r="Q223">
        <f t="shared" si="47"/>
        <v>0</v>
      </c>
      <c r="R223">
        <f t="shared" si="48"/>
        <v>0</v>
      </c>
      <c r="S223">
        <f t="shared" si="49"/>
        <v>0</v>
      </c>
      <c r="T223">
        <f t="shared" si="56"/>
        <v>0</v>
      </c>
      <c r="V223" t="s">
        <v>39</v>
      </c>
      <c r="W223" t="s">
        <v>46</v>
      </c>
      <c r="X223" t="s">
        <v>52</v>
      </c>
      <c r="Y223" t="s">
        <v>42</v>
      </c>
      <c r="Z223">
        <v>1</v>
      </c>
      <c r="AA223">
        <v>3</v>
      </c>
      <c r="AB223">
        <v>1</v>
      </c>
      <c r="AC223" t="s">
        <v>44</v>
      </c>
      <c r="AD223" t="s">
        <v>43</v>
      </c>
      <c r="AE223">
        <f t="shared" si="57"/>
        <v>1</v>
      </c>
      <c r="AF223" t="s">
        <v>44</v>
      </c>
      <c r="AG223">
        <f t="shared" si="58"/>
        <v>0</v>
      </c>
      <c r="AH223" t="s">
        <v>43</v>
      </c>
      <c r="AI223" t="s">
        <v>43</v>
      </c>
      <c r="AJ223" t="s">
        <v>43</v>
      </c>
      <c r="AK223" t="s">
        <v>44</v>
      </c>
      <c r="AL223">
        <f t="shared" si="59"/>
        <v>0</v>
      </c>
      <c r="AM223" t="s">
        <v>43</v>
      </c>
      <c r="AN223">
        <v>4</v>
      </c>
      <c r="AO223">
        <v>3</v>
      </c>
      <c r="AP223">
        <v>4</v>
      </c>
      <c r="AQ223">
        <v>1</v>
      </c>
      <c r="AR223">
        <v>1</v>
      </c>
      <c r="AS223">
        <v>5</v>
      </c>
      <c r="AT223">
        <v>0</v>
      </c>
      <c r="AV223">
        <v>6</v>
      </c>
      <c r="AW223">
        <v>5</v>
      </c>
      <c r="AX223">
        <v>0</v>
      </c>
    </row>
    <row r="224" spans="1:50" x14ac:dyDescent="0.2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f t="shared" si="50"/>
        <v>1</v>
      </c>
      <c r="H224">
        <v>2</v>
      </c>
      <c r="I224">
        <f t="shared" si="51"/>
        <v>0</v>
      </c>
      <c r="J224">
        <f t="shared" si="52"/>
        <v>0</v>
      </c>
      <c r="K224">
        <f t="shared" si="53"/>
        <v>1</v>
      </c>
      <c r="L224">
        <f t="shared" si="54"/>
        <v>0</v>
      </c>
      <c r="M224">
        <f t="shared" si="55"/>
        <v>0</v>
      </c>
      <c r="N224">
        <v>3</v>
      </c>
      <c r="O224">
        <f t="shared" si="45"/>
        <v>0</v>
      </c>
      <c r="P224">
        <f t="shared" si="46"/>
        <v>0</v>
      </c>
      <c r="Q224">
        <f t="shared" si="47"/>
        <v>0</v>
      </c>
      <c r="R224">
        <f t="shared" si="48"/>
        <v>1</v>
      </c>
      <c r="S224">
        <f t="shared" si="49"/>
        <v>0</v>
      </c>
      <c r="T224">
        <f t="shared" si="56"/>
        <v>0</v>
      </c>
      <c r="V224" t="s">
        <v>49</v>
      </c>
      <c r="W224" t="s">
        <v>40</v>
      </c>
      <c r="X224" t="s">
        <v>46</v>
      </c>
      <c r="Y224" t="s">
        <v>42</v>
      </c>
      <c r="Z224">
        <v>1</v>
      </c>
      <c r="AA224">
        <v>2</v>
      </c>
      <c r="AB224">
        <v>0</v>
      </c>
      <c r="AC224" t="s">
        <v>43</v>
      </c>
      <c r="AD224" t="s">
        <v>44</v>
      </c>
      <c r="AE224">
        <f t="shared" si="57"/>
        <v>0</v>
      </c>
      <c r="AF224" t="s">
        <v>44</v>
      </c>
      <c r="AG224">
        <f t="shared" si="58"/>
        <v>0</v>
      </c>
      <c r="AH224" t="s">
        <v>44</v>
      </c>
      <c r="AI224" t="s">
        <v>43</v>
      </c>
      <c r="AJ224" t="s">
        <v>43</v>
      </c>
      <c r="AK224" t="s">
        <v>43</v>
      </c>
      <c r="AL224">
        <f t="shared" si="59"/>
        <v>1</v>
      </c>
      <c r="AM224" t="s">
        <v>44</v>
      </c>
      <c r="AN224">
        <v>2</v>
      </c>
      <c r="AO224">
        <v>3</v>
      </c>
      <c r="AP224">
        <v>1</v>
      </c>
      <c r="AQ224">
        <v>1</v>
      </c>
      <c r="AR224">
        <v>1</v>
      </c>
      <c r="AS224">
        <v>3</v>
      </c>
      <c r="AT224">
        <v>2</v>
      </c>
      <c r="AV224">
        <v>16</v>
      </c>
      <c r="AW224">
        <v>16</v>
      </c>
      <c r="AX224">
        <v>17</v>
      </c>
    </row>
    <row r="225" spans="1:50" x14ac:dyDescent="0.2">
      <c r="A225" t="s">
        <v>34</v>
      </c>
      <c r="B225" t="s">
        <v>51</v>
      </c>
      <c r="C225">
        <v>18</v>
      </c>
      <c r="D225" t="s">
        <v>36</v>
      </c>
      <c r="E225" t="s">
        <v>37</v>
      </c>
      <c r="F225" t="s">
        <v>45</v>
      </c>
      <c r="G225">
        <f t="shared" si="50"/>
        <v>1</v>
      </c>
      <c r="H225">
        <v>2</v>
      </c>
      <c r="I225">
        <f t="shared" si="51"/>
        <v>0</v>
      </c>
      <c r="J225">
        <f t="shared" si="52"/>
        <v>0</v>
      </c>
      <c r="K225">
        <f t="shared" si="53"/>
        <v>1</v>
      </c>
      <c r="L225">
        <f t="shared" si="54"/>
        <v>0</v>
      </c>
      <c r="M225">
        <f t="shared" si="55"/>
        <v>0</v>
      </c>
      <c r="N225">
        <v>2</v>
      </c>
      <c r="O225">
        <f t="shared" si="45"/>
        <v>0</v>
      </c>
      <c r="P225">
        <f t="shared" si="46"/>
        <v>0</v>
      </c>
      <c r="Q225">
        <f t="shared" si="47"/>
        <v>1</v>
      </c>
      <c r="R225">
        <f t="shared" si="48"/>
        <v>0</v>
      </c>
      <c r="S225">
        <f t="shared" si="49"/>
        <v>0</v>
      </c>
      <c r="T225">
        <f t="shared" si="56"/>
        <v>0</v>
      </c>
      <c r="V225" t="s">
        <v>46</v>
      </c>
      <c r="W225" t="s">
        <v>46</v>
      </c>
      <c r="X225" t="s">
        <v>50</v>
      </c>
      <c r="Y225" t="s">
        <v>42</v>
      </c>
      <c r="Z225">
        <v>2</v>
      </c>
      <c r="AA225">
        <v>2</v>
      </c>
      <c r="AB225">
        <v>0</v>
      </c>
      <c r="AC225" t="s">
        <v>44</v>
      </c>
      <c r="AD225" t="s">
        <v>43</v>
      </c>
      <c r="AE225">
        <f t="shared" si="57"/>
        <v>1</v>
      </c>
      <c r="AF225" t="s">
        <v>43</v>
      </c>
      <c r="AG225">
        <f t="shared" si="58"/>
        <v>1</v>
      </c>
      <c r="AH225" t="s">
        <v>44</v>
      </c>
      <c r="AI225" t="s">
        <v>43</v>
      </c>
      <c r="AJ225" t="s">
        <v>43</v>
      </c>
      <c r="AK225" t="s">
        <v>43</v>
      </c>
      <c r="AL225">
        <f t="shared" si="59"/>
        <v>1</v>
      </c>
      <c r="AM225" t="s">
        <v>44</v>
      </c>
      <c r="AN225">
        <v>3</v>
      </c>
      <c r="AO225">
        <v>3</v>
      </c>
      <c r="AP225">
        <v>3</v>
      </c>
      <c r="AQ225">
        <v>5</v>
      </c>
      <c r="AR225">
        <v>5</v>
      </c>
      <c r="AS225">
        <v>4</v>
      </c>
      <c r="AT225">
        <v>0</v>
      </c>
      <c r="AV225">
        <v>12</v>
      </c>
      <c r="AW225">
        <v>13</v>
      </c>
      <c r="AX225">
        <v>13</v>
      </c>
    </row>
    <row r="226" spans="1:50" x14ac:dyDescent="0.2">
      <c r="A226" t="s">
        <v>34</v>
      </c>
      <c r="B226" t="s">
        <v>35</v>
      </c>
      <c r="C226">
        <v>16</v>
      </c>
      <c r="D226" t="s">
        <v>36</v>
      </c>
      <c r="E226" t="s">
        <v>37</v>
      </c>
      <c r="F226" t="s">
        <v>45</v>
      </c>
      <c r="G226">
        <f t="shared" si="50"/>
        <v>1</v>
      </c>
      <c r="H226">
        <v>4</v>
      </c>
      <c r="I226">
        <f t="shared" si="51"/>
        <v>0</v>
      </c>
      <c r="J226">
        <f t="shared" si="52"/>
        <v>0</v>
      </c>
      <c r="K226">
        <f t="shared" si="53"/>
        <v>0</v>
      </c>
      <c r="L226">
        <f t="shared" si="54"/>
        <v>0</v>
      </c>
      <c r="M226">
        <f t="shared" si="55"/>
        <v>1</v>
      </c>
      <c r="N226">
        <v>4</v>
      </c>
      <c r="O226">
        <f t="shared" si="45"/>
        <v>0</v>
      </c>
      <c r="P226">
        <f t="shared" si="46"/>
        <v>0</v>
      </c>
      <c r="Q226">
        <f t="shared" si="47"/>
        <v>0</v>
      </c>
      <c r="R226">
        <f t="shared" si="48"/>
        <v>0</v>
      </c>
      <c r="S226">
        <f t="shared" si="49"/>
        <v>1</v>
      </c>
      <c r="T226">
        <f t="shared" si="56"/>
        <v>1</v>
      </c>
      <c r="V226" t="s">
        <v>40</v>
      </c>
      <c r="W226" t="s">
        <v>49</v>
      </c>
      <c r="X226" t="s">
        <v>50</v>
      </c>
      <c r="Y226" t="s">
        <v>42</v>
      </c>
      <c r="Z226">
        <v>1</v>
      </c>
      <c r="AA226">
        <v>3</v>
      </c>
      <c r="AB226">
        <v>0</v>
      </c>
      <c r="AC226" t="s">
        <v>44</v>
      </c>
      <c r="AD226" t="s">
        <v>43</v>
      </c>
      <c r="AE226">
        <f t="shared" si="57"/>
        <v>1</v>
      </c>
      <c r="AF226" t="s">
        <v>44</v>
      </c>
      <c r="AG226">
        <f t="shared" si="58"/>
        <v>0</v>
      </c>
      <c r="AH226" t="s">
        <v>43</v>
      </c>
      <c r="AI226" t="s">
        <v>44</v>
      </c>
      <c r="AJ226" t="s">
        <v>43</v>
      </c>
      <c r="AK226" t="s">
        <v>43</v>
      </c>
      <c r="AL226">
        <f t="shared" si="59"/>
        <v>1</v>
      </c>
      <c r="AM226" t="s">
        <v>44</v>
      </c>
      <c r="AN226">
        <v>5</v>
      </c>
      <c r="AO226">
        <v>3</v>
      </c>
      <c r="AP226">
        <v>2</v>
      </c>
      <c r="AQ226">
        <v>1</v>
      </c>
      <c r="AR226">
        <v>1</v>
      </c>
      <c r="AS226">
        <v>5</v>
      </c>
      <c r="AT226">
        <v>0</v>
      </c>
      <c r="AV226">
        <v>13</v>
      </c>
      <c r="AW226">
        <v>13</v>
      </c>
      <c r="AX226">
        <v>14</v>
      </c>
    </row>
    <row r="227" spans="1:50" x14ac:dyDescent="0.2">
      <c r="A227" t="s">
        <v>34</v>
      </c>
      <c r="B227" t="s">
        <v>35</v>
      </c>
      <c r="C227">
        <v>18</v>
      </c>
      <c r="D227" t="s">
        <v>53</v>
      </c>
      <c r="E227" t="s">
        <v>37</v>
      </c>
      <c r="F227" t="s">
        <v>45</v>
      </c>
      <c r="G227">
        <f t="shared" si="50"/>
        <v>1</v>
      </c>
      <c r="H227">
        <v>3</v>
      </c>
      <c r="I227">
        <f t="shared" si="51"/>
        <v>0</v>
      </c>
      <c r="J227">
        <f t="shared" si="52"/>
        <v>0</v>
      </c>
      <c r="K227">
        <f t="shared" si="53"/>
        <v>0</v>
      </c>
      <c r="L227">
        <f t="shared" si="54"/>
        <v>1</v>
      </c>
      <c r="M227">
        <f t="shared" si="55"/>
        <v>0</v>
      </c>
      <c r="N227">
        <v>1</v>
      </c>
      <c r="O227">
        <f t="shared" si="45"/>
        <v>0</v>
      </c>
      <c r="P227">
        <f t="shared" si="46"/>
        <v>1</v>
      </c>
      <c r="Q227">
        <f t="shared" si="47"/>
        <v>0</v>
      </c>
      <c r="R227">
        <f t="shared" si="48"/>
        <v>0</v>
      </c>
      <c r="S227">
        <f t="shared" si="49"/>
        <v>0</v>
      </c>
      <c r="T227">
        <f t="shared" si="56"/>
        <v>0</v>
      </c>
      <c r="V227" t="s">
        <v>46</v>
      </c>
      <c r="W227" t="s">
        <v>46</v>
      </c>
      <c r="X227" t="s">
        <v>52</v>
      </c>
      <c r="Y227" t="s">
        <v>42</v>
      </c>
      <c r="Z227">
        <v>1</v>
      </c>
      <c r="AA227">
        <v>2</v>
      </c>
      <c r="AB227">
        <v>1</v>
      </c>
      <c r="AC227" t="s">
        <v>44</v>
      </c>
      <c r="AD227" t="s">
        <v>44</v>
      </c>
      <c r="AE227">
        <f t="shared" si="57"/>
        <v>0</v>
      </c>
      <c r="AF227" t="s">
        <v>44</v>
      </c>
      <c r="AG227">
        <f t="shared" si="58"/>
        <v>0</v>
      </c>
      <c r="AH227" t="s">
        <v>43</v>
      </c>
      <c r="AI227" t="s">
        <v>43</v>
      </c>
      <c r="AJ227" t="s">
        <v>43</v>
      </c>
      <c r="AK227" t="s">
        <v>43</v>
      </c>
      <c r="AL227">
        <f t="shared" si="59"/>
        <v>1</v>
      </c>
      <c r="AM227" t="s">
        <v>43</v>
      </c>
      <c r="AN227">
        <v>5</v>
      </c>
      <c r="AO227">
        <v>3</v>
      </c>
      <c r="AP227">
        <v>3</v>
      </c>
      <c r="AQ227">
        <v>1</v>
      </c>
      <c r="AR227">
        <v>1</v>
      </c>
      <c r="AS227">
        <v>4</v>
      </c>
      <c r="AT227">
        <v>16</v>
      </c>
      <c r="AV227">
        <v>9</v>
      </c>
      <c r="AW227">
        <v>8</v>
      </c>
      <c r="AX227">
        <v>7</v>
      </c>
    </row>
    <row r="228" spans="1:50" x14ac:dyDescent="0.2">
      <c r="A228" t="s">
        <v>34</v>
      </c>
      <c r="B228" t="s">
        <v>35</v>
      </c>
      <c r="C228">
        <v>17</v>
      </c>
      <c r="D228" t="s">
        <v>36</v>
      </c>
      <c r="E228" t="s">
        <v>37</v>
      </c>
      <c r="F228" t="s">
        <v>45</v>
      </c>
      <c r="G228">
        <f t="shared" si="50"/>
        <v>1</v>
      </c>
      <c r="H228">
        <v>3</v>
      </c>
      <c r="I228">
        <f t="shared" si="51"/>
        <v>0</v>
      </c>
      <c r="J228">
        <f t="shared" si="52"/>
        <v>0</v>
      </c>
      <c r="K228">
        <f t="shared" si="53"/>
        <v>0</v>
      </c>
      <c r="L228">
        <f t="shared" si="54"/>
        <v>1</v>
      </c>
      <c r="M228">
        <f t="shared" si="55"/>
        <v>0</v>
      </c>
      <c r="N228">
        <v>2</v>
      </c>
      <c r="O228">
        <f t="shared" si="45"/>
        <v>0</v>
      </c>
      <c r="P228">
        <f t="shared" si="46"/>
        <v>0</v>
      </c>
      <c r="Q228">
        <f t="shared" si="47"/>
        <v>1</v>
      </c>
      <c r="R228">
        <f t="shared" si="48"/>
        <v>0</v>
      </c>
      <c r="S228">
        <f t="shared" si="49"/>
        <v>0</v>
      </c>
      <c r="T228">
        <f t="shared" si="56"/>
        <v>0</v>
      </c>
      <c r="V228" t="s">
        <v>46</v>
      </c>
      <c r="W228" t="s">
        <v>46</v>
      </c>
      <c r="X228" t="s">
        <v>41</v>
      </c>
      <c r="Y228" t="s">
        <v>42</v>
      </c>
      <c r="Z228">
        <v>1</v>
      </c>
      <c r="AA228">
        <v>2</v>
      </c>
      <c r="AB228">
        <v>0</v>
      </c>
      <c r="AC228" t="s">
        <v>44</v>
      </c>
      <c r="AD228" t="s">
        <v>44</v>
      </c>
      <c r="AE228">
        <f t="shared" si="57"/>
        <v>0</v>
      </c>
      <c r="AF228" t="s">
        <v>44</v>
      </c>
      <c r="AG228">
        <f t="shared" si="58"/>
        <v>0</v>
      </c>
      <c r="AH228" t="s">
        <v>43</v>
      </c>
      <c r="AI228" t="s">
        <v>44</v>
      </c>
      <c r="AJ228" t="s">
        <v>43</v>
      </c>
      <c r="AK228" t="s">
        <v>43</v>
      </c>
      <c r="AL228">
        <f t="shared" si="59"/>
        <v>1</v>
      </c>
      <c r="AM228" t="s">
        <v>44</v>
      </c>
      <c r="AN228">
        <v>5</v>
      </c>
      <c r="AO228">
        <v>3</v>
      </c>
      <c r="AP228">
        <v>4</v>
      </c>
      <c r="AQ228">
        <v>1</v>
      </c>
      <c r="AR228">
        <v>3</v>
      </c>
      <c r="AS228">
        <v>3</v>
      </c>
      <c r="AT228">
        <v>10</v>
      </c>
      <c r="AV228">
        <v>16</v>
      </c>
      <c r="AW228">
        <v>15</v>
      </c>
      <c r="AX228">
        <v>15</v>
      </c>
    </row>
    <row r="229" spans="1:50" x14ac:dyDescent="0.2">
      <c r="A229" t="s">
        <v>34</v>
      </c>
      <c r="B229" t="s">
        <v>51</v>
      </c>
      <c r="C229">
        <v>17</v>
      </c>
      <c r="D229" t="s">
        <v>36</v>
      </c>
      <c r="E229" t="s">
        <v>48</v>
      </c>
      <c r="F229" t="s">
        <v>45</v>
      </c>
      <c r="G229">
        <f t="shared" si="50"/>
        <v>1</v>
      </c>
      <c r="H229">
        <v>2</v>
      </c>
      <c r="I229">
        <f t="shared" si="51"/>
        <v>0</v>
      </c>
      <c r="J229">
        <f t="shared" si="52"/>
        <v>0</v>
      </c>
      <c r="K229">
        <f t="shared" si="53"/>
        <v>1</v>
      </c>
      <c r="L229">
        <f t="shared" si="54"/>
        <v>0</v>
      </c>
      <c r="M229">
        <f t="shared" si="55"/>
        <v>0</v>
      </c>
      <c r="N229">
        <v>3</v>
      </c>
      <c r="O229">
        <f t="shared" si="45"/>
        <v>0</v>
      </c>
      <c r="P229">
        <f t="shared" si="46"/>
        <v>0</v>
      </c>
      <c r="Q229">
        <f t="shared" si="47"/>
        <v>0</v>
      </c>
      <c r="R229">
        <f t="shared" si="48"/>
        <v>1</v>
      </c>
      <c r="S229">
        <f t="shared" si="49"/>
        <v>0</v>
      </c>
      <c r="T229">
        <f t="shared" si="56"/>
        <v>0</v>
      </c>
      <c r="V229" t="s">
        <v>49</v>
      </c>
      <c r="W229" t="s">
        <v>49</v>
      </c>
      <c r="X229" t="s">
        <v>52</v>
      </c>
      <c r="Y229" t="s">
        <v>47</v>
      </c>
      <c r="Z229">
        <v>1</v>
      </c>
      <c r="AA229">
        <v>2</v>
      </c>
      <c r="AB229">
        <v>0</v>
      </c>
      <c r="AC229" t="s">
        <v>44</v>
      </c>
      <c r="AD229" t="s">
        <v>43</v>
      </c>
      <c r="AE229">
        <f t="shared" si="57"/>
        <v>1</v>
      </c>
      <c r="AF229" t="s">
        <v>43</v>
      </c>
      <c r="AG229">
        <f t="shared" si="58"/>
        <v>1</v>
      </c>
      <c r="AH229" t="s">
        <v>44</v>
      </c>
      <c r="AI229" t="s">
        <v>44</v>
      </c>
      <c r="AJ229" t="s">
        <v>43</v>
      </c>
      <c r="AK229" t="s">
        <v>43</v>
      </c>
      <c r="AL229">
        <f t="shared" si="59"/>
        <v>1</v>
      </c>
      <c r="AM229" t="s">
        <v>44</v>
      </c>
      <c r="AN229">
        <v>5</v>
      </c>
      <c r="AO229">
        <v>3</v>
      </c>
      <c r="AP229">
        <v>3</v>
      </c>
      <c r="AQ229">
        <v>1</v>
      </c>
      <c r="AR229">
        <v>3</v>
      </c>
      <c r="AS229">
        <v>3</v>
      </c>
      <c r="AT229">
        <v>2</v>
      </c>
      <c r="AV229">
        <v>12</v>
      </c>
      <c r="AW229">
        <v>11</v>
      </c>
      <c r="AX229">
        <v>12</v>
      </c>
    </row>
    <row r="230" spans="1:50" x14ac:dyDescent="0.2">
      <c r="A230" t="s">
        <v>34</v>
      </c>
      <c r="B230" t="s">
        <v>51</v>
      </c>
      <c r="C230">
        <v>18</v>
      </c>
      <c r="D230" t="s">
        <v>36</v>
      </c>
      <c r="E230" t="s">
        <v>48</v>
      </c>
      <c r="F230" t="s">
        <v>45</v>
      </c>
      <c r="G230">
        <f t="shared" si="50"/>
        <v>1</v>
      </c>
      <c r="H230">
        <v>2</v>
      </c>
      <c r="I230">
        <f t="shared" si="51"/>
        <v>0</v>
      </c>
      <c r="J230">
        <f t="shared" si="52"/>
        <v>0</v>
      </c>
      <c r="K230">
        <f t="shared" si="53"/>
        <v>1</v>
      </c>
      <c r="L230">
        <f t="shared" si="54"/>
        <v>0</v>
      </c>
      <c r="M230">
        <f t="shared" si="55"/>
        <v>0</v>
      </c>
      <c r="N230">
        <v>1</v>
      </c>
      <c r="O230">
        <f t="shared" si="45"/>
        <v>0</v>
      </c>
      <c r="P230">
        <f t="shared" si="46"/>
        <v>1</v>
      </c>
      <c r="Q230">
        <f t="shared" si="47"/>
        <v>0</v>
      </c>
      <c r="R230">
        <f t="shared" si="48"/>
        <v>0</v>
      </c>
      <c r="S230">
        <f t="shared" si="49"/>
        <v>0</v>
      </c>
      <c r="T230">
        <f t="shared" si="56"/>
        <v>0</v>
      </c>
      <c r="V230" t="s">
        <v>39</v>
      </c>
      <c r="W230" t="s">
        <v>46</v>
      </c>
      <c r="X230" t="s">
        <v>41</v>
      </c>
      <c r="Y230" t="s">
        <v>42</v>
      </c>
      <c r="Z230">
        <v>4</v>
      </c>
      <c r="AA230">
        <v>2</v>
      </c>
      <c r="AB230">
        <v>0</v>
      </c>
      <c r="AC230" t="s">
        <v>43</v>
      </c>
      <c r="AD230" t="s">
        <v>43</v>
      </c>
      <c r="AE230">
        <f t="shared" si="57"/>
        <v>1</v>
      </c>
      <c r="AF230" t="s">
        <v>43</v>
      </c>
      <c r="AG230">
        <f t="shared" si="58"/>
        <v>1</v>
      </c>
      <c r="AH230" t="s">
        <v>43</v>
      </c>
      <c r="AI230" t="s">
        <v>43</v>
      </c>
      <c r="AJ230" t="s">
        <v>43</v>
      </c>
      <c r="AK230" t="s">
        <v>43</v>
      </c>
      <c r="AL230">
        <f t="shared" si="59"/>
        <v>1</v>
      </c>
      <c r="AM230" t="s">
        <v>43</v>
      </c>
      <c r="AN230">
        <v>4</v>
      </c>
      <c r="AO230">
        <v>3</v>
      </c>
      <c r="AP230">
        <v>2</v>
      </c>
      <c r="AQ230">
        <v>4</v>
      </c>
      <c r="AR230">
        <v>5</v>
      </c>
      <c r="AS230">
        <v>3</v>
      </c>
      <c r="AT230">
        <v>14</v>
      </c>
      <c r="AV230">
        <v>10</v>
      </c>
      <c r="AW230">
        <v>8</v>
      </c>
      <c r="AX230">
        <v>9</v>
      </c>
    </row>
    <row r="231" spans="1:50" x14ac:dyDescent="0.2">
      <c r="A231" t="s">
        <v>34</v>
      </c>
      <c r="B231" t="s">
        <v>35</v>
      </c>
      <c r="C231">
        <v>17</v>
      </c>
      <c r="D231" t="s">
        <v>36</v>
      </c>
      <c r="E231" t="s">
        <v>37</v>
      </c>
      <c r="F231" t="s">
        <v>38</v>
      </c>
      <c r="G231">
        <f t="shared" si="50"/>
        <v>0</v>
      </c>
      <c r="H231">
        <v>2</v>
      </c>
      <c r="I231">
        <f t="shared" si="51"/>
        <v>0</v>
      </c>
      <c r="J231">
        <f t="shared" si="52"/>
        <v>0</v>
      </c>
      <c r="K231">
        <f t="shared" si="53"/>
        <v>1</v>
      </c>
      <c r="L231">
        <f t="shared" si="54"/>
        <v>0</v>
      </c>
      <c r="M231">
        <f t="shared" si="55"/>
        <v>0</v>
      </c>
      <c r="N231">
        <v>1</v>
      </c>
      <c r="O231">
        <f t="shared" si="45"/>
        <v>0</v>
      </c>
      <c r="P231">
        <f t="shared" si="46"/>
        <v>1</v>
      </c>
      <c r="Q231">
        <f t="shared" si="47"/>
        <v>0</v>
      </c>
      <c r="R231">
        <f t="shared" si="48"/>
        <v>0</v>
      </c>
      <c r="S231">
        <f t="shared" si="49"/>
        <v>0</v>
      </c>
      <c r="T231">
        <f t="shared" si="56"/>
        <v>0</v>
      </c>
      <c r="V231" t="s">
        <v>46</v>
      </c>
      <c r="W231" t="s">
        <v>46</v>
      </c>
      <c r="X231" t="s">
        <v>41</v>
      </c>
      <c r="Y231" t="s">
        <v>42</v>
      </c>
      <c r="Z231">
        <v>2</v>
      </c>
      <c r="AA231">
        <v>3</v>
      </c>
      <c r="AB231">
        <v>0</v>
      </c>
      <c r="AC231" t="s">
        <v>44</v>
      </c>
      <c r="AD231" t="s">
        <v>44</v>
      </c>
      <c r="AE231">
        <f t="shared" si="57"/>
        <v>0</v>
      </c>
      <c r="AF231" t="s">
        <v>44</v>
      </c>
      <c r="AG231">
        <f t="shared" si="58"/>
        <v>0</v>
      </c>
      <c r="AH231" t="s">
        <v>43</v>
      </c>
      <c r="AI231" t="s">
        <v>43</v>
      </c>
      <c r="AJ231" t="s">
        <v>43</v>
      </c>
      <c r="AK231" t="s">
        <v>43</v>
      </c>
      <c r="AL231">
        <f t="shared" si="59"/>
        <v>1</v>
      </c>
      <c r="AM231" t="s">
        <v>43</v>
      </c>
      <c r="AN231">
        <v>3</v>
      </c>
      <c r="AO231">
        <v>2</v>
      </c>
      <c r="AP231">
        <v>3</v>
      </c>
      <c r="AQ231">
        <v>1</v>
      </c>
      <c r="AR231">
        <v>2</v>
      </c>
      <c r="AS231">
        <v>3</v>
      </c>
      <c r="AT231">
        <v>10</v>
      </c>
      <c r="AV231">
        <v>12</v>
      </c>
      <c r="AW231">
        <v>10</v>
      </c>
      <c r="AX231">
        <v>12</v>
      </c>
    </row>
    <row r="232" spans="1:50" x14ac:dyDescent="0.2">
      <c r="A232" t="s">
        <v>34</v>
      </c>
      <c r="B232" t="s">
        <v>35</v>
      </c>
      <c r="C232">
        <v>17</v>
      </c>
      <c r="D232" t="s">
        <v>36</v>
      </c>
      <c r="E232" t="s">
        <v>48</v>
      </c>
      <c r="F232" t="s">
        <v>45</v>
      </c>
      <c r="G232">
        <f t="shared" si="50"/>
        <v>1</v>
      </c>
      <c r="H232">
        <v>4</v>
      </c>
      <c r="I232">
        <f t="shared" si="51"/>
        <v>0</v>
      </c>
      <c r="J232">
        <f t="shared" si="52"/>
        <v>0</v>
      </c>
      <c r="K232">
        <f t="shared" si="53"/>
        <v>0</v>
      </c>
      <c r="L232">
        <f t="shared" si="54"/>
        <v>0</v>
      </c>
      <c r="M232">
        <f t="shared" si="55"/>
        <v>1</v>
      </c>
      <c r="N232">
        <v>3</v>
      </c>
      <c r="O232">
        <f t="shared" si="45"/>
        <v>0</v>
      </c>
      <c r="P232">
        <f t="shared" si="46"/>
        <v>0</v>
      </c>
      <c r="Q232">
        <f t="shared" si="47"/>
        <v>0</v>
      </c>
      <c r="R232">
        <f t="shared" si="48"/>
        <v>1</v>
      </c>
      <c r="S232">
        <f t="shared" si="49"/>
        <v>0</v>
      </c>
      <c r="T232">
        <f t="shared" si="56"/>
        <v>0</v>
      </c>
      <c r="V232" t="s">
        <v>29</v>
      </c>
      <c r="W232" t="s">
        <v>46</v>
      </c>
      <c r="X232" t="s">
        <v>52</v>
      </c>
      <c r="Y232" t="s">
        <v>47</v>
      </c>
      <c r="Z232">
        <v>1</v>
      </c>
      <c r="AA232">
        <v>2</v>
      </c>
      <c r="AB232">
        <v>0</v>
      </c>
      <c r="AC232" t="s">
        <v>44</v>
      </c>
      <c r="AD232" t="s">
        <v>44</v>
      </c>
      <c r="AE232">
        <f t="shared" si="57"/>
        <v>0</v>
      </c>
      <c r="AF232" t="s">
        <v>44</v>
      </c>
      <c r="AG232">
        <f t="shared" si="58"/>
        <v>0</v>
      </c>
      <c r="AH232" t="s">
        <v>43</v>
      </c>
      <c r="AI232" t="s">
        <v>43</v>
      </c>
      <c r="AJ232" t="s">
        <v>43</v>
      </c>
      <c r="AK232" t="s">
        <v>43</v>
      </c>
      <c r="AL232">
        <f t="shared" si="59"/>
        <v>1</v>
      </c>
      <c r="AM232" t="s">
        <v>43</v>
      </c>
      <c r="AN232">
        <v>3</v>
      </c>
      <c r="AO232">
        <v>2</v>
      </c>
      <c r="AP232">
        <v>3</v>
      </c>
      <c r="AQ232">
        <v>1</v>
      </c>
      <c r="AR232">
        <v>2</v>
      </c>
      <c r="AS232">
        <v>3</v>
      </c>
      <c r="AT232">
        <v>14</v>
      </c>
      <c r="AV232">
        <v>13</v>
      </c>
      <c r="AW232">
        <v>13</v>
      </c>
      <c r="AX232">
        <v>14</v>
      </c>
    </row>
    <row r="233" spans="1:50" x14ac:dyDescent="0.2">
      <c r="A233" t="s">
        <v>34</v>
      </c>
      <c r="B233" t="s">
        <v>51</v>
      </c>
      <c r="C233">
        <v>17</v>
      </c>
      <c r="D233" t="s">
        <v>53</v>
      </c>
      <c r="E233" t="s">
        <v>37</v>
      </c>
      <c r="F233" t="s">
        <v>45</v>
      </c>
      <c r="G233">
        <f t="shared" si="50"/>
        <v>1</v>
      </c>
      <c r="H233">
        <v>2</v>
      </c>
      <c r="I233">
        <f t="shared" si="51"/>
        <v>0</v>
      </c>
      <c r="J233">
        <f t="shared" si="52"/>
        <v>0</v>
      </c>
      <c r="K233">
        <f t="shared" si="53"/>
        <v>1</v>
      </c>
      <c r="L233">
        <f t="shared" si="54"/>
        <v>0</v>
      </c>
      <c r="M233">
        <f t="shared" si="55"/>
        <v>0</v>
      </c>
      <c r="N233">
        <v>2</v>
      </c>
      <c r="O233">
        <f t="shared" si="45"/>
        <v>0</v>
      </c>
      <c r="P233">
        <f t="shared" si="46"/>
        <v>0</v>
      </c>
      <c r="Q233">
        <f t="shared" si="47"/>
        <v>1</v>
      </c>
      <c r="R233">
        <f t="shared" si="48"/>
        <v>0</v>
      </c>
      <c r="S233">
        <f t="shared" si="49"/>
        <v>0</v>
      </c>
      <c r="T233">
        <f t="shared" si="56"/>
        <v>0</v>
      </c>
      <c r="V233" t="s">
        <v>46</v>
      </c>
      <c r="W233" t="s">
        <v>46</v>
      </c>
      <c r="X233" t="s">
        <v>41</v>
      </c>
      <c r="Y233" t="s">
        <v>47</v>
      </c>
      <c r="Z233">
        <v>2</v>
      </c>
      <c r="AA233">
        <v>2</v>
      </c>
      <c r="AB233">
        <v>0</v>
      </c>
      <c r="AC233" t="s">
        <v>44</v>
      </c>
      <c r="AD233" t="s">
        <v>43</v>
      </c>
      <c r="AE233">
        <f t="shared" si="57"/>
        <v>1</v>
      </c>
      <c r="AF233" t="s">
        <v>43</v>
      </c>
      <c r="AG233">
        <f t="shared" si="58"/>
        <v>1</v>
      </c>
      <c r="AH233" t="s">
        <v>43</v>
      </c>
      <c r="AI233" t="s">
        <v>43</v>
      </c>
      <c r="AJ233" t="s">
        <v>43</v>
      </c>
      <c r="AK233" t="s">
        <v>43</v>
      </c>
      <c r="AL233">
        <f t="shared" si="59"/>
        <v>1</v>
      </c>
      <c r="AM233" t="s">
        <v>44</v>
      </c>
      <c r="AN233">
        <v>4</v>
      </c>
      <c r="AO233">
        <v>5</v>
      </c>
      <c r="AP233">
        <v>2</v>
      </c>
      <c r="AQ233">
        <v>1</v>
      </c>
      <c r="AR233">
        <v>1</v>
      </c>
      <c r="AS233">
        <v>1</v>
      </c>
      <c r="AT233">
        <v>4</v>
      </c>
      <c r="AV233">
        <v>11</v>
      </c>
      <c r="AW233">
        <v>11</v>
      </c>
      <c r="AX233">
        <v>11</v>
      </c>
    </row>
    <row r="234" spans="1:50" x14ac:dyDescent="0.2">
      <c r="A234" t="s">
        <v>34</v>
      </c>
      <c r="B234" t="s">
        <v>51</v>
      </c>
      <c r="C234">
        <v>17</v>
      </c>
      <c r="D234" t="s">
        <v>36</v>
      </c>
      <c r="E234" t="s">
        <v>37</v>
      </c>
      <c r="F234" t="s">
        <v>45</v>
      </c>
      <c r="G234">
        <f t="shared" si="50"/>
        <v>1</v>
      </c>
      <c r="H234">
        <v>4</v>
      </c>
      <c r="I234">
        <f t="shared" si="51"/>
        <v>0</v>
      </c>
      <c r="J234">
        <f t="shared" si="52"/>
        <v>0</v>
      </c>
      <c r="K234">
        <f t="shared" si="53"/>
        <v>0</v>
      </c>
      <c r="L234">
        <f t="shared" si="54"/>
        <v>0</v>
      </c>
      <c r="M234">
        <f t="shared" si="55"/>
        <v>1</v>
      </c>
      <c r="N234">
        <v>4</v>
      </c>
      <c r="O234">
        <f t="shared" si="45"/>
        <v>0</v>
      </c>
      <c r="P234">
        <f t="shared" si="46"/>
        <v>0</v>
      </c>
      <c r="Q234">
        <f t="shared" si="47"/>
        <v>0</v>
      </c>
      <c r="R234">
        <f t="shared" si="48"/>
        <v>0</v>
      </c>
      <c r="S234">
        <f t="shared" si="49"/>
        <v>1</v>
      </c>
      <c r="T234">
        <f t="shared" si="56"/>
        <v>1</v>
      </c>
      <c r="V234" t="s">
        <v>40</v>
      </c>
      <c r="W234" t="s">
        <v>40</v>
      </c>
      <c r="X234" t="s">
        <v>52</v>
      </c>
      <c r="Y234" t="s">
        <v>42</v>
      </c>
      <c r="Z234">
        <v>1</v>
      </c>
      <c r="AA234">
        <v>2</v>
      </c>
      <c r="AB234">
        <v>0</v>
      </c>
      <c r="AC234" t="s">
        <v>43</v>
      </c>
      <c r="AD234" t="s">
        <v>43</v>
      </c>
      <c r="AE234">
        <f t="shared" si="57"/>
        <v>1</v>
      </c>
      <c r="AF234" t="s">
        <v>44</v>
      </c>
      <c r="AG234">
        <f t="shared" si="58"/>
        <v>0</v>
      </c>
      <c r="AH234" t="s">
        <v>43</v>
      </c>
      <c r="AI234" t="s">
        <v>43</v>
      </c>
      <c r="AJ234" t="s">
        <v>43</v>
      </c>
      <c r="AK234" t="s">
        <v>43</v>
      </c>
      <c r="AL234">
        <f t="shared" si="59"/>
        <v>1</v>
      </c>
      <c r="AM234" t="s">
        <v>43</v>
      </c>
      <c r="AN234">
        <v>4</v>
      </c>
      <c r="AO234">
        <v>5</v>
      </c>
      <c r="AP234">
        <v>5</v>
      </c>
      <c r="AQ234">
        <v>1</v>
      </c>
      <c r="AR234">
        <v>3</v>
      </c>
      <c r="AS234">
        <v>2</v>
      </c>
      <c r="AT234">
        <v>14</v>
      </c>
      <c r="AV234">
        <v>11</v>
      </c>
      <c r="AW234">
        <v>9</v>
      </c>
      <c r="AX234">
        <v>9</v>
      </c>
    </row>
    <row r="235" spans="1:50" x14ac:dyDescent="0.2">
      <c r="A235" t="s">
        <v>34</v>
      </c>
      <c r="B235" t="s">
        <v>51</v>
      </c>
      <c r="C235">
        <v>16</v>
      </c>
      <c r="D235" t="s">
        <v>36</v>
      </c>
      <c r="E235" t="s">
        <v>37</v>
      </c>
      <c r="F235" t="s">
        <v>45</v>
      </c>
      <c r="G235">
        <f t="shared" si="50"/>
        <v>1</v>
      </c>
      <c r="H235">
        <v>4</v>
      </c>
      <c r="I235">
        <f t="shared" si="51"/>
        <v>0</v>
      </c>
      <c r="J235">
        <f t="shared" si="52"/>
        <v>0</v>
      </c>
      <c r="K235">
        <f t="shared" si="53"/>
        <v>0</v>
      </c>
      <c r="L235">
        <f t="shared" si="54"/>
        <v>0</v>
      </c>
      <c r="M235">
        <f t="shared" si="55"/>
        <v>1</v>
      </c>
      <c r="N235">
        <v>4</v>
      </c>
      <c r="O235">
        <f t="shared" si="45"/>
        <v>0</v>
      </c>
      <c r="P235">
        <f t="shared" si="46"/>
        <v>0</v>
      </c>
      <c r="Q235">
        <f t="shared" si="47"/>
        <v>0</v>
      </c>
      <c r="R235">
        <f t="shared" si="48"/>
        <v>0</v>
      </c>
      <c r="S235">
        <f t="shared" si="49"/>
        <v>1</v>
      </c>
      <c r="T235">
        <f t="shared" si="56"/>
        <v>1</v>
      </c>
      <c r="V235" t="s">
        <v>29</v>
      </c>
      <c r="W235" t="s">
        <v>46</v>
      </c>
      <c r="X235" t="s">
        <v>52</v>
      </c>
      <c r="Y235" t="s">
        <v>47</v>
      </c>
      <c r="Z235">
        <v>1</v>
      </c>
      <c r="AA235">
        <v>2</v>
      </c>
      <c r="AB235">
        <v>0</v>
      </c>
      <c r="AC235" t="s">
        <v>44</v>
      </c>
      <c r="AD235" t="s">
        <v>43</v>
      </c>
      <c r="AE235">
        <f t="shared" si="57"/>
        <v>1</v>
      </c>
      <c r="AF235" t="s">
        <v>43</v>
      </c>
      <c r="AG235">
        <f t="shared" si="58"/>
        <v>1</v>
      </c>
      <c r="AH235" t="s">
        <v>43</v>
      </c>
      <c r="AI235" t="s">
        <v>43</v>
      </c>
      <c r="AJ235" t="s">
        <v>43</v>
      </c>
      <c r="AK235" t="s">
        <v>43</v>
      </c>
      <c r="AL235">
        <f t="shared" si="59"/>
        <v>1</v>
      </c>
      <c r="AM235" t="s">
        <v>44</v>
      </c>
      <c r="AN235">
        <v>4</v>
      </c>
      <c r="AO235">
        <v>2</v>
      </c>
      <c r="AP235">
        <v>4</v>
      </c>
      <c r="AQ235">
        <v>2</v>
      </c>
      <c r="AR235">
        <v>4</v>
      </c>
      <c r="AS235">
        <v>1</v>
      </c>
      <c r="AT235">
        <v>2</v>
      </c>
      <c r="AV235">
        <v>14</v>
      </c>
      <c r="AW235">
        <v>13</v>
      </c>
      <c r="AX235">
        <v>13</v>
      </c>
    </row>
    <row r="236" spans="1:50" x14ac:dyDescent="0.2">
      <c r="A236" t="s">
        <v>34</v>
      </c>
      <c r="B236" t="s">
        <v>51</v>
      </c>
      <c r="C236">
        <v>16</v>
      </c>
      <c r="D236" t="s">
        <v>36</v>
      </c>
      <c r="E236" t="s">
        <v>48</v>
      </c>
      <c r="F236" t="s">
        <v>45</v>
      </c>
      <c r="G236">
        <f t="shared" si="50"/>
        <v>1</v>
      </c>
      <c r="H236">
        <v>1</v>
      </c>
      <c r="I236">
        <f t="shared" si="51"/>
        <v>0</v>
      </c>
      <c r="J236">
        <f t="shared" si="52"/>
        <v>1</v>
      </c>
      <c r="K236">
        <f t="shared" si="53"/>
        <v>0</v>
      </c>
      <c r="L236">
        <f t="shared" si="54"/>
        <v>0</v>
      </c>
      <c r="M236">
        <f t="shared" si="55"/>
        <v>0</v>
      </c>
      <c r="N236">
        <v>1</v>
      </c>
      <c r="O236">
        <f t="shared" si="45"/>
        <v>0</v>
      </c>
      <c r="P236">
        <f t="shared" si="46"/>
        <v>1</v>
      </c>
      <c r="Q236">
        <f t="shared" si="47"/>
        <v>0</v>
      </c>
      <c r="R236">
        <f t="shared" si="48"/>
        <v>0</v>
      </c>
      <c r="S236">
        <f t="shared" si="49"/>
        <v>0</v>
      </c>
      <c r="T236">
        <f t="shared" si="56"/>
        <v>0</v>
      </c>
      <c r="V236" t="s">
        <v>46</v>
      </c>
      <c r="W236" t="s">
        <v>46</v>
      </c>
      <c r="X236" t="s">
        <v>50</v>
      </c>
      <c r="Y236" t="s">
        <v>42</v>
      </c>
      <c r="Z236">
        <v>2</v>
      </c>
      <c r="AA236">
        <v>2</v>
      </c>
      <c r="AB236">
        <v>0</v>
      </c>
      <c r="AC236" t="s">
        <v>44</v>
      </c>
      <c r="AD236" t="s">
        <v>43</v>
      </c>
      <c r="AE236">
        <f t="shared" si="57"/>
        <v>1</v>
      </c>
      <c r="AF236" t="s">
        <v>43</v>
      </c>
      <c r="AG236">
        <f t="shared" si="58"/>
        <v>1</v>
      </c>
      <c r="AH236" t="s">
        <v>44</v>
      </c>
      <c r="AI236" t="s">
        <v>43</v>
      </c>
      <c r="AJ236" t="s">
        <v>43</v>
      </c>
      <c r="AK236" t="s">
        <v>43</v>
      </c>
      <c r="AL236">
        <f t="shared" si="59"/>
        <v>1</v>
      </c>
      <c r="AM236" t="s">
        <v>44</v>
      </c>
      <c r="AN236">
        <v>3</v>
      </c>
      <c r="AO236">
        <v>4</v>
      </c>
      <c r="AP236">
        <v>2</v>
      </c>
      <c r="AQ236">
        <v>1</v>
      </c>
      <c r="AR236">
        <v>1</v>
      </c>
      <c r="AS236">
        <v>5</v>
      </c>
      <c r="AT236">
        <v>18</v>
      </c>
      <c r="AV236">
        <v>9</v>
      </c>
      <c r="AW236">
        <v>7</v>
      </c>
      <c r="AX236">
        <v>6</v>
      </c>
    </row>
    <row r="237" spans="1:50" x14ac:dyDescent="0.2">
      <c r="A237" t="s">
        <v>34</v>
      </c>
      <c r="B237" t="s">
        <v>51</v>
      </c>
      <c r="C237">
        <v>16</v>
      </c>
      <c r="D237" t="s">
        <v>36</v>
      </c>
      <c r="E237" t="s">
        <v>37</v>
      </c>
      <c r="F237" t="s">
        <v>45</v>
      </c>
      <c r="G237">
        <f t="shared" si="50"/>
        <v>1</v>
      </c>
      <c r="H237">
        <v>3</v>
      </c>
      <c r="I237">
        <f t="shared" si="51"/>
        <v>0</v>
      </c>
      <c r="J237">
        <f t="shared" si="52"/>
        <v>0</v>
      </c>
      <c r="K237">
        <f t="shared" si="53"/>
        <v>0</v>
      </c>
      <c r="L237">
        <f t="shared" si="54"/>
        <v>1</v>
      </c>
      <c r="M237">
        <f t="shared" si="55"/>
        <v>0</v>
      </c>
      <c r="N237">
        <v>2</v>
      </c>
      <c r="O237">
        <f t="shared" si="45"/>
        <v>0</v>
      </c>
      <c r="P237">
        <f t="shared" si="46"/>
        <v>0</v>
      </c>
      <c r="Q237">
        <f t="shared" si="47"/>
        <v>1</v>
      </c>
      <c r="R237">
        <f t="shared" si="48"/>
        <v>0</v>
      </c>
      <c r="S237">
        <f t="shared" si="49"/>
        <v>0</v>
      </c>
      <c r="T237">
        <f t="shared" si="56"/>
        <v>0</v>
      </c>
      <c r="V237" t="s">
        <v>39</v>
      </c>
      <c r="W237" t="s">
        <v>46</v>
      </c>
      <c r="X237" t="s">
        <v>52</v>
      </c>
      <c r="Y237" t="s">
        <v>42</v>
      </c>
      <c r="Z237">
        <v>2</v>
      </c>
      <c r="AA237">
        <v>3</v>
      </c>
      <c r="AB237">
        <v>0</v>
      </c>
      <c r="AC237" t="s">
        <v>44</v>
      </c>
      <c r="AD237" t="s">
        <v>44</v>
      </c>
      <c r="AE237">
        <f t="shared" si="57"/>
        <v>0</v>
      </c>
      <c r="AF237" t="s">
        <v>44</v>
      </c>
      <c r="AG237">
        <f t="shared" si="58"/>
        <v>0</v>
      </c>
      <c r="AH237" t="s">
        <v>43</v>
      </c>
      <c r="AI237" t="s">
        <v>43</v>
      </c>
      <c r="AJ237" t="s">
        <v>43</v>
      </c>
      <c r="AK237" t="s">
        <v>43</v>
      </c>
      <c r="AL237">
        <f t="shared" si="59"/>
        <v>1</v>
      </c>
      <c r="AM237" t="s">
        <v>43</v>
      </c>
      <c r="AN237">
        <v>5</v>
      </c>
      <c r="AO237">
        <v>3</v>
      </c>
      <c r="AP237">
        <v>3</v>
      </c>
      <c r="AQ237">
        <v>1</v>
      </c>
      <c r="AR237">
        <v>3</v>
      </c>
      <c r="AS237">
        <v>2</v>
      </c>
      <c r="AT237">
        <v>10</v>
      </c>
      <c r="AV237">
        <v>11</v>
      </c>
      <c r="AW237">
        <v>9</v>
      </c>
      <c r="AX237">
        <v>10</v>
      </c>
    </row>
    <row r="238" spans="1:50" x14ac:dyDescent="0.2">
      <c r="A238" t="s">
        <v>34</v>
      </c>
      <c r="B238" t="s">
        <v>51</v>
      </c>
      <c r="C238">
        <v>17</v>
      </c>
      <c r="D238" t="s">
        <v>36</v>
      </c>
      <c r="E238" t="s">
        <v>48</v>
      </c>
      <c r="F238" t="s">
        <v>45</v>
      </c>
      <c r="G238">
        <f t="shared" si="50"/>
        <v>1</v>
      </c>
      <c r="H238">
        <v>2</v>
      </c>
      <c r="I238">
        <f t="shared" si="51"/>
        <v>0</v>
      </c>
      <c r="J238">
        <f t="shared" si="52"/>
        <v>0</v>
      </c>
      <c r="K238">
        <f t="shared" si="53"/>
        <v>1</v>
      </c>
      <c r="L238">
        <f t="shared" si="54"/>
        <v>0</v>
      </c>
      <c r="M238">
        <f t="shared" si="55"/>
        <v>0</v>
      </c>
      <c r="N238">
        <v>2</v>
      </c>
      <c r="O238">
        <f t="shared" si="45"/>
        <v>0</v>
      </c>
      <c r="P238">
        <f t="shared" si="46"/>
        <v>0</v>
      </c>
      <c r="Q238">
        <f t="shared" si="47"/>
        <v>1</v>
      </c>
      <c r="R238">
        <f t="shared" si="48"/>
        <v>0</v>
      </c>
      <c r="S238">
        <f t="shared" si="49"/>
        <v>0</v>
      </c>
      <c r="T238">
        <f t="shared" si="56"/>
        <v>0</v>
      </c>
      <c r="V238" t="s">
        <v>46</v>
      </c>
      <c r="W238" t="s">
        <v>46</v>
      </c>
      <c r="X238" t="s">
        <v>50</v>
      </c>
      <c r="Y238" t="s">
        <v>47</v>
      </c>
      <c r="Z238">
        <v>1</v>
      </c>
      <c r="AA238">
        <v>2</v>
      </c>
      <c r="AB238">
        <v>0</v>
      </c>
      <c r="AC238" t="s">
        <v>44</v>
      </c>
      <c r="AD238" t="s">
        <v>44</v>
      </c>
      <c r="AE238">
        <f t="shared" si="57"/>
        <v>0</v>
      </c>
      <c r="AF238" t="s">
        <v>43</v>
      </c>
      <c r="AG238">
        <f t="shared" si="58"/>
        <v>1</v>
      </c>
      <c r="AH238" t="s">
        <v>43</v>
      </c>
      <c r="AI238" t="s">
        <v>44</v>
      </c>
      <c r="AJ238" t="s">
        <v>43</v>
      </c>
      <c r="AK238" t="s">
        <v>43</v>
      </c>
      <c r="AL238">
        <f t="shared" si="59"/>
        <v>1</v>
      </c>
      <c r="AM238" t="s">
        <v>43</v>
      </c>
      <c r="AN238">
        <v>4</v>
      </c>
      <c r="AO238">
        <v>4</v>
      </c>
      <c r="AP238">
        <v>2</v>
      </c>
      <c r="AQ238">
        <v>5</v>
      </c>
      <c r="AR238">
        <v>5</v>
      </c>
      <c r="AS238">
        <v>4</v>
      </c>
      <c r="AT238">
        <v>4</v>
      </c>
      <c r="AV238">
        <v>14</v>
      </c>
      <c r="AW238">
        <v>13</v>
      </c>
      <c r="AX238">
        <v>13</v>
      </c>
    </row>
    <row r="239" spans="1:50" x14ac:dyDescent="0.2">
      <c r="A239" t="s">
        <v>34</v>
      </c>
      <c r="B239" t="s">
        <v>35</v>
      </c>
      <c r="C239">
        <v>16</v>
      </c>
      <c r="D239" t="s">
        <v>36</v>
      </c>
      <c r="E239" t="s">
        <v>37</v>
      </c>
      <c r="F239" t="s">
        <v>45</v>
      </c>
      <c r="G239">
        <f t="shared" si="50"/>
        <v>1</v>
      </c>
      <c r="H239">
        <v>2</v>
      </c>
      <c r="I239">
        <f t="shared" si="51"/>
        <v>0</v>
      </c>
      <c r="J239">
        <f t="shared" si="52"/>
        <v>0</v>
      </c>
      <c r="K239">
        <f t="shared" si="53"/>
        <v>1</v>
      </c>
      <c r="L239">
        <f t="shared" si="54"/>
        <v>0</v>
      </c>
      <c r="M239">
        <f t="shared" si="55"/>
        <v>0</v>
      </c>
      <c r="N239">
        <v>1</v>
      </c>
      <c r="O239">
        <f t="shared" si="45"/>
        <v>0</v>
      </c>
      <c r="P239">
        <f t="shared" si="46"/>
        <v>1</v>
      </c>
      <c r="Q239">
        <f t="shared" si="47"/>
        <v>0</v>
      </c>
      <c r="R239">
        <f t="shared" si="48"/>
        <v>0</v>
      </c>
      <c r="S239">
        <f t="shared" si="49"/>
        <v>0</v>
      </c>
      <c r="T239">
        <f t="shared" si="56"/>
        <v>0</v>
      </c>
      <c r="V239" t="s">
        <v>46</v>
      </c>
      <c r="W239" t="s">
        <v>46</v>
      </c>
      <c r="X239" t="s">
        <v>50</v>
      </c>
      <c r="Y239" t="s">
        <v>42</v>
      </c>
      <c r="Z239">
        <v>1</v>
      </c>
      <c r="AA239">
        <v>1</v>
      </c>
      <c r="AB239">
        <v>0</v>
      </c>
      <c r="AC239" t="s">
        <v>44</v>
      </c>
      <c r="AD239" t="s">
        <v>44</v>
      </c>
      <c r="AE239">
        <f t="shared" si="57"/>
        <v>0</v>
      </c>
      <c r="AF239" t="s">
        <v>44</v>
      </c>
      <c r="AG239">
        <f t="shared" si="58"/>
        <v>0</v>
      </c>
      <c r="AH239" t="s">
        <v>44</v>
      </c>
      <c r="AI239" t="s">
        <v>43</v>
      </c>
      <c r="AJ239" t="s">
        <v>43</v>
      </c>
      <c r="AK239" t="s">
        <v>43</v>
      </c>
      <c r="AL239">
        <f t="shared" si="59"/>
        <v>1</v>
      </c>
      <c r="AM239" t="s">
        <v>43</v>
      </c>
      <c r="AN239">
        <v>4</v>
      </c>
      <c r="AO239">
        <v>5</v>
      </c>
      <c r="AP239">
        <v>2</v>
      </c>
      <c r="AQ239">
        <v>1</v>
      </c>
      <c r="AR239">
        <v>1</v>
      </c>
      <c r="AS239">
        <v>5</v>
      </c>
      <c r="AT239">
        <v>20</v>
      </c>
      <c r="AV239">
        <v>13</v>
      </c>
      <c r="AW239">
        <v>12</v>
      </c>
      <c r="AX239">
        <v>12</v>
      </c>
    </row>
    <row r="240" spans="1:50" x14ac:dyDescent="0.2">
      <c r="A240" t="s">
        <v>34</v>
      </c>
      <c r="B240" t="s">
        <v>35</v>
      </c>
      <c r="C240">
        <v>17</v>
      </c>
      <c r="D240" t="s">
        <v>53</v>
      </c>
      <c r="E240" t="s">
        <v>37</v>
      </c>
      <c r="F240" t="s">
        <v>45</v>
      </c>
      <c r="G240">
        <f t="shared" si="50"/>
        <v>1</v>
      </c>
      <c r="H240">
        <v>2</v>
      </c>
      <c r="I240">
        <f t="shared" si="51"/>
        <v>0</v>
      </c>
      <c r="J240">
        <f t="shared" si="52"/>
        <v>0</v>
      </c>
      <c r="K240">
        <f t="shared" si="53"/>
        <v>1</v>
      </c>
      <c r="L240">
        <f t="shared" si="54"/>
        <v>0</v>
      </c>
      <c r="M240">
        <f t="shared" si="55"/>
        <v>0</v>
      </c>
      <c r="N240">
        <v>1</v>
      </c>
      <c r="O240">
        <f t="shared" si="45"/>
        <v>0</v>
      </c>
      <c r="P240">
        <f t="shared" si="46"/>
        <v>1</v>
      </c>
      <c r="Q240">
        <f t="shared" si="47"/>
        <v>0</v>
      </c>
      <c r="R240">
        <f t="shared" si="48"/>
        <v>0</v>
      </c>
      <c r="S240">
        <f t="shared" si="49"/>
        <v>0</v>
      </c>
      <c r="T240">
        <f t="shared" si="56"/>
        <v>0</v>
      </c>
      <c r="V240" t="s">
        <v>39</v>
      </c>
      <c r="W240" t="s">
        <v>49</v>
      </c>
      <c r="X240" t="s">
        <v>41</v>
      </c>
      <c r="Y240" t="s">
        <v>42</v>
      </c>
      <c r="Z240">
        <v>3</v>
      </c>
      <c r="AA240">
        <v>2</v>
      </c>
      <c r="AB240">
        <v>0</v>
      </c>
      <c r="AC240" t="s">
        <v>44</v>
      </c>
      <c r="AD240" t="s">
        <v>44</v>
      </c>
      <c r="AE240">
        <f t="shared" si="57"/>
        <v>0</v>
      </c>
      <c r="AF240" t="s">
        <v>44</v>
      </c>
      <c r="AG240">
        <f t="shared" si="58"/>
        <v>0</v>
      </c>
      <c r="AH240" t="s">
        <v>43</v>
      </c>
      <c r="AI240" t="s">
        <v>43</v>
      </c>
      <c r="AJ240" t="s">
        <v>43</v>
      </c>
      <c r="AK240" t="s">
        <v>44</v>
      </c>
      <c r="AL240">
        <f t="shared" si="59"/>
        <v>0</v>
      </c>
      <c r="AM240" t="s">
        <v>44</v>
      </c>
      <c r="AN240">
        <v>2</v>
      </c>
      <c r="AO240">
        <v>1</v>
      </c>
      <c r="AP240">
        <v>1</v>
      </c>
      <c r="AQ240">
        <v>1</v>
      </c>
      <c r="AR240">
        <v>1</v>
      </c>
      <c r="AS240">
        <v>3</v>
      </c>
      <c r="AT240">
        <v>2</v>
      </c>
      <c r="AV240">
        <v>13</v>
      </c>
      <c r="AW240">
        <v>11</v>
      </c>
      <c r="AX240">
        <v>11</v>
      </c>
    </row>
    <row r="241" spans="1:50" x14ac:dyDescent="0.2">
      <c r="A241" t="s">
        <v>34</v>
      </c>
      <c r="B241" t="s">
        <v>51</v>
      </c>
      <c r="C241">
        <v>18</v>
      </c>
      <c r="D241" t="s">
        <v>36</v>
      </c>
      <c r="E241" t="s">
        <v>37</v>
      </c>
      <c r="F241" t="s">
        <v>45</v>
      </c>
      <c r="G241">
        <f t="shared" si="50"/>
        <v>1</v>
      </c>
      <c r="H241">
        <v>2</v>
      </c>
      <c r="I241">
        <f t="shared" si="51"/>
        <v>0</v>
      </c>
      <c r="J241">
        <f t="shared" si="52"/>
        <v>0</v>
      </c>
      <c r="K241">
        <f t="shared" si="53"/>
        <v>1</v>
      </c>
      <c r="L241">
        <f t="shared" si="54"/>
        <v>0</v>
      </c>
      <c r="M241">
        <f t="shared" si="55"/>
        <v>0</v>
      </c>
      <c r="N241">
        <v>2</v>
      </c>
      <c r="O241">
        <f t="shared" si="45"/>
        <v>0</v>
      </c>
      <c r="P241">
        <f t="shared" si="46"/>
        <v>0</v>
      </c>
      <c r="Q241">
        <f t="shared" si="47"/>
        <v>1</v>
      </c>
      <c r="R241">
        <f t="shared" si="48"/>
        <v>0</v>
      </c>
      <c r="S241">
        <f t="shared" si="49"/>
        <v>0</v>
      </c>
      <c r="T241">
        <f t="shared" si="56"/>
        <v>0</v>
      </c>
      <c r="V241" t="s">
        <v>46</v>
      </c>
      <c r="W241" t="s">
        <v>49</v>
      </c>
      <c r="X241" t="s">
        <v>52</v>
      </c>
      <c r="Y241" t="s">
        <v>47</v>
      </c>
      <c r="Z241">
        <v>1</v>
      </c>
      <c r="AA241">
        <v>2</v>
      </c>
      <c r="AB241">
        <v>1</v>
      </c>
      <c r="AC241" t="s">
        <v>44</v>
      </c>
      <c r="AD241" t="s">
        <v>44</v>
      </c>
      <c r="AE241">
        <f t="shared" si="57"/>
        <v>0</v>
      </c>
      <c r="AF241" t="s">
        <v>44</v>
      </c>
      <c r="AG241">
        <f t="shared" si="58"/>
        <v>0</v>
      </c>
      <c r="AH241" t="s">
        <v>44</v>
      </c>
      <c r="AI241" t="s">
        <v>43</v>
      </c>
      <c r="AJ241" t="s">
        <v>44</v>
      </c>
      <c r="AK241" t="s">
        <v>43</v>
      </c>
      <c r="AL241">
        <f t="shared" si="59"/>
        <v>1</v>
      </c>
      <c r="AM241" t="s">
        <v>44</v>
      </c>
      <c r="AN241">
        <v>5</v>
      </c>
      <c r="AO241">
        <v>5</v>
      </c>
      <c r="AP241">
        <v>4</v>
      </c>
      <c r="AQ241">
        <v>3</v>
      </c>
      <c r="AR241">
        <v>5</v>
      </c>
      <c r="AS241">
        <v>2</v>
      </c>
      <c r="AT241">
        <v>0</v>
      </c>
      <c r="AV241">
        <v>7</v>
      </c>
      <c r="AW241">
        <v>7</v>
      </c>
      <c r="AX241">
        <v>0</v>
      </c>
    </row>
    <row r="242" spans="1:50" x14ac:dyDescent="0.2">
      <c r="A242" t="s">
        <v>34</v>
      </c>
      <c r="B242" t="s">
        <v>51</v>
      </c>
      <c r="C242">
        <v>17</v>
      </c>
      <c r="D242" t="s">
        <v>36</v>
      </c>
      <c r="E242" t="s">
        <v>48</v>
      </c>
      <c r="F242" t="s">
        <v>45</v>
      </c>
      <c r="G242">
        <f t="shared" si="50"/>
        <v>1</v>
      </c>
      <c r="H242">
        <v>4</v>
      </c>
      <c r="I242">
        <f t="shared" si="51"/>
        <v>0</v>
      </c>
      <c r="J242">
        <f t="shared" si="52"/>
        <v>0</v>
      </c>
      <c r="K242">
        <f t="shared" si="53"/>
        <v>0</v>
      </c>
      <c r="L242">
        <f t="shared" si="54"/>
        <v>0</v>
      </c>
      <c r="M242">
        <f t="shared" si="55"/>
        <v>1</v>
      </c>
      <c r="N242">
        <v>3</v>
      </c>
      <c r="O242">
        <f t="shared" si="45"/>
        <v>0</v>
      </c>
      <c r="P242">
        <f t="shared" si="46"/>
        <v>0</v>
      </c>
      <c r="Q242">
        <f t="shared" si="47"/>
        <v>0</v>
      </c>
      <c r="R242">
        <f t="shared" si="48"/>
        <v>1</v>
      </c>
      <c r="S242">
        <f t="shared" si="49"/>
        <v>0</v>
      </c>
      <c r="T242">
        <f t="shared" si="56"/>
        <v>0</v>
      </c>
      <c r="V242" t="s">
        <v>29</v>
      </c>
      <c r="W242" t="s">
        <v>46</v>
      </c>
      <c r="X242" t="s">
        <v>41</v>
      </c>
      <c r="Y242" t="s">
        <v>42</v>
      </c>
      <c r="Z242">
        <v>2</v>
      </c>
      <c r="AA242">
        <v>2</v>
      </c>
      <c r="AB242">
        <v>0</v>
      </c>
      <c r="AC242" t="s">
        <v>44</v>
      </c>
      <c r="AD242" t="s">
        <v>44</v>
      </c>
      <c r="AE242">
        <f t="shared" si="57"/>
        <v>0</v>
      </c>
      <c r="AF242" t="s">
        <v>44</v>
      </c>
      <c r="AG242">
        <f t="shared" si="58"/>
        <v>0</v>
      </c>
      <c r="AH242" t="s">
        <v>43</v>
      </c>
      <c r="AI242" t="s">
        <v>43</v>
      </c>
      <c r="AJ242" t="s">
        <v>43</v>
      </c>
      <c r="AK242" t="s">
        <v>43</v>
      </c>
      <c r="AL242">
        <f t="shared" si="59"/>
        <v>1</v>
      </c>
      <c r="AM242" t="s">
        <v>43</v>
      </c>
      <c r="AN242">
        <v>2</v>
      </c>
      <c r="AO242">
        <v>5</v>
      </c>
      <c r="AP242">
        <v>5</v>
      </c>
      <c r="AQ242">
        <v>1</v>
      </c>
      <c r="AR242">
        <v>4</v>
      </c>
      <c r="AS242">
        <v>5</v>
      </c>
      <c r="AT242">
        <v>14</v>
      </c>
      <c r="AV242">
        <v>12</v>
      </c>
      <c r="AW242">
        <v>12</v>
      </c>
      <c r="AX242">
        <v>12</v>
      </c>
    </row>
    <row r="243" spans="1:50" x14ac:dyDescent="0.2">
      <c r="A243" t="s">
        <v>34</v>
      </c>
      <c r="B243" t="s">
        <v>51</v>
      </c>
      <c r="C243">
        <v>17</v>
      </c>
      <c r="D243" t="s">
        <v>53</v>
      </c>
      <c r="E243" t="s">
        <v>48</v>
      </c>
      <c r="F243" t="s">
        <v>38</v>
      </c>
      <c r="G243">
        <f t="shared" si="50"/>
        <v>0</v>
      </c>
      <c r="H243">
        <v>4</v>
      </c>
      <c r="I243">
        <f t="shared" si="51"/>
        <v>0</v>
      </c>
      <c r="J243">
        <f t="shared" si="52"/>
        <v>0</v>
      </c>
      <c r="K243">
        <f t="shared" si="53"/>
        <v>0</v>
      </c>
      <c r="L243">
        <f t="shared" si="54"/>
        <v>0</v>
      </c>
      <c r="M243">
        <f t="shared" si="55"/>
        <v>1</v>
      </c>
      <c r="N243">
        <v>4</v>
      </c>
      <c r="O243">
        <f t="shared" si="45"/>
        <v>0</v>
      </c>
      <c r="P243">
        <f t="shared" si="46"/>
        <v>0</v>
      </c>
      <c r="Q243">
        <f t="shared" si="47"/>
        <v>0</v>
      </c>
      <c r="R243">
        <f t="shared" si="48"/>
        <v>0</v>
      </c>
      <c r="S243">
        <f t="shared" si="49"/>
        <v>1</v>
      </c>
      <c r="T243">
        <f t="shared" si="56"/>
        <v>1</v>
      </c>
      <c r="V243" t="s">
        <v>40</v>
      </c>
      <c r="W243" t="s">
        <v>46</v>
      </c>
      <c r="X243" t="s">
        <v>41</v>
      </c>
      <c r="Y243" t="s">
        <v>42</v>
      </c>
      <c r="Z243">
        <v>2</v>
      </c>
      <c r="AA243">
        <v>2</v>
      </c>
      <c r="AB243">
        <v>0</v>
      </c>
      <c r="AC243" t="s">
        <v>44</v>
      </c>
      <c r="AD243" t="s">
        <v>43</v>
      </c>
      <c r="AE243">
        <f t="shared" si="57"/>
        <v>1</v>
      </c>
      <c r="AF243" t="s">
        <v>43</v>
      </c>
      <c r="AG243">
        <f t="shared" si="58"/>
        <v>1</v>
      </c>
      <c r="AH243" t="s">
        <v>44</v>
      </c>
      <c r="AI243" t="s">
        <v>43</v>
      </c>
      <c r="AJ243" t="s">
        <v>43</v>
      </c>
      <c r="AK243" t="s">
        <v>43</v>
      </c>
      <c r="AL243">
        <f t="shared" si="59"/>
        <v>1</v>
      </c>
      <c r="AM243" t="s">
        <v>44</v>
      </c>
      <c r="AN243">
        <v>3</v>
      </c>
      <c r="AO243">
        <v>3</v>
      </c>
      <c r="AP243">
        <v>3</v>
      </c>
      <c r="AQ243">
        <v>2</v>
      </c>
      <c r="AR243">
        <v>3</v>
      </c>
      <c r="AS243">
        <v>4</v>
      </c>
      <c r="AT243">
        <v>2</v>
      </c>
      <c r="AV243">
        <v>10</v>
      </c>
      <c r="AW243">
        <v>11</v>
      </c>
      <c r="AX243">
        <v>12</v>
      </c>
    </row>
    <row r="244" spans="1:50" x14ac:dyDescent="0.2">
      <c r="A244" t="s">
        <v>34</v>
      </c>
      <c r="B244" t="s">
        <v>51</v>
      </c>
      <c r="C244">
        <v>16</v>
      </c>
      <c r="D244" t="s">
        <v>36</v>
      </c>
      <c r="E244" t="s">
        <v>48</v>
      </c>
      <c r="F244" t="s">
        <v>45</v>
      </c>
      <c r="G244">
        <f t="shared" si="50"/>
        <v>1</v>
      </c>
      <c r="H244">
        <v>4</v>
      </c>
      <c r="I244">
        <f t="shared" si="51"/>
        <v>0</v>
      </c>
      <c r="J244">
        <f t="shared" si="52"/>
        <v>0</v>
      </c>
      <c r="K244">
        <f t="shared" si="53"/>
        <v>0</v>
      </c>
      <c r="L244">
        <f t="shared" si="54"/>
        <v>0</v>
      </c>
      <c r="M244">
        <f t="shared" si="55"/>
        <v>1</v>
      </c>
      <c r="N244">
        <v>3</v>
      </c>
      <c r="O244">
        <f t="shared" si="45"/>
        <v>0</v>
      </c>
      <c r="P244">
        <f t="shared" si="46"/>
        <v>0</v>
      </c>
      <c r="Q244">
        <f t="shared" si="47"/>
        <v>0</v>
      </c>
      <c r="R244">
        <f t="shared" si="48"/>
        <v>1</v>
      </c>
      <c r="S244">
        <f t="shared" si="49"/>
        <v>0</v>
      </c>
      <c r="T244">
        <f t="shared" si="56"/>
        <v>0</v>
      </c>
      <c r="V244" t="s">
        <v>40</v>
      </c>
      <c r="W244" t="s">
        <v>46</v>
      </c>
      <c r="X244" t="s">
        <v>41</v>
      </c>
      <c r="Y244" t="s">
        <v>42</v>
      </c>
      <c r="Z244">
        <v>1</v>
      </c>
      <c r="AA244">
        <v>1</v>
      </c>
      <c r="AB244">
        <v>0</v>
      </c>
      <c r="AC244" t="s">
        <v>44</v>
      </c>
      <c r="AD244" t="s">
        <v>44</v>
      </c>
      <c r="AE244">
        <f t="shared" si="57"/>
        <v>0</v>
      </c>
      <c r="AF244" t="s">
        <v>44</v>
      </c>
      <c r="AG244">
        <f t="shared" si="58"/>
        <v>0</v>
      </c>
      <c r="AH244" t="s">
        <v>43</v>
      </c>
      <c r="AI244" t="s">
        <v>44</v>
      </c>
      <c r="AJ244" t="s">
        <v>43</v>
      </c>
      <c r="AK244" t="s">
        <v>43</v>
      </c>
      <c r="AL244">
        <f t="shared" si="59"/>
        <v>1</v>
      </c>
      <c r="AM244" t="s">
        <v>44</v>
      </c>
      <c r="AN244">
        <v>5</v>
      </c>
      <c r="AO244">
        <v>4</v>
      </c>
      <c r="AP244">
        <v>5</v>
      </c>
      <c r="AQ244">
        <v>1</v>
      </c>
      <c r="AR244">
        <v>1</v>
      </c>
      <c r="AS244">
        <v>3</v>
      </c>
      <c r="AT244">
        <v>0</v>
      </c>
      <c r="AV244">
        <v>6</v>
      </c>
      <c r="AW244">
        <v>0</v>
      </c>
      <c r="AX244">
        <v>0</v>
      </c>
    </row>
    <row r="245" spans="1:50" x14ac:dyDescent="0.2">
      <c r="A245" t="s">
        <v>34</v>
      </c>
      <c r="B245" t="s">
        <v>51</v>
      </c>
      <c r="C245">
        <v>16</v>
      </c>
      <c r="D245" t="s">
        <v>36</v>
      </c>
      <c r="E245" t="s">
        <v>37</v>
      </c>
      <c r="F245" t="s">
        <v>45</v>
      </c>
      <c r="G245">
        <f t="shared" si="50"/>
        <v>1</v>
      </c>
      <c r="H245">
        <v>4</v>
      </c>
      <c r="I245">
        <f t="shared" si="51"/>
        <v>0</v>
      </c>
      <c r="J245">
        <f t="shared" si="52"/>
        <v>0</v>
      </c>
      <c r="K245">
        <f t="shared" si="53"/>
        <v>0</v>
      </c>
      <c r="L245">
        <f t="shared" si="54"/>
        <v>0</v>
      </c>
      <c r="M245">
        <f t="shared" si="55"/>
        <v>1</v>
      </c>
      <c r="N245">
        <v>4</v>
      </c>
      <c r="O245">
        <f t="shared" si="45"/>
        <v>0</v>
      </c>
      <c r="P245">
        <f t="shared" si="46"/>
        <v>0</v>
      </c>
      <c r="Q245">
        <f t="shared" si="47"/>
        <v>0</v>
      </c>
      <c r="R245">
        <f t="shared" si="48"/>
        <v>0</v>
      </c>
      <c r="S245">
        <f t="shared" si="49"/>
        <v>1</v>
      </c>
      <c r="T245">
        <f t="shared" si="56"/>
        <v>1</v>
      </c>
      <c r="V245" t="s">
        <v>49</v>
      </c>
      <c r="W245" t="s">
        <v>49</v>
      </c>
      <c r="X245" t="s">
        <v>41</v>
      </c>
      <c r="Y245" t="s">
        <v>42</v>
      </c>
      <c r="Z245">
        <v>1</v>
      </c>
      <c r="AA245">
        <v>1</v>
      </c>
      <c r="AB245">
        <v>0</v>
      </c>
      <c r="AC245" t="s">
        <v>44</v>
      </c>
      <c r="AD245" t="s">
        <v>44</v>
      </c>
      <c r="AE245">
        <f t="shared" si="57"/>
        <v>0</v>
      </c>
      <c r="AF245" t="s">
        <v>44</v>
      </c>
      <c r="AG245">
        <f t="shared" si="58"/>
        <v>0</v>
      </c>
      <c r="AH245" t="s">
        <v>43</v>
      </c>
      <c r="AI245" t="s">
        <v>43</v>
      </c>
      <c r="AJ245" t="s">
        <v>43</v>
      </c>
      <c r="AK245" t="s">
        <v>43</v>
      </c>
      <c r="AL245">
        <f t="shared" si="59"/>
        <v>1</v>
      </c>
      <c r="AM245" t="s">
        <v>44</v>
      </c>
      <c r="AN245">
        <v>5</v>
      </c>
      <c r="AO245">
        <v>3</v>
      </c>
      <c r="AP245">
        <v>2</v>
      </c>
      <c r="AQ245">
        <v>1</v>
      </c>
      <c r="AR245">
        <v>2</v>
      </c>
      <c r="AS245">
        <v>5</v>
      </c>
      <c r="AT245">
        <v>0</v>
      </c>
      <c r="AV245">
        <v>13</v>
      </c>
      <c r="AW245">
        <v>12</v>
      </c>
      <c r="AX245">
        <v>12</v>
      </c>
    </row>
    <row r="246" spans="1:50" x14ac:dyDescent="0.2">
      <c r="A246" t="s">
        <v>34</v>
      </c>
      <c r="B246" t="s">
        <v>35</v>
      </c>
      <c r="C246">
        <v>18</v>
      </c>
      <c r="D246" t="s">
        <v>36</v>
      </c>
      <c r="E246" t="s">
        <v>37</v>
      </c>
      <c r="F246" t="s">
        <v>45</v>
      </c>
      <c r="G246">
        <f t="shared" si="50"/>
        <v>1</v>
      </c>
      <c r="H246">
        <v>2</v>
      </c>
      <c r="I246">
        <f t="shared" si="51"/>
        <v>0</v>
      </c>
      <c r="J246">
        <f t="shared" si="52"/>
        <v>0</v>
      </c>
      <c r="K246">
        <f t="shared" si="53"/>
        <v>1</v>
      </c>
      <c r="L246">
        <f t="shared" si="54"/>
        <v>0</v>
      </c>
      <c r="M246">
        <f t="shared" si="55"/>
        <v>0</v>
      </c>
      <c r="N246">
        <v>1</v>
      </c>
      <c r="O246">
        <f t="shared" si="45"/>
        <v>0</v>
      </c>
      <c r="P246">
        <f t="shared" si="46"/>
        <v>1</v>
      </c>
      <c r="Q246">
        <f t="shared" si="47"/>
        <v>0</v>
      </c>
      <c r="R246">
        <f t="shared" si="48"/>
        <v>0</v>
      </c>
      <c r="S246">
        <f t="shared" si="49"/>
        <v>0</v>
      </c>
      <c r="T246">
        <f t="shared" si="56"/>
        <v>0</v>
      </c>
      <c r="V246" t="s">
        <v>46</v>
      </c>
      <c r="W246" t="s">
        <v>46</v>
      </c>
      <c r="X246" t="s">
        <v>41</v>
      </c>
      <c r="Y246" t="s">
        <v>46</v>
      </c>
      <c r="Z246">
        <v>2</v>
      </c>
      <c r="AA246">
        <v>3</v>
      </c>
      <c r="AB246">
        <v>0</v>
      </c>
      <c r="AC246" t="s">
        <v>44</v>
      </c>
      <c r="AD246" t="s">
        <v>43</v>
      </c>
      <c r="AE246">
        <f t="shared" si="57"/>
        <v>1</v>
      </c>
      <c r="AF246" t="s">
        <v>43</v>
      </c>
      <c r="AG246">
        <f t="shared" si="58"/>
        <v>1</v>
      </c>
      <c r="AH246" t="s">
        <v>44</v>
      </c>
      <c r="AI246" t="s">
        <v>44</v>
      </c>
      <c r="AJ246" t="s">
        <v>43</v>
      </c>
      <c r="AK246" t="s">
        <v>43</v>
      </c>
      <c r="AL246">
        <f t="shared" si="59"/>
        <v>1</v>
      </c>
      <c r="AM246" t="s">
        <v>43</v>
      </c>
      <c r="AN246">
        <v>4</v>
      </c>
      <c r="AO246">
        <v>4</v>
      </c>
      <c r="AP246">
        <v>4</v>
      </c>
      <c r="AQ246">
        <v>1</v>
      </c>
      <c r="AR246">
        <v>1</v>
      </c>
      <c r="AS246">
        <v>3</v>
      </c>
      <c r="AT246">
        <v>0</v>
      </c>
      <c r="AV246">
        <v>7</v>
      </c>
      <c r="AW246">
        <v>0</v>
      </c>
      <c r="AX246">
        <v>0</v>
      </c>
    </row>
    <row r="247" spans="1:50" x14ac:dyDescent="0.2">
      <c r="A247" t="s">
        <v>34</v>
      </c>
      <c r="B247" t="s">
        <v>51</v>
      </c>
      <c r="C247">
        <v>16</v>
      </c>
      <c r="D247" t="s">
        <v>36</v>
      </c>
      <c r="E247" t="s">
        <v>37</v>
      </c>
      <c r="F247" t="s">
        <v>45</v>
      </c>
      <c r="G247">
        <f t="shared" si="50"/>
        <v>1</v>
      </c>
      <c r="H247">
        <v>2</v>
      </c>
      <c r="I247">
        <f t="shared" si="51"/>
        <v>0</v>
      </c>
      <c r="J247">
        <f t="shared" si="52"/>
        <v>0</v>
      </c>
      <c r="K247">
        <f t="shared" si="53"/>
        <v>1</v>
      </c>
      <c r="L247">
        <f t="shared" si="54"/>
        <v>0</v>
      </c>
      <c r="M247">
        <f t="shared" si="55"/>
        <v>0</v>
      </c>
      <c r="N247">
        <v>1</v>
      </c>
      <c r="O247">
        <f t="shared" si="45"/>
        <v>0</v>
      </c>
      <c r="P247">
        <f t="shared" si="46"/>
        <v>1</v>
      </c>
      <c r="Q247">
        <f t="shared" si="47"/>
        <v>0</v>
      </c>
      <c r="R247">
        <f t="shared" si="48"/>
        <v>0</v>
      </c>
      <c r="S247">
        <f t="shared" si="49"/>
        <v>0</v>
      </c>
      <c r="T247">
        <f t="shared" si="56"/>
        <v>0</v>
      </c>
      <c r="V247" t="s">
        <v>46</v>
      </c>
      <c r="W247" t="s">
        <v>46</v>
      </c>
      <c r="X247" t="s">
        <v>41</v>
      </c>
      <c r="Y247" t="s">
        <v>42</v>
      </c>
      <c r="Z247">
        <v>3</v>
      </c>
      <c r="AA247">
        <v>1</v>
      </c>
      <c r="AB247">
        <v>0</v>
      </c>
      <c r="AC247" t="s">
        <v>44</v>
      </c>
      <c r="AD247" t="s">
        <v>44</v>
      </c>
      <c r="AE247">
        <f t="shared" si="57"/>
        <v>0</v>
      </c>
      <c r="AF247" t="s">
        <v>44</v>
      </c>
      <c r="AG247">
        <f t="shared" si="58"/>
        <v>0</v>
      </c>
      <c r="AH247" t="s">
        <v>44</v>
      </c>
      <c r="AI247" t="s">
        <v>43</v>
      </c>
      <c r="AJ247" t="s">
        <v>43</v>
      </c>
      <c r="AK247" t="s">
        <v>43</v>
      </c>
      <c r="AL247">
        <f t="shared" si="59"/>
        <v>1</v>
      </c>
      <c r="AM247" t="s">
        <v>44</v>
      </c>
      <c r="AN247">
        <v>4</v>
      </c>
      <c r="AO247">
        <v>3</v>
      </c>
      <c r="AP247">
        <v>3</v>
      </c>
      <c r="AQ247">
        <v>1</v>
      </c>
      <c r="AR247">
        <v>1</v>
      </c>
      <c r="AS247">
        <v>4</v>
      </c>
      <c r="AT247">
        <v>6</v>
      </c>
      <c r="AV247">
        <v>18</v>
      </c>
      <c r="AW247">
        <v>18</v>
      </c>
      <c r="AX247">
        <v>18</v>
      </c>
    </row>
    <row r="248" spans="1:50" x14ac:dyDescent="0.2">
      <c r="A248" t="s">
        <v>34</v>
      </c>
      <c r="B248" t="s">
        <v>51</v>
      </c>
      <c r="C248">
        <v>17</v>
      </c>
      <c r="D248" t="s">
        <v>36</v>
      </c>
      <c r="E248" t="s">
        <v>37</v>
      </c>
      <c r="F248" t="s">
        <v>45</v>
      </c>
      <c r="G248">
        <f t="shared" si="50"/>
        <v>1</v>
      </c>
      <c r="H248">
        <v>2</v>
      </c>
      <c r="I248">
        <f t="shared" si="51"/>
        <v>0</v>
      </c>
      <c r="J248">
        <f t="shared" si="52"/>
        <v>0</v>
      </c>
      <c r="K248">
        <f t="shared" si="53"/>
        <v>1</v>
      </c>
      <c r="L248">
        <f t="shared" si="54"/>
        <v>0</v>
      </c>
      <c r="M248">
        <f t="shared" si="55"/>
        <v>0</v>
      </c>
      <c r="N248">
        <v>3</v>
      </c>
      <c r="O248">
        <f t="shared" si="45"/>
        <v>0</v>
      </c>
      <c r="P248">
        <f t="shared" si="46"/>
        <v>0</v>
      </c>
      <c r="Q248">
        <f t="shared" si="47"/>
        <v>0</v>
      </c>
      <c r="R248">
        <f t="shared" si="48"/>
        <v>1</v>
      </c>
      <c r="S248">
        <f t="shared" si="49"/>
        <v>0</v>
      </c>
      <c r="T248">
        <f t="shared" si="56"/>
        <v>0</v>
      </c>
      <c r="V248" t="s">
        <v>46</v>
      </c>
      <c r="W248" t="s">
        <v>46</v>
      </c>
      <c r="X248" t="s">
        <v>41</v>
      </c>
      <c r="Y248" t="s">
        <v>47</v>
      </c>
      <c r="Z248">
        <v>2</v>
      </c>
      <c r="AA248">
        <v>1</v>
      </c>
      <c r="AB248">
        <v>0</v>
      </c>
      <c r="AC248" t="s">
        <v>44</v>
      </c>
      <c r="AD248" t="s">
        <v>44</v>
      </c>
      <c r="AE248">
        <f t="shared" si="57"/>
        <v>0</v>
      </c>
      <c r="AF248" t="s">
        <v>44</v>
      </c>
      <c r="AG248">
        <f t="shared" si="58"/>
        <v>0</v>
      </c>
      <c r="AH248" t="s">
        <v>44</v>
      </c>
      <c r="AI248" t="s">
        <v>43</v>
      </c>
      <c r="AJ248" t="s">
        <v>43</v>
      </c>
      <c r="AK248" t="s">
        <v>43</v>
      </c>
      <c r="AL248">
        <f t="shared" si="59"/>
        <v>1</v>
      </c>
      <c r="AM248" t="s">
        <v>44</v>
      </c>
      <c r="AN248">
        <v>5</v>
      </c>
      <c r="AO248">
        <v>2</v>
      </c>
      <c r="AP248">
        <v>2</v>
      </c>
      <c r="AQ248">
        <v>1</v>
      </c>
      <c r="AR248">
        <v>1</v>
      </c>
      <c r="AS248">
        <v>2</v>
      </c>
      <c r="AT248">
        <v>4</v>
      </c>
      <c r="AV248">
        <v>12</v>
      </c>
      <c r="AW248">
        <v>12</v>
      </c>
      <c r="AX248">
        <v>13</v>
      </c>
    </row>
    <row r="249" spans="1:50" x14ac:dyDescent="0.2">
      <c r="A249" t="s">
        <v>34</v>
      </c>
      <c r="B249" t="s">
        <v>51</v>
      </c>
      <c r="C249">
        <v>22</v>
      </c>
      <c r="D249" t="s">
        <v>36</v>
      </c>
      <c r="E249" t="s">
        <v>37</v>
      </c>
      <c r="F249" t="s">
        <v>45</v>
      </c>
      <c r="G249">
        <f t="shared" si="50"/>
        <v>1</v>
      </c>
      <c r="H249">
        <v>3</v>
      </c>
      <c r="I249">
        <f t="shared" si="51"/>
        <v>0</v>
      </c>
      <c r="J249">
        <f t="shared" si="52"/>
        <v>0</v>
      </c>
      <c r="K249">
        <f t="shared" si="53"/>
        <v>0</v>
      </c>
      <c r="L249">
        <f t="shared" si="54"/>
        <v>1</v>
      </c>
      <c r="M249">
        <f t="shared" si="55"/>
        <v>0</v>
      </c>
      <c r="N249">
        <v>1</v>
      </c>
      <c r="O249">
        <f t="shared" si="45"/>
        <v>0</v>
      </c>
      <c r="P249">
        <f t="shared" si="46"/>
        <v>1</v>
      </c>
      <c r="Q249">
        <f t="shared" si="47"/>
        <v>0</v>
      </c>
      <c r="R249">
        <f t="shared" si="48"/>
        <v>0</v>
      </c>
      <c r="S249">
        <f t="shared" si="49"/>
        <v>0</v>
      </c>
      <c r="T249">
        <f t="shared" si="56"/>
        <v>0</v>
      </c>
      <c r="V249" t="s">
        <v>49</v>
      </c>
      <c r="W249" t="s">
        <v>49</v>
      </c>
      <c r="X249" t="s">
        <v>46</v>
      </c>
      <c r="Y249" t="s">
        <v>42</v>
      </c>
      <c r="Z249">
        <v>1</v>
      </c>
      <c r="AA249">
        <v>1</v>
      </c>
      <c r="AB249">
        <v>3</v>
      </c>
      <c r="AC249" t="s">
        <v>44</v>
      </c>
      <c r="AD249" t="s">
        <v>44</v>
      </c>
      <c r="AE249">
        <f t="shared" si="57"/>
        <v>0</v>
      </c>
      <c r="AF249" t="s">
        <v>44</v>
      </c>
      <c r="AG249">
        <f t="shared" si="58"/>
        <v>0</v>
      </c>
      <c r="AH249" t="s">
        <v>44</v>
      </c>
      <c r="AI249" t="s">
        <v>44</v>
      </c>
      <c r="AJ249" t="s">
        <v>44</v>
      </c>
      <c r="AK249" t="s">
        <v>43</v>
      </c>
      <c r="AL249">
        <f t="shared" si="59"/>
        <v>1</v>
      </c>
      <c r="AM249" t="s">
        <v>43</v>
      </c>
      <c r="AN249">
        <v>5</v>
      </c>
      <c r="AO249">
        <v>4</v>
      </c>
      <c r="AP249">
        <v>5</v>
      </c>
      <c r="AQ249">
        <v>5</v>
      </c>
      <c r="AR249">
        <v>5</v>
      </c>
      <c r="AS249">
        <v>1</v>
      </c>
      <c r="AT249">
        <v>16</v>
      </c>
      <c r="AV249">
        <v>6</v>
      </c>
      <c r="AW249">
        <v>8</v>
      </c>
      <c r="AX249">
        <v>8</v>
      </c>
    </row>
    <row r="250" spans="1:50" x14ac:dyDescent="0.2">
      <c r="A250" t="s">
        <v>34</v>
      </c>
      <c r="B250" t="s">
        <v>51</v>
      </c>
      <c r="C250">
        <v>18</v>
      </c>
      <c r="D250" t="s">
        <v>53</v>
      </c>
      <c r="E250" t="s">
        <v>48</v>
      </c>
      <c r="F250" t="s">
        <v>45</v>
      </c>
      <c r="G250">
        <f t="shared" si="50"/>
        <v>1</v>
      </c>
      <c r="H250">
        <v>3</v>
      </c>
      <c r="I250">
        <f t="shared" si="51"/>
        <v>0</v>
      </c>
      <c r="J250">
        <f t="shared" si="52"/>
        <v>0</v>
      </c>
      <c r="K250">
        <f t="shared" si="53"/>
        <v>0</v>
      </c>
      <c r="L250">
        <f t="shared" si="54"/>
        <v>1</v>
      </c>
      <c r="M250">
        <f t="shared" si="55"/>
        <v>0</v>
      </c>
      <c r="N250">
        <v>3</v>
      </c>
      <c r="O250">
        <f t="shared" si="45"/>
        <v>0</v>
      </c>
      <c r="P250">
        <f t="shared" si="46"/>
        <v>0</v>
      </c>
      <c r="Q250">
        <f t="shared" si="47"/>
        <v>0</v>
      </c>
      <c r="R250">
        <f t="shared" si="48"/>
        <v>1</v>
      </c>
      <c r="S250">
        <f t="shared" si="49"/>
        <v>0</v>
      </c>
      <c r="T250">
        <f t="shared" si="56"/>
        <v>0</v>
      </c>
      <c r="V250" t="s">
        <v>46</v>
      </c>
      <c r="W250" t="s">
        <v>49</v>
      </c>
      <c r="X250" t="s">
        <v>41</v>
      </c>
      <c r="Y250" t="s">
        <v>42</v>
      </c>
      <c r="Z250">
        <v>1</v>
      </c>
      <c r="AA250">
        <v>2</v>
      </c>
      <c r="AB250">
        <v>1</v>
      </c>
      <c r="AC250" t="s">
        <v>44</v>
      </c>
      <c r="AD250" t="s">
        <v>43</v>
      </c>
      <c r="AE250">
        <f t="shared" si="57"/>
        <v>1</v>
      </c>
      <c r="AF250" t="s">
        <v>44</v>
      </c>
      <c r="AG250">
        <f t="shared" si="58"/>
        <v>0</v>
      </c>
      <c r="AH250" t="s">
        <v>44</v>
      </c>
      <c r="AI250" t="s">
        <v>43</v>
      </c>
      <c r="AJ250" t="s">
        <v>43</v>
      </c>
      <c r="AK250" t="s">
        <v>43</v>
      </c>
      <c r="AL250">
        <f t="shared" si="59"/>
        <v>1</v>
      </c>
      <c r="AM250" t="s">
        <v>43</v>
      </c>
      <c r="AN250">
        <v>4</v>
      </c>
      <c r="AO250">
        <v>3</v>
      </c>
      <c r="AP250">
        <v>3</v>
      </c>
      <c r="AQ250">
        <v>1</v>
      </c>
      <c r="AR250">
        <v>3</v>
      </c>
      <c r="AS250">
        <v>5</v>
      </c>
      <c r="AT250">
        <v>8</v>
      </c>
      <c r="AV250">
        <v>3</v>
      </c>
      <c r="AW250">
        <v>5</v>
      </c>
      <c r="AX250">
        <v>5</v>
      </c>
    </row>
    <row r="251" spans="1:50" x14ac:dyDescent="0.2">
      <c r="A251" t="s">
        <v>34</v>
      </c>
      <c r="B251" t="s">
        <v>51</v>
      </c>
      <c r="C251">
        <v>16</v>
      </c>
      <c r="D251" t="s">
        <v>36</v>
      </c>
      <c r="E251" t="s">
        <v>37</v>
      </c>
      <c r="F251" t="s">
        <v>45</v>
      </c>
      <c r="G251">
        <f t="shared" si="50"/>
        <v>1</v>
      </c>
      <c r="H251">
        <v>0</v>
      </c>
      <c r="I251">
        <f t="shared" si="51"/>
        <v>1</v>
      </c>
      <c r="J251">
        <f t="shared" si="52"/>
        <v>0</v>
      </c>
      <c r="K251">
        <f t="shared" si="53"/>
        <v>0</v>
      </c>
      <c r="L251">
        <f t="shared" si="54"/>
        <v>0</v>
      </c>
      <c r="M251">
        <f t="shared" si="55"/>
        <v>0</v>
      </c>
      <c r="N251">
        <v>2</v>
      </c>
      <c r="O251">
        <f t="shared" si="45"/>
        <v>0</v>
      </c>
      <c r="P251">
        <f t="shared" si="46"/>
        <v>0</v>
      </c>
      <c r="Q251">
        <f t="shared" si="47"/>
        <v>1</v>
      </c>
      <c r="R251">
        <f t="shared" si="48"/>
        <v>0</v>
      </c>
      <c r="S251">
        <f t="shared" si="49"/>
        <v>0</v>
      </c>
      <c r="T251">
        <f t="shared" si="56"/>
        <v>0</v>
      </c>
      <c r="V251" t="s">
        <v>46</v>
      </c>
      <c r="W251" t="s">
        <v>46</v>
      </c>
      <c r="X251" t="s">
        <v>46</v>
      </c>
      <c r="Y251" t="s">
        <v>42</v>
      </c>
      <c r="Z251">
        <v>1</v>
      </c>
      <c r="AA251">
        <v>1</v>
      </c>
      <c r="AB251">
        <v>0</v>
      </c>
      <c r="AC251" t="s">
        <v>44</v>
      </c>
      <c r="AD251" t="s">
        <v>44</v>
      </c>
      <c r="AE251">
        <f t="shared" si="57"/>
        <v>0</v>
      </c>
      <c r="AF251" t="s">
        <v>43</v>
      </c>
      <c r="AG251">
        <f t="shared" si="58"/>
        <v>1</v>
      </c>
      <c r="AH251" t="s">
        <v>44</v>
      </c>
      <c r="AI251" t="s">
        <v>44</v>
      </c>
      <c r="AJ251" t="s">
        <v>43</v>
      </c>
      <c r="AK251" t="s">
        <v>43</v>
      </c>
      <c r="AL251">
        <f t="shared" si="59"/>
        <v>1</v>
      </c>
      <c r="AM251" t="s">
        <v>44</v>
      </c>
      <c r="AN251">
        <v>4</v>
      </c>
      <c r="AO251">
        <v>3</v>
      </c>
      <c r="AP251">
        <v>2</v>
      </c>
      <c r="AQ251">
        <v>2</v>
      </c>
      <c r="AR251">
        <v>4</v>
      </c>
      <c r="AS251">
        <v>5</v>
      </c>
      <c r="AT251">
        <v>0</v>
      </c>
      <c r="AV251">
        <v>13</v>
      </c>
      <c r="AW251">
        <v>15</v>
      </c>
      <c r="AX251">
        <v>15</v>
      </c>
    </row>
    <row r="252" spans="1:50" x14ac:dyDescent="0.2">
      <c r="A252" t="s">
        <v>34</v>
      </c>
      <c r="B252" t="s">
        <v>51</v>
      </c>
      <c r="C252">
        <v>18</v>
      </c>
      <c r="D252" t="s">
        <v>36</v>
      </c>
      <c r="E252" t="s">
        <v>37</v>
      </c>
      <c r="F252" t="s">
        <v>45</v>
      </c>
      <c r="G252">
        <f t="shared" si="50"/>
        <v>1</v>
      </c>
      <c r="H252">
        <v>3</v>
      </c>
      <c r="I252">
        <f t="shared" si="51"/>
        <v>0</v>
      </c>
      <c r="J252">
        <f t="shared" si="52"/>
        <v>0</v>
      </c>
      <c r="K252">
        <f t="shared" si="53"/>
        <v>0</v>
      </c>
      <c r="L252">
        <f t="shared" si="54"/>
        <v>1</v>
      </c>
      <c r="M252">
        <f t="shared" si="55"/>
        <v>0</v>
      </c>
      <c r="N252">
        <v>2</v>
      </c>
      <c r="O252">
        <f t="shared" si="45"/>
        <v>0</v>
      </c>
      <c r="P252">
        <f t="shared" si="46"/>
        <v>0</v>
      </c>
      <c r="Q252">
        <f t="shared" si="47"/>
        <v>1</v>
      </c>
      <c r="R252">
        <f t="shared" si="48"/>
        <v>0</v>
      </c>
      <c r="S252">
        <f t="shared" si="49"/>
        <v>0</v>
      </c>
      <c r="T252">
        <f t="shared" si="56"/>
        <v>0</v>
      </c>
      <c r="V252" t="s">
        <v>49</v>
      </c>
      <c r="W252" t="s">
        <v>46</v>
      </c>
      <c r="X252" t="s">
        <v>41</v>
      </c>
      <c r="Y252" t="s">
        <v>42</v>
      </c>
      <c r="Z252">
        <v>2</v>
      </c>
      <c r="AA252">
        <v>1</v>
      </c>
      <c r="AB252">
        <v>1</v>
      </c>
      <c r="AC252" t="s">
        <v>44</v>
      </c>
      <c r="AD252" t="s">
        <v>44</v>
      </c>
      <c r="AE252">
        <f t="shared" si="57"/>
        <v>0</v>
      </c>
      <c r="AF252" t="s">
        <v>44</v>
      </c>
      <c r="AG252">
        <f t="shared" si="58"/>
        <v>0</v>
      </c>
      <c r="AH252" t="s">
        <v>44</v>
      </c>
      <c r="AI252" t="s">
        <v>43</v>
      </c>
      <c r="AJ252" t="s">
        <v>44</v>
      </c>
      <c r="AK252" t="s">
        <v>43</v>
      </c>
      <c r="AL252">
        <f t="shared" si="59"/>
        <v>1</v>
      </c>
      <c r="AM252" t="s">
        <v>44</v>
      </c>
      <c r="AN252">
        <v>4</v>
      </c>
      <c r="AO252">
        <v>4</v>
      </c>
      <c r="AP252">
        <v>5</v>
      </c>
      <c r="AQ252">
        <v>2</v>
      </c>
      <c r="AR252">
        <v>4</v>
      </c>
      <c r="AS252">
        <v>5</v>
      </c>
      <c r="AT252">
        <v>0</v>
      </c>
      <c r="AV252">
        <v>6</v>
      </c>
      <c r="AW252">
        <v>8</v>
      </c>
      <c r="AX252">
        <v>8</v>
      </c>
    </row>
    <row r="253" spans="1:50" x14ac:dyDescent="0.2">
      <c r="A253" t="s">
        <v>34</v>
      </c>
      <c r="B253" t="s">
        <v>51</v>
      </c>
      <c r="C253">
        <v>16</v>
      </c>
      <c r="D253" t="s">
        <v>36</v>
      </c>
      <c r="E253" t="s">
        <v>37</v>
      </c>
      <c r="F253" t="s">
        <v>45</v>
      </c>
      <c r="G253">
        <f t="shared" si="50"/>
        <v>1</v>
      </c>
      <c r="H253">
        <v>3</v>
      </c>
      <c r="I253">
        <f t="shared" si="51"/>
        <v>0</v>
      </c>
      <c r="J253">
        <f t="shared" si="52"/>
        <v>0</v>
      </c>
      <c r="K253">
        <f t="shared" si="53"/>
        <v>0</v>
      </c>
      <c r="L253">
        <f t="shared" si="54"/>
        <v>1</v>
      </c>
      <c r="M253">
        <f t="shared" si="55"/>
        <v>0</v>
      </c>
      <c r="N253">
        <v>3</v>
      </c>
      <c r="O253">
        <f t="shared" si="45"/>
        <v>0</v>
      </c>
      <c r="P253">
        <f t="shared" si="46"/>
        <v>0</v>
      </c>
      <c r="Q253">
        <f t="shared" si="47"/>
        <v>0</v>
      </c>
      <c r="R253">
        <f t="shared" si="48"/>
        <v>1</v>
      </c>
      <c r="S253">
        <f t="shared" si="49"/>
        <v>0</v>
      </c>
      <c r="T253">
        <f t="shared" si="56"/>
        <v>0</v>
      </c>
      <c r="V253" t="s">
        <v>39</v>
      </c>
      <c r="W253" t="s">
        <v>46</v>
      </c>
      <c r="X253" t="s">
        <v>52</v>
      </c>
      <c r="Y253" t="s">
        <v>46</v>
      </c>
      <c r="Z253">
        <v>3</v>
      </c>
      <c r="AA253">
        <v>2</v>
      </c>
      <c r="AB253">
        <v>0</v>
      </c>
      <c r="AC253" t="s">
        <v>43</v>
      </c>
      <c r="AD253" t="s">
        <v>43</v>
      </c>
      <c r="AE253">
        <f t="shared" si="57"/>
        <v>1</v>
      </c>
      <c r="AF253" t="s">
        <v>44</v>
      </c>
      <c r="AG253">
        <f t="shared" si="58"/>
        <v>0</v>
      </c>
      <c r="AH253" t="s">
        <v>44</v>
      </c>
      <c r="AI253" t="s">
        <v>44</v>
      </c>
      <c r="AJ253" t="s">
        <v>43</v>
      </c>
      <c r="AK253" t="s">
        <v>43</v>
      </c>
      <c r="AL253">
        <f t="shared" si="59"/>
        <v>1</v>
      </c>
      <c r="AM253" t="s">
        <v>44</v>
      </c>
      <c r="AN253">
        <v>5</v>
      </c>
      <c r="AO253">
        <v>3</v>
      </c>
      <c r="AP253">
        <v>3</v>
      </c>
      <c r="AQ253">
        <v>1</v>
      </c>
      <c r="AR253">
        <v>3</v>
      </c>
      <c r="AS253">
        <v>2</v>
      </c>
      <c r="AT253">
        <v>6</v>
      </c>
      <c r="AV253">
        <v>7</v>
      </c>
      <c r="AW253">
        <v>10</v>
      </c>
      <c r="AX253">
        <v>10</v>
      </c>
    </row>
    <row r="254" spans="1:50" x14ac:dyDescent="0.2">
      <c r="A254" t="s">
        <v>34</v>
      </c>
      <c r="B254" t="s">
        <v>51</v>
      </c>
      <c r="C254">
        <v>18</v>
      </c>
      <c r="D254" t="s">
        <v>36</v>
      </c>
      <c r="E254" t="s">
        <v>37</v>
      </c>
      <c r="F254" t="s">
        <v>45</v>
      </c>
      <c r="G254">
        <f t="shared" si="50"/>
        <v>1</v>
      </c>
      <c r="H254">
        <v>2</v>
      </c>
      <c r="I254">
        <f t="shared" si="51"/>
        <v>0</v>
      </c>
      <c r="J254">
        <f t="shared" si="52"/>
        <v>0</v>
      </c>
      <c r="K254">
        <f t="shared" si="53"/>
        <v>1</v>
      </c>
      <c r="L254">
        <f t="shared" si="54"/>
        <v>0</v>
      </c>
      <c r="M254">
        <f t="shared" si="55"/>
        <v>0</v>
      </c>
      <c r="N254">
        <v>1</v>
      </c>
      <c r="O254">
        <f t="shared" si="45"/>
        <v>0</v>
      </c>
      <c r="P254">
        <f t="shared" si="46"/>
        <v>1</v>
      </c>
      <c r="Q254">
        <f t="shared" si="47"/>
        <v>0</v>
      </c>
      <c r="R254">
        <f t="shared" si="48"/>
        <v>0</v>
      </c>
      <c r="S254">
        <f t="shared" si="49"/>
        <v>0</v>
      </c>
      <c r="T254">
        <f t="shared" si="56"/>
        <v>0</v>
      </c>
      <c r="V254" t="s">
        <v>49</v>
      </c>
      <c r="W254" t="s">
        <v>49</v>
      </c>
      <c r="X254" t="s">
        <v>46</v>
      </c>
      <c r="Y254" t="s">
        <v>42</v>
      </c>
      <c r="Z254">
        <v>1</v>
      </c>
      <c r="AA254">
        <v>1</v>
      </c>
      <c r="AB254">
        <v>1</v>
      </c>
      <c r="AC254" t="s">
        <v>44</v>
      </c>
      <c r="AD254" t="s">
        <v>44</v>
      </c>
      <c r="AE254">
        <f t="shared" si="57"/>
        <v>0</v>
      </c>
      <c r="AF254" t="s">
        <v>44</v>
      </c>
      <c r="AG254">
        <f t="shared" si="58"/>
        <v>0</v>
      </c>
      <c r="AH254" t="s">
        <v>44</v>
      </c>
      <c r="AI254" t="s">
        <v>44</v>
      </c>
      <c r="AJ254" t="s">
        <v>44</v>
      </c>
      <c r="AK254" t="s">
        <v>43</v>
      </c>
      <c r="AL254">
        <f t="shared" si="59"/>
        <v>1</v>
      </c>
      <c r="AM254" t="s">
        <v>44</v>
      </c>
      <c r="AN254">
        <v>3</v>
      </c>
      <c r="AO254">
        <v>2</v>
      </c>
      <c r="AP254">
        <v>5</v>
      </c>
      <c r="AQ254">
        <v>2</v>
      </c>
      <c r="AR254">
        <v>5</v>
      </c>
      <c r="AS254">
        <v>5</v>
      </c>
      <c r="AT254">
        <v>4</v>
      </c>
      <c r="AV254">
        <v>6</v>
      </c>
      <c r="AW254">
        <v>9</v>
      </c>
      <c r="AX254">
        <v>8</v>
      </c>
    </row>
    <row r="255" spans="1:50" x14ac:dyDescent="0.2">
      <c r="A255" t="s">
        <v>34</v>
      </c>
      <c r="B255" t="s">
        <v>51</v>
      </c>
      <c r="C255">
        <v>16</v>
      </c>
      <c r="D255" t="s">
        <v>53</v>
      </c>
      <c r="E255" t="s">
        <v>37</v>
      </c>
      <c r="F255" t="s">
        <v>45</v>
      </c>
      <c r="G255">
        <f t="shared" si="50"/>
        <v>1</v>
      </c>
      <c r="H255">
        <v>2</v>
      </c>
      <c r="I255">
        <f t="shared" si="51"/>
        <v>0</v>
      </c>
      <c r="J255">
        <f t="shared" si="52"/>
        <v>0</v>
      </c>
      <c r="K255">
        <f t="shared" si="53"/>
        <v>1</v>
      </c>
      <c r="L255">
        <f t="shared" si="54"/>
        <v>0</v>
      </c>
      <c r="M255">
        <f t="shared" si="55"/>
        <v>0</v>
      </c>
      <c r="N255">
        <v>1</v>
      </c>
      <c r="O255">
        <f t="shared" si="45"/>
        <v>0</v>
      </c>
      <c r="P255">
        <f t="shared" si="46"/>
        <v>1</v>
      </c>
      <c r="Q255">
        <f t="shared" si="47"/>
        <v>0</v>
      </c>
      <c r="R255">
        <f t="shared" si="48"/>
        <v>0</v>
      </c>
      <c r="S255">
        <f t="shared" si="49"/>
        <v>0</v>
      </c>
      <c r="T255">
        <f t="shared" si="56"/>
        <v>0</v>
      </c>
      <c r="V255" t="s">
        <v>46</v>
      </c>
      <c r="W255" t="s">
        <v>46</v>
      </c>
      <c r="X255" t="s">
        <v>41</v>
      </c>
      <c r="Y255" t="s">
        <v>42</v>
      </c>
      <c r="Z255">
        <v>2</v>
      </c>
      <c r="AA255">
        <v>1</v>
      </c>
      <c r="AB255">
        <v>0</v>
      </c>
      <c r="AC255" t="s">
        <v>44</v>
      </c>
      <c r="AD255" t="s">
        <v>44</v>
      </c>
      <c r="AE255">
        <f t="shared" si="57"/>
        <v>0</v>
      </c>
      <c r="AF255" t="s">
        <v>44</v>
      </c>
      <c r="AG255">
        <f t="shared" si="58"/>
        <v>0</v>
      </c>
      <c r="AH255" t="s">
        <v>43</v>
      </c>
      <c r="AI255" t="s">
        <v>44</v>
      </c>
      <c r="AJ255" t="s">
        <v>43</v>
      </c>
      <c r="AK255" t="s">
        <v>44</v>
      </c>
      <c r="AL255">
        <f t="shared" si="59"/>
        <v>0</v>
      </c>
      <c r="AM255" t="s">
        <v>44</v>
      </c>
      <c r="AN255">
        <v>3</v>
      </c>
      <c r="AO255">
        <v>3</v>
      </c>
      <c r="AP255">
        <v>2</v>
      </c>
      <c r="AQ255">
        <v>1</v>
      </c>
      <c r="AR255">
        <v>3</v>
      </c>
      <c r="AS255">
        <v>3</v>
      </c>
      <c r="AT255">
        <v>0</v>
      </c>
      <c r="AV255">
        <v>8</v>
      </c>
      <c r="AW255">
        <v>9</v>
      </c>
      <c r="AX255">
        <v>8</v>
      </c>
    </row>
    <row r="256" spans="1:50" x14ac:dyDescent="0.2">
      <c r="A256" t="s">
        <v>34</v>
      </c>
      <c r="B256" t="s">
        <v>51</v>
      </c>
      <c r="C256">
        <v>17</v>
      </c>
      <c r="D256" t="s">
        <v>53</v>
      </c>
      <c r="E256" t="s">
        <v>37</v>
      </c>
      <c r="F256" t="s">
        <v>45</v>
      </c>
      <c r="G256">
        <f t="shared" si="50"/>
        <v>1</v>
      </c>
      <c r="H256">
        <v>2</v>
      </c>
      <c r="I256">
        <f t="shared" si="51"/>
        <v>0</v>
      </c>
      <c r="J256">
        <f t="shared" si="52"/>
        <v>0</v>
      </c>
      <c r="K256">
        <f t="shared" si="53"/>
        <v>1</v>
      </c>
      <c r="L256">
        <f t="shared" si="54"/>
        <v>0</v>
      </c>
      <c r="M256">
        <f t="shared" si="55"/>
        <v>0</v>
      </c>
      <c r="N256">
        <v>1</v>
      </c>
      <c r="O256">
        <f t="shared" si="45"/>
        <v>0</v>
      </c>
      <c r="P256">
        <f t="shared" si="46"/>
        <v>1</v>
      </c>
      <c r="Q256">
        <f t="shared" si="47"/>
        <v>0</v>
      </c>
      <c r="R256">
        <f t="shared" si="48"/>
        <v>0</v>
      </c>
      <c r="S256">
        <f t="shared" si="49"/>
        <v>0</v>
      </c>
      <c r="T256">
        <f t="shared" si="56"/>
        <v>0</v>
      </c>
      <c r="V256" t="s">
        <v>46</v>
      </c>
      <c r="W256" t="s">
        <v>46</v>
      </c>
      <c r="X256" t="s">
        <v>41</v>
      </c>
      <c r="Y256" t="s">
        <v>42</v>
      </c>
      <c r="Z256">
        <v>1</v>
      </c>
      <c r="AA256">
        <v>1</v>
      </c>
      <c r="AB256">
        <v>0</v>
      </c>
      <c r="AC256" t="s">
        <v>44</v>
      </c>
      <c r="AD256" t="s">
        <v>44</v>
      </c>
      <c r="AE256">
        <f t="shared" si="57"/>
        <v>0</v>
      </c>
      <c r="AF256" t="s">
        <v>44</v>
      </c>
      <c r="AG256">
        <f t="shared" si="58"/>
        <v>0</v>
      </c>
      <c r="AH256" t="s">
        <v>44</v>
      </c>
      <c r="AI256" t="s">
        <v>44</v>
      </c>
      <c r="AJ256" t="s">
        <v>43</v>
      </c>
      <c r="AK256" t="s">
        <v>43</v>
      </c>
      <c r="AL256">
        <f t="shared" si="59"/>
        <v>1</v>
      </c>
      <c r="AM256" t="s">
        <v>44</v>
      </c>
      <c r="AN256">
        <v>4</v>
      </c>
      <c r="AO256">
        <v>4</v>
      </c>
      <c r="AP256">
        <v>2</v>
      </c>
      <c r="AQ256">
        <v>2</v>
      </c>
      <c r="AR256">
        <v>4</v>
      </c>
      <c r="AS256">
        <v>5</v>
      </c>
      <c r="AT256">
        <v>0</v>
      </c>
      <c r="AV256">
        <v>8</v>
      </c>
      <c r="AW256">
        <v>12</v>
      </c>
      <c r="AX256">
        <v>12</v>
      </c>
    </row>
    <row r="257" spans="1:50" x14ac:dyDescent="0.2">
      <c r="A257" t="s">
        <v>34</v>
      </c>
      <c r="B257" t="s">
        <v>51</v>
      </c>
      <c r="C257">
        <v>17</v>
      </c>
      <c r="D257" t="s">
        <v>36</v>
      </c>
      <c r="E257" t="s">
        <v>48</v>
      </c>
      <c r="F257" t="s">
        <v>45</v>
      </c>
      <c r="G257">
        <f t="shared" si="50"/>
        <v>1</v>
      </c>
      <c r="H257">
        <v>1</v>
      </c>
      <c r="I257">
        <f t="shared" si="51"/>
        <v>0</v>
      </c>
      <c r="J257">
        <f t="shared" si="52"/>
        <v>1</v>
      </c>
      <c r="K257">
        <f t="shared" si="53"/>
        <v>0</v>
      </c>
      <c r="L257">
        <f t="shared" si="54"/>
        <v>0</v>
      </c>
      <c r="M257">
        <f t="shared" si="55"/>
        <v>0</v>
      </c>
      <c r="N257">
        <v>1</v>
      </c>
      <c r="O257">
        <f t="shared" si="45"/>
        <v>0</v>
      </c>
      <c r="P257">
        <f t="shared" si="46"/>
        <v>1</v>
      </c>
      <c r="Q257">
        <f t="shared" si="47"/>
        <v>0</v>
      </c>
      <c r="R257">
        <f t="shared" si="48"/>
        <v>0</v>
      </c>
      <c r="S257">
        <f t="shared" si="49"/>
        <v>0</v>
      </c>
      <c r="T257">
        <f t="shared" si="56"/>
        <v>0</v>
      </c>
      <c r="V257" t="s">
        <v>29</v>
      </c>
      <c r="W257" t="s">
        <v>46</v>
      </c>
      <c r="X257" t="s">
        <v>41</v>
      </c>
      <c r="Y257" t="s">
        <v>42</v>
      </c>
      <c r="Z257">
        <v>2</v>
      </c>
      <c r="AA257">
        <v>1</v>
      </c>
      <c r="AB257">
        <v>1</v>
      </c>
      <c r="AC257" t="s">
        <v>44</v>
      </c>
      <c r="AD257" t="s">
        <v>43</v>
      </c>
      <c r="AE257">
        <f t="shared" si="57"/>
        <v>1</v>
      </c>
      <c r="AF257" t="s">
        <v>44</v>
      </c>
      <c r="AG257">
        <f t="shared" si="58"/>
        <v>0</v>
      </c>
      <c r="AH257" t="s">
        <v>43</v>
      </c>
      <c r="AI257" t="s">
        <v>43</v>
      </c>
      <c r="AJ257" t="s">
        <v>43</v>
      </c>
      <c r="AK257" t="s">
        <v>43</v>
      </c>
      <c r="AL257">
        <f t="shared" si="59"/>
        <v>1</v>
      </c>
      <c r="AM257" t="s">
        <v>44</v>
      </c>
      <c r="AN257">
        <v>4</v>
      </c>
      <c r="AO257">
        <v>4</v>
      </c>
      <c r="AP257">
        <v>4</v>
      </c>
      <c r="AQ257">
        <v>1</v>
      </c>
      <c r="AR257">
        <v>2</v>
      </c>
      <c r="AS257">
        <v>5</v>
      </c>
      <c r="AT257">
        <v>2</v>
      </c>
      <c r="AV257">
        <v>7</v>
      </c>
      <c r="AW257">
        <v>9</v>
      </c>
      <c r="AX257">
        <v>8</v>
      </c>
    </row>
    <row r="258" spans="1:50" x14ac:dyDescent="0.2">
      <c r="A258" t="s">
        <v>34</v>
      </c>
      <c r="B258" t="s">
        <v>35</v>
      </c>
      <c r="C258">
        <v>17</v>
      </c>
      <c r="D258" t="s">
        <v>36</v>
      </c>
      <c r="E258" t="s">
        <v>48</v>
      </c>
      <c r="F258" t="s">
        <v>45</v>
      </c>
      <c r="G258">
        <f t="shared" si="50"/>
        <v>1</v>
      </c>
      <c r="H258">
        <v>4</v>
      </c>
      <c r="I258">
        <f t="shared" si="51"/>
        <v>0</v>
      </c>
      <c r="J258">
        <f t="shared" si="52"/>
        <v>0</v>
      </c>
      <c r="K258">
        <f t="shared" si="53"/>
        <v>0</v>
      </c>
      <c r="L258">
        <f t="shared" si="54"/>
        <v>0</v>
      </c>
      <c r="M258">
        <f t="shared" si="55"/>
        <v>1</v>
      </c>
      <c r="N258">
        <v>2</v>
      </c>
      <c r="O258">
        <f t="shared" ref="O258:O321" si="60" xml:space="preserve"> IF($N258=0,1,0)</f>
        <v>0</v>
      </c>
      <c r="P258">
        <f t="shared" ref="P258:P321" si="61" xml:space="preserve"> IF($N258=1,1,0)</f>
        <v>0</v>
      </c>
      <c r="Q258">
        <f t="shared" ref="Q258:Q321" si="62" xml:space="preserve"> IF($N258=2,1,0)</f>
        <v>1</v>
      </c>
      <c r="R258">
        <f t="shared" ref="R258:R321" si="63" xml:space="preserve"> IF($N258=3,1,0)</f>
        <v>0</v>
      </c>
      <c r="S258">
        <f t="shared" ref="S258:S321" si="64" xml:space="preserve"> IF($N258=4,1,0)</f>
        <v>0</v>
      </c>
      <c r="T258">
        <f t="shared" si="56"/>
        <v>0</v>
      </c>
      <c r="V258" t="s">
        <v>40</v>
      </c>
      <c r="W258" t="s">
        <v>49</v>
      </c>
      <c r="X258" t="s">
        <v>52</v>
      </c>
      <c r="Y258" t="s">
        <v>42</v>
      </c>
      <c r="Z258">
        <v>1</v>
      </c>
      <c r="AA258">
        <v>4</v>
      </c>
      <c r="AB258">
        <v>0</v>
      </c>
      <c r="AC258" t="s">
        <v>44</v>
      </c>
      <c r="AD258" t="s">
        <v>43</v>
      </c>
      <c r="AE258">
        <f t="shared" si="57"/>
        <v>1</v>
      </c>
      <c r="AF258" t="s">
        <v>43</v>
      </c>
      <c r="AG258">
        <f t="shared" si="58"/>
        <v>1</v>
      </c>
      <c r="AH258" t="s">
        <v>43</v>
      </c>
      <c r="AI258" t="s">
        <v>43</v>
      </c>
      <c r="AJ258" t="s">
        <v>43</v>
      </c>
      <c r="AK258" t="s">
        <v>43</v>
      </c>
      <c r="AL258">
        <f t="shared" si="59"/>
        <v>1</v>
      </c>
      <c r="AM258" t="s">
        <v>44</v>
      </c>
      <c r="AN258">
        <v>4</v>
      </c>
      <c r="AO258">
        <v>2</v>
      </c>
      <c r="AP258">
        <v>3</v>
      </c>
      <c r="AQ258">
        <v>1</v>
      </c>
      <c r="AR258">
        <v>1</v>
      </c>
      <c r="AS258">
        <v>4</v>
      </c>
      <c r="AT258">
        <v>6</v>
      </c>
      <c r="AV258">
        <v>14</v>
      </c>
      <c r="AW258">
        <v>12</v>
      </c>
      <c r="AX258">
        <v>13</v>
      </c>
    </row>
    <row r="259" spans="1:50" x14ac:dyDescent="0.2">
      <c r="A259" t="s">
        <v>34</v>
      </c>
      <c r="B259" t="s">
        <v>51</v>
      </c>
      <c r="C259">
        <v>19</v>
      </c>
      <c r="D259" t="s">
        <v>36</v>
      </c>
      <c r="E259" t="s">
        <v>48</v>
      </c>
      <c r="F259" t="s">
        <v>38</v>
      </c>
      <c r="G259">
        <f t="shared" ref="G259:G322" si="65">IF(F259="T",1,0)</f>
        <v>0</v>
      </c>
      <c r="H259">
        <v>4</v>
      </c>
      <c r="I259">
        <f t="shared" ref="I259:I322" si="66" xml:space="preserve"> IF($H259=0,1,0)</f>
        <v>0</v>
      </c>
      <c r="J259">
        <f t="shared" ref="J259:J322" si="67" xml:space="preserve"> IF($H259=1,1,0)</f>
        <v>0</v>
      </c>
      <c r="K259">
        <f t="shared" ref="K259:K322" si="68" xml:space="preserve"> IF($H259=2,1,0)</f>
        <v>0</v>
      </c>
      <c r="L259">
        <f t="shared" ref="L259:L322" si="69" xml:space="preserve"> IF($H259=3,1,0)</f>
        <v>0</v>
      </c>
      <c r="M259">
        <f t="shared" ref="M259:M322" si="70" xml:space="preserve"> IF($H259=4,1,0)</f>
        <v>1</v>
      </c>
      <c r="N259">
        <v>3</v>
      </c>
      <c r="O259">
        <f t="shared" si="60"/>
        <v>0</v>
      </c>
      <c r="P259">
        <f t="shared" si="61"/>
        <v>0</v>
      </c>
      <c r="Q259">
        <f t="shared" si="62"/>
        <v>0</v>
      </c>
      <c r="R259">
        <f t="shared" si="63"/>
        <v>1</v>
      </c>
      <c r="S259">
        <f t="shared" si="64"/>
        <v>0</v>
      </c>
      <c r="T259">
        <f t="shared" ref="T259:T322" si="71">IF(AND(M259=1,S259=1),1,0)</f>
        <v>0</v>
      </c>
      <c r="V259" t="s">
        <v>49</v>
      </c>
      <c r="W259" t="s">
        <v>39</v>
      </c>
      <c r="X259" t="s">
        <v>52</v>
      </c>
      <c r="Y259" t="s">
        <v>42</v>
      </c>
      <c r="Z259">
        <v>1</v>
      </c>
      <c r="AA259">
        <v>2</v>
      </c>
      <c r="AB259">
        <v>0</v>
      </c>
      <c r="AC259" t="s">
        <v>44</v>
      </c>
      <c r="AD259" t="s">
        <v>43</v>
      </c>
      <c r="AE259">
        <f t="shared" ref="AE259:AE322" si="72">IF(AD259="yes",1,0)</f>
        <v>1</v>
      </c>
      <c r="AF259" t="s">
        <v>44</v>
      </c>
      <c r="AG259">
        <f t="shared" ref="AG259:AG322" si="73">IF(AF259="yes",1,0)</f>
        <v>0</v>
      </c>
      <c r="AH259" t="s">
        <v>44</v>
      </c>
      <c r="AI259" t="s">
        <v>43</v>
      </c>
      <c r="AJ259" t="s">
        <v>43</v>
      </c>
      <c r="AK259" t="s">
        <v>43</v>
      </c>
      <c r="AL259">
        <f t="shared" ref="AL259:AL322" si="74">IF(AK259="yes",1,0)</f>
        <v>1</v>
      </c>
      <c r="AM259" t="s">
        <v>44</v>
      </c>
      <c r="AN259">
        <v>4</v>
      </c>
      <c r="AO259">
        <v>3</v>
      </c>
      <c r="AP259">
        <v>1</v>
      </c>
      <c r="AQ259">
        <v>1</v>
      </c>
      <c r="AR259">
        <v>1</v>
      </c>
      <c r="AS259">
        <v>1</v>
      </c>
      <c r="AT259">
        <v>12</v>
      </c>
      <c r="AV259">
        <v>11</v>
      </c>
      <c r="AW259">
        <v>11</v>
      </c>
      <c r="AX259">
        <v>11</v>
      </c>
    </row>
    <row r="260" spans="1:50" x14ac:dyDescent="0.2">
      <c r="A260" t="s">
        <v>34</v>
      </c>
      <c r="B260" t="s">
        <v>51</v>
      </c>
      <c r="C260">
        <v>18</v>
      </c>
      <c r="D260" t="s">
        <v>36</v>
      </c>
      <c r="E260" t="s">
        <v>37</v>
      </c>
      <c r="F260" t="s">
        <v>45</v>
      </c>
      <c r="G260">
        <f t="shared" si="65"/>
        <v>1</v>
      </c>
      <c r="H260">
        <v>2</v>
      </c>
      <c r="I260">
        <f t="shared" si="66"/>
        <v>0</v>
      </c>
      <c r="J260">
        <f t="shared" si="67"/>
        <v>0</v>
      </c>
      <c r="K260">
        <f t="shared" si="68"/>
        <v>1</v>
      </c>
      <c r="L260">
        <f t="shared" si="69"/>
        <v>0</v>
      </c>
      <c r="M260">
        <f t="shared" si="70"/>
        <v>0</v>
      </c>
      <c r="N260">
        <v>1</v>
      </c>
      <c r="O260">
        <f t="shared" si="60"/>
        <v>0</v>
      </c>
      <c r="P260">
        <f t="shared" si="61"/>
        <v>1</v>
      </c>
      <c r="Q260">
        <f t="shared" si="62"/>
        <v>0</v>
      </c>
      <c r="R260">
        <f t="shared" si="63"/>
        <v>0</v>
      </c>
      <c r="S260">
        <f t="shared" si="64"/>
        <v>0</v>
      </c>
      <c r="T260">
        <f t="shared" si="71"/>
        <v>0</v>
      </c>
      <c r="V260" t="s">
        <v>46</v>
      </c>
      <c r="W260" t="s">
        <v>46</v>
      </c>
      <c r="X260" t="s">
        <v>50</v>
      </c>
      <c r="Y260" t="s">
        <v>42</v>
      </c>
      <c r="Z260">
        <v>1</v>
      </c>
      <c r="AA260">
        <v>2</v>
      </c>
      <c r="AB260">
        <v>0</v>
      </c>
      <c r="AC260" t="s">
        <v>44</v>
      </c>
      <c r="AD260" t="s">
        <v>44</v>
      </c>
      <c r="AE260">
        <f t="shared" si="72"/>
        <v>0</v>
      </c>
      <c r="AF260" t="s">
        <v>44</v>
      </c>
      <c r="AG260">
        <f t="shared" si="73"/>
        <v>0</v>
      </c>
      <c r="AH260" t="s">
        <v>43</v>
      </c>
      <c r="AI260" t="s">
        <v>43</v>
      </c>
      <c r="AJ260" t="s">
        <v>43</v>
      </c>
      <c r="AK260" t="s">
        <v>43</v>
      </c>
      <c r="AL260">
        <f t="shared" si="74"/>
        <v>1</v>
      </c>
      <c r="AM260" t="s">
        <v>44</v>
      </c>
      <c r="AN260">
        <v>5</v>
      </c>
      <c r="AO260">
        <v>2</v>
      </c>
      <c r="AP260">
        <v>4</v>
      </c>
      <c r="AQ260">
        <v>1</v>
      </c>
      <c r="AR260">
        <v>2</v>
      </c>
      <c r="AS260">
        <v>4</v>
      </c>
      <c r="AT260">
        <v>8</v>
      </c>
      <c r="AV260">
        <v>15</v>
      </c>
      <c r="AW260">
        <v>14</v>
      </c>
      <c r="AX260">
        <v>14</v>
      </c>
    </row>
    <row r="261" spans="1:50" x14ac:dyDescent="0.2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f t="shared" si="65"/>
        <v>1</v>
      </c>
      <c r="H261">
        <v>2</v>
      </c>
      <c r="I261">
        <f t="shared" si="66"/>
        <v>0</v>
      </c>
      <c r="J261">
        <f t="shared" si="67"/>
        <v>0</v>
      </c>
      <c r="K261">
        <f t="shared" si="68"/>
        <v>1</v>
      </c>
      <c r="L261">
        <f t="shared" si="69"/>
        <v>0</v>
      </c>
      <c r="M261">
        <f t="shared" si="70"/>
        <v>0</v>
      </c>
      <c r="N261">
        <v>2</v>
      </c>
      <c r="O261">
        <f t="shared" si="60"/>
        <v>0</v>
      </c>
      <c r="P261">
        <f t="shared" si="61"/>
        <v>0</v>
      </c>
      <c r="Q261">
        <f t="shared" si="62"/>
        <v>1</v>
      </c>
      <c r="R261">
        <f t="shared" si="63"/>
        <v>0</v>
      </c>
      <c r="S261">
        <f t="shared" si="64"/>
        <v>0</v>
      </c>
      <c r="T261">
        <f t="shared" si="71"/>
        <v>0</v>
      </c>
      <c r="V261" t="s">
        <v>49</v>
      </c>
      <c r="W261" t="s">
        <v>49</v>
      </c>
      <c r="X261" t="s">
        <v>41</v>
      </c>
      <c r="Y261" t="s">
        <v>47</v>
      </c>
      <c r="Z261">
        <v>1</v>
      </c>
      <c r="AA261">
        <v>4</v>
      </c>
      <c r="AB261">
        <v>0</v>
      </c>
      <c r="AC261" t="s">
        <v>44</v>
      </c>
      <c r="AD261" t="s">
        <v>44</v>
      </c>
      <c r="AE261">
        <f t="shared" si="72"/>
        <v>0</v>
      </c>
      <c r="AF261" t="s">
        <v>43</v>
      </c>
      <c r="AG261">
        <f t="shared" si="73"/>
        <v>1</v>
      </c>
      <c r="AH261" t="s">
        <v>43</v>
      </c>
      <c r="AI261" t="s">
        <v>43</v>
      </c>
      <c r="AJ261" t="s">
        <v>43</v>
      </c>
      <c r="AK261" t="s">
        <v>43</v>
      </c>
      <c r="AL261">
        <f t="shared" si="74"/>
        <v>1</v>
      </c>
      <c r="AM261" t="s">
        <v>43</v>
      </c>
      <c r="AN261">
        <v>3</v>
      </c>
      <c r="AO261">
        <v>4</v>
      </c>
      <c r="AP261">
        <v>1</v>
      </c>
      <c r="AQ261">
        <v>1</v>
      </c>
      <c r="AR261">
        <v>1</v>
      </c>
      <c r="AS261">
        <v>2</v>
      </c>
      <c r="AT261">
        <v>0</v>
      </c>
      <c r="AV261">
        <v>10</v>
      </c>
      <c r="AW261">
        <v>9</v>
      </c>
      <c r="AX261">
        <v>0</v>
      </c>
    </row>
    <row r="262" spans="1:50" x14ac:dyDescent="0.2">
      <c r="A262" t="s">
        <v>34</v>
      </c>
      <c r="B262" t="s">
        <v>35</v>
      </c>
      <c r="C262">
        <v>18</v>
      </c>
      <c r="D262" t="s">
        <v>36</v>
      </c>
      <c r="E262" t="s">
        <v>37</v>
      </c>
      <c r="F262" t="s">
        <v>45</v>
      </c>
      <c r="G262">
        <f t="shared" si="65"/>
        <v>1</v>
      </c>
      <c r="H262">
        <v>4</v>
      </c>
      <c r="I262">
        <f t="shared" si="66"/>
        <v>0</v>
      </c>
      <c r="J262">
        <f t="shared" si="67"/>
        <v>0</v>
      </c>
      <c r="K262">
        <f t="shared" si="68"/>
        <v>0</v>
      </c>
      <c r="L262">
        <f t="shared" si="69"/>
        <v>0</v>
      </c>
      <c r="M262">
        <f t="shared" si="70"/>
        <v>1</v>
      </c>
      <c r="N262">
        <v>3</v>
      </c>
      <c r="O262">
        <f t="shared" si="60"/>
        <v>0</v>
      </c>
      <c r="P262">
        <f t="shared" si="61"/>
        <v>0</v>
      </c>
      <c r="Q262">
        <f t="shared" si="62"/>
        <v>0</v>
      </c>
      <c r="R262">
        <f t="shared" si="63"/>
        <v>1</v>
      </c>
      <c r="S262">
        <f t="shared" si="64"/>
        <v>0</v>
      </c>
      <c r="T262">
        <f t="shared" si="71"/>
        <v>0</v>
      </c>
      <c r="V262" t="s">
        <v>49</v>
      </c>
      <c r="W262" t="s">
        <v>46</v>
      </c>
      <c r="X262" t="s">
        <v>50</v>
      </c>
      <c r="Y262" t="s">
        <v>47</v>
      </c>
      <c r="Z262">
        <v>1</v>
      </c>
      <c r="AA262">
        <v>2</v>
      </c>
      <c r="AB262">
        <v>0</v>
      </c>
      <c r="AC262" t="s">
        <v>44</v>
      </c>
      <c r="AD262" t="s">
        <v>43</v>
      </c>
      <c r="AE262">
        <f t="shared" si="72"/>
        <v>1</v>
      </c>
      <c r="AF262" t="s">
        <v>43</v>
      </c>
      <c r="AG262">
        <f t="shared" si="73"/>
        <v>1</v>
      </c>
      <c r="AH262" t="s">
        <v>44</v>
      </c>
      <c r="AI262" t="s">
        <v>43</v>
      </c>
      <c r="AJ262" t="s">
        <v>43</v>
      </c>
      <c r="AK262" t="s">
        <v>43</v>
      </c>
      <c r="AL262">
        <f t="shared" si="74"/>
        <v>1</v>
      </c>
      <c r="AM262" t="s">
        <v>43</v>
      </c>
      <c r="AN262">
        <v>3</v>
      </c>
      <c r="AO262">
        <v>1</v>
      </c>
      <c r="AP262">
        <v>2</v>
      </c>
      <c r="AQ262">
        <v>1</v>
      </c>
      <c r="AR262">
        <v>3</v>
      </c>
      <c r="AS262">
        <v>2</v>
      </c>
      <c r="AT262">
        <v>21</v>
      </c>
      <c r="AV262">
        <v>17</v>
      </c>
      <c r="AW262">
        <v>18</v>
      </c>
      <c r="AX262">
        <v>18</v>
      </c>
    </row>
    <row r="263" spans="1:50" x14ac:dyDescent="0.2">
      <c r="A263" t="s">
        <v>34</v>
      </c>
      <c r="B263" t="s">
        <v>51</v>
      </c>
      <c r="C263">
        <v>18</v>
      </c>
      <c r="D263" t="s">
        <v>36</v>
      </c>
      <c r="E263" t="s">
        <v>37</v>
      </c>
      <c r="F263" t="s">
        <v>45</v>
      </c>
      <c r="G263">
        <f t="shared" si="65"/>
        <v>1</v>
      </c>
      <c r="H263">
        <v>4</v>
      </c>
      <c r="I263">
        <f t="shared" si="66"/>
        <v>0</v>
      </c>
      <c r="J263">
        <f t="shared" si="67"/>
        <v>0</v>
      </c>
      <c r="K263">
        <f t="shared" si="68"/>
        <v>0</v>
      </c>
      <c r="L263">
        <f t="shared" si="69"/>
        <v>0</v>
      </c>
      <c r="M263">
        <f t="shared" si="70"/>
        <v>1</v>
      </c>
      <c r="N263">
        <v>3</v>
      </c>
      <c r="O263">
        <f t="shared" si="60"/>
        <v>0</v>
      </c>
      <c r="P263">
        <f t="shared" si="61"/>
        <v>0</v>
      </c>
      <c r="Q263">
        <f t="shared" si="62"/>
        <v>0</v>
      </c>
      <c r="R263">
        <f t="shared" si="63"/>
        <v>1</v>
      </c>
      <c r="S263">
        <f t="shared" si="64"/>
        <v>0</v>
      </c>
      <c r="T263">
        <f t="shared" si="71"/>
        <v>0</v>
      </c>
      <c r="V263" t="s">
        <v>40</v>
      </c>
      <c r="W263" t="s">
        <v>46</v>
      </c>
      <c r="X263" t="s">
        <v>41</v>
      </c>
      <c r="Y263" t="s">
        <v>42</v>
      </c>
      <c r="Z263">
        <v>1</v>
      </c>
      <c r="AA263">
        <v>2</v>
      </c>
      <c r="AB263">
        <v>0</v>
      </c>
      <c r="AC263" t="s">
        <v>44</v>
      </c>
      <c r="AD263" t="s">
        <v>43</v>
      </c>
      <c r="AE263">
        <f t="shared" si="72"/>
        <v>1</v>
      </c>
      <c r="AF263" t="s">
        <v>43</v>
      </c>
      <c r="AG263">
        <f t="shared" si="73"/>
        <v>1</v>
      </c>
      <c r="AH263" t="s">
        <v>44</v>
      </c>
      <c r="AI263" t="s">
        <v>44</v>
      </c>
      <c r="AJ263" t="s">
        <v>43</v>
      </c>
      <c r="AK263" t="s">
        <v>43</v>
      </c>
      <c r="AL263">
        <f t="shared" si="74"/>
        <v>1</v>
      </c>
      <c r="AM263" t="s">
        <v>44</v>
      </c>
      <c r="AN263">
        <v>4</v>
      </c>
      <c r="AO263">
        <v>3</v>
      </c>
      <c r="AP263">
        <v>2</v>
      </c>
      <c r="AQ263">
        <v>1</v>
      </c>
      <c r="AR263">
        <v>1</v>
      </c>
      <c r="AS263">
        <v>3</v>
      </c>
      <c r="AT263">
        <v>2</v>
      </c>
      <c r="AV263">
        <v>8</v>
      </c>
      <c r="AW263">
        <v>8</v>
      </c>
      <c r="AX263">
        <v>8</v>
      </c>
    </row>
    <row r="264" spans="1:50" x14ac:dyDescent="0.2">
      <c r="A264" t="s">
        <v>34</v>
      </c>
      <c r="B264" t="s">
        <v>51</v>
      </c>
      <c r="C264">
        <v>18</v>
      </c>
      <c r="D264" t="s">
        <v>53</v>
      </c>
      <c r="E264" t="s">
        <v>37</v>
      </c>
      <c r="F264" t="s">
        <v>45</v>
      </c>
      <c r="G264">
        <f t="shared" si="65"/>
        <v>1</v>
      </c>
      <c r="H264">
        <v>3</v>
      </c>
      <c r="I264">
        <f t="shared" si="66"/>
        <v>0</v>
      </c>
      <c r="J264">
        <f t="shared" si="67"/>
        <v>0</v>
      </c>
      <c r="K264">
        <f t="shared" si="68"/>
        <v>0</v>
      </c>
      <c r="L264">
        <f t="shared" si="69"/>
        <v>1</v>
      </c>
      <c r="M264">
        <f t="shared" si="70"/>
        <v>0</v>
      </c>
      <c r="N264">
        <v>2</v>
      </c>
      <c r="O264">
        <f t="shared" si="60"/>
        <v>0</v>
      </c>
      <c r="P264">
        <f t="shared" si="61"/>
        <v>0</v>
      </c>
      <c r="Q264">
        <f t="shared" si="62"/>
        <v>1</v>
      </c>
      <c r="R264">
        <f t="shared" si="63"/>
        <v>0</v>
      </c>
      <c r="S264">
        <f t="shared" si="64"/>
        <v>0</v>
      </c>
      <c r="T264">
        <f t="shared" si="71"/>
        <v>0</v>
      </c>
      <c r="V264" t="s">
        <v>46</v>
      </c>
      <c r="W264" t="s">
        <v>46</v>
      </c>
      <c r="X264" t="s">
        <v>41</v>
      </c>
      <c r="Y264" t="s">
        <v>42</v>
      </c>
      <c r="Z264">
        <v>1</v>
      </c>
      <c r="AA264">
        <v>3</v>
      </c>
      <c r="AB264">
        <v>0</v>
      </c>
      <c r="AC264" t="s">
        <v>44</v>
      </c>
      <c r="AD264" t="s">
        <v>44</v>
      </c>
      <c r="AE264">
        <f t="shared" si="72"/>
        <v>0</v>
      </c>
      <c r="AF264" t="s">
        <v>44</v>
      </c>
      <c r="AG264">
        <f t="shared" si="73"/>
        <v>0</v>
      </c>
      <c r="AH264" t="s">
        <v>43</v>
      </c>
      <c r="AI264" t="s">
        <v>44</v>
      </c>
      <c r="AJ264" t="s">
        <v>43</v>
      </c>
      <c r="AK264" t="s">
        <v>44</v>
      </c>
      <c r="AL264">
        <f t="shared" si="74"/>
        <v>0</v>
      </c>
      <c r="AM264" t="s">
        <v>44</v>
      </c>
      <c r="AN264">
        <v>5</v>
      </c>
      <c r="AO264">
        <v>3</v>
      </c>
      <c r="AP264">
        <v>2</v>
      </c>
      <c r="AQ264">
        <v>1</v>
      </c>
      <c r="AR264">
        <v>1</v>
      </c>
      <c r="AS264">
        <v>3</v>
      </c>
      <c r="AT264">
        <v>1</v>
      </c>
      <c r="AV264">
        <v>13</v>
      </c>
      <c r="AW264">
        <v>12</v>
      </c>
      <c r="AX264">
        <v>12</v>
      </c>
    </row>
    <row r="265" spans="1:50" x14ac:dyDescent="0.2">
      <c r="A265" t="s">
        <v>34</v>
      </c>
      <c r="B265" t="s">
        <v>35</v>
      </c>
      <c r="C265">
        <v>17</v>
      </c>
      <c r="D265" t="s">
        <v>36</v>
      </c>
      <c r="E265" t="s">
        <v>37</v>
      </c>
      <c r="F265" t="s">
        <v>45</v>
      </c>
      <c r="G265">
        <f t="shared" si="65"/>
        <v>1</v>
      </c>
      <c r="H265">
        <v>3</v>
      </c>
      <c r="I265">
        <f t="shared" si="66"/>
        <v>0</v>
      </c>
      <c r="J265">
        <f t="shared" si="67"/>
        <v>0</v>
      </c>
      <c r="K265">
        <f t="shared" si="68"/>
        <v>0</v>
      </c>
      <c r="L265">
        <f t="shared" si="69"/>
        <v>1</v>
      </c>
      <c r="M265">
        <f t="shared" si="70"/>
        <v>0</v>
      </c>
      <c r="N265">
        <v>3</v>
      </c>
      <c r="O265">
        <f t="shared" si="60"/>
        <v>0</v>
      </c>
      <c r="P265">
        <f t="shared" si="61"/>
        <v>0</v>
      </c>
      <c r="Q265">
        <f t="shared" si="62"/>
        <v>0</v>
      </c>
      <c r="R265">
        <f t="shared" si="63"/>
        <v>1</v>
      </c>
      <c r="S265">
        <f t="shared" si="64"/>
        <v>0</v>
      </c>
      <c r="T265">
        <f t="shared" si="71"/>
        <v>0</v>
      </c>
      <c r="V265" t="s">
        <v>46</v>
      </c>
      <c r="W265" t="s">
        <v>46</v>
      </c>
      <c r="X265" t="s">
        <v>50</v>
      </c>
      <c r="Y265" t="s">
        <v>42</v>
      </c>
      <c r="Z265">
        <v>1</v>
      </c>
      <c r="AA265">
        <v>3</v>
      </c>
      <c r="AB265">
        <v>0</v>
      </c>
      <c r="AC265" t="s">
        <v>44</v>
      </c>
      <c r="AD265" t="s">
        <v>44</v>
      </c>
      <c r="AE265">
        <f t="shared" si="72"/>
        <v>0</v>
      </c>
      <c r="AF265" t="s">
        <v>44</v>
      </c>
      <c r="AG265">
        <f t="shared" si="73"/>
        <v>0</v>
      </c>
      <c r="AH265" t="s">
        <v>43</v>
      </c>
      <c r="AI265" t="s">
        <v>44</v>
      </c>
      <c r="AJ265" t="s">
        <v>43</v>
      </c>
      <c r="AK265" t="s">
        <v>44</v>
      </c>
      <c r="AL265">
        <f t="shared" si="74"/>
        <v>0</v>
      </c>
      <c r="AM265" t="s">
        <v>44</v>
      </c>
      <c r="AN265">
        <v>3</v>
      </c>
      <c r="AO265">
        <v>2</v>
      </c>
      <c r="AP265">
        <v>3</v>
      </c>
      <c r="AQ265">
        <v>1</v>
      </c>
      <c r="AR265">
        <v>1</v>
      </c>
      <c r="AS265">
        <v>4</v>
      </c>
      <c r="AT265">
        <v>4</v>
      </c>
      <c r="AV265">
        <v>10</v>
      </c>
      <c r="AW265">
        <v>9</v>
      </c>
      <c r="AX265">
        <v>9</v>
      </c>
    </row>
    <row r="266" spans="1:50" x14ac:dyDescent="0.2">
      <c r="A266" t="s">
        <v>34</v>
      </c>
      <c r="B266" t="s">
        <v>35</v>
      </c>
      <c r="C266">
        <v>18</v>
      </c>
      <c r="D266" t="s">
        <v>36</v>
      </c>
      <c r="E266" t="s">
        <v>37</v>
      </c>
      <c r="F266" t="s">
        <v>45</v>
      </c>
      <c r="G266">
        <f t="shared" si="65"/>
        <v>1</v>
      </c>
      <c r="H266">
        <v>2</v>
      </c>
      <c r="I266">
        <f t="shared" si="66"/>
        <v>0</v>
      </c>
      <c r="J266">
        <f t="shared" si="67"/>
        <v>0</v>
      </c>
      <c r="K266">
        <f t="shared" si="68"/>
        <v>1</v>
      </c>
      <c r="L266">
        <f t="shared" si="69"/>
        <v>0</v>
      </c>
      <c r="M266">
        <f t="shared" si="70"/>
        <v>0</v>
      </c>
      <c r="N266">
        <v>2</v>
      </c>
      <c r="O266">
        <f t="shared" si="60"/>
        <v>0</v>
      </c>
      <c r="P266">
        <f t="shared" si="61"/>
        <v>0</v>
      </c>
      <c r="Q266">
        <f t="shared" si="62"/>
        <v>1</v>
      </c>
      <c r="R266">
        <f t="shared" si="63"/>
        <v>0</v>
      </c>
      <c r="S266">
        <f t="shared" si="64"/>
        <v>0</v>
      </c>
      <c r="T266">
        <f t="shared" si="71"/>
        <v>0</v>
      </c>
      <c r="V266" t="s">
        <v>39</v>
      </c>
      <c r="W266" t="s">
        <v>49</v>
      </c>
      <c r="X266" t="s">
        <v>50</v>
      </c>
      <c r="Y266" t="s">
        <v>42</v>
      </c>
      <c r="Z266">
        <v>1</v>
      </c>
      <c r="AA266">
        <v>3</v>
      </c>
      <c r="AB266">
        <v>0</v>
      </c>
      <c r="AC266" t="s">
        <v>44</v>
      </c>
      <c r="AD266" t="s">
        <v>43</v>
      </c>
      <c r="AE266">
        <f t="shared" si="72"/>
        <v>1</v>
      </c>
      <c r="AF266" t="s">
        <v>43</v>
      </c>
      <c r="AG266">
        <f t="shared" si="73"/>
        <v>1</v>
      </c>
      <c r="AH266" t="s">
        <v>43</v>
      </c>
      <c r="AI266" t="s">
        <v>43</v>
      </c>
      <c r="AJ266" t="s">
        <v>43</v>
      </c>
      <c r="AK266" t="s">
        <v>43</v>
      </c>
      <c r="AL266">
        <f t="shared" si="74"/>
        <v>1</v>
      </c>
      <c r="AM266" t="s">
        <v>43</v>
      </c>
      <c r="AN266">
        <v>4</v>
      </c>
      <c r="AO266">
        <v>3</v>
      </c>
      <c r="AP266">
        <v>3</v>
      </c>
      <c r="AQ266">
        <v>1</v>
      </c>
      <c r="AR266">
        <v>1</v>
      </c>
      <c r="AS266">
        <v>3</v>
      </c>
      <c r="AT266">
        <v>0</v>
      </c>
      <c r="AV266">
        <v>9</v>
      </c>
      <c r="AW266">
        <v>10</v>
      </c>
      <c r="AX266">
        <v>0</v>
      </c>
    </row>
    <row r="267" spans="1:50" x14ac:dyDescent="0.2">
      <c r="A267" t="s">
        <v>34</v>
      </c>
      <c r="B267" t="s">
        <v>51</v>
      </c>
      <c r="C267">
        <v>18</v>
      </c>
      <c r="D267" t="s">
        <v>53</v>
      </c>
      <c r="E267" t="s">
        <v>48</v>
      </c>
      <c r="F267" t="s">
        <v>38</v>
      </c>
      <c r="G267">
        <f t="shared" si="65"/>
        <v>0</v>
      </c>
      <c r="H267">
        <v>3</v>
      </c>
      <c r="I267">
        <f t="shared" si="66"/>
        <v>0</v>
      </c>
      <c r="J267">
        <f t="shared" si="67"/>
        <v>0</v>
      </c>
      <c r="K267">
        <f t="shared" si="68"/>
        <v>0</v>
      </c>
      <c r="L267">
        <f t="shared" si="69"/>
        <v>1</v>
      </c>
      <c r="M267">
        <f t="shared" si="70"/>
        <v>0</v>
      </c>
      <c r="N267">
        <v>4</v>
      </c>
      <c r="O267">
        <f t="shared" si="60"/>
        <v>0</v>
      </c>
      <c r="P267">
        <f t="shared" si="61"/>
        <v>0</v>
      </c>
      <c r="Q267">
        <f t="shared" si="62"/>
        <v>0</v>
      </c>
      <c r="R267">
        <f t="shared" si="63"/>
        <v>0</v>
      </c>
      <c r="S267">
        <f t="shared" si="64"/>
        <v>1</v>
      </c>
      <c r="T267">
        <f t="shared" si="71"/>
        <v>0</v>
      </c>
      <c r="V267" t="s">
        <v>46</v>
      </c>
      <c r="W267" t="s">
        <v>46</v>
      </c>
      <c r="X267" t="s">
        <v>52</v>
      </c>
      <c r="Y267" t="s">
        <v>42</v>
      </c>
      <c r="Z267">
        <v>2</v>
      </c>
      <c r="AA267">
        <v>2</v>
      </c>
      <c r="AB267">
        <v>0</v>
      </c>
      <c r="AC267" t="s">
        <v>44</v>
      </c>
      <c r="AD267" t="s">
        <v>43</v>
      </c>
      <c r="AE267">
        <f t="shared" si="72"/>
        <v>1</v>
      </c>
      <c r="AF267" t="s">
        <v>43</v>
      </c>
      <c r="AG267">
        <f t="shared" si="73"/>
        <v>1</v>
      </c>
      <c r="AH267" t="s">
        <v>43</v>
      </c>
      <c r="AI267" t="s">
        <v>43</v>
      </c>
      <c r="AJ267" t="s">
        <v>43</v>
      </c>
      <c r="AK267" t="s">
        <v>43</v>
      </c>
      <c r="AL267">
        <f t="shared" si="74"/>
        <v>1</v>
      </c>
      <c r="AM267" t="s">
        <v>44</v>
      </c>
      <c r="AN267">
        <v>4</v>
      </c>
      <c r="AO267">
        <v>2</v>
      </c>
      <c r="AP267">
        <v>5</v>
      </c>
      <c r="AQ267">
        <v>3</v>
      </c>
      <c r="AR267">
        <v>4</v>
      </c>
      <c r="AS267">
        <v>1</v>
      </c>
      <c r="AT267">
        <v>13</v>
      </c>
      <c r="AV267">
        <v>17</v>
      </c>
      <c r="AW267">
        <v>17</v>
      </c>
      <c r="AX267">
        <v>17</v>
      </c>
    </row>
    <row r="268" spans="1:50" x14ac:dyDescent="0.2">
      <c r="A268" t="s">
        <v>34</v>
      </c>
      <c r="B268" t="s">
        <v>51</v>
      </c>
      <c r="C268">
        <v>17</v>
      </c>
      <c r="D268" t="s">
        <v>36</v>
      </c>
      <c r="E268" t="s">
        <v>37</v>
      </c>
      <c r="F268" t="s">
        <v>45</v>
      </c>
      <c r="G268">
        <f t="shared" si="65"/>
        <v>1</v>
      </c>
      <c r="H268">
        <v>3</v>
      </c>
      <c r="I268">
        <f t="shared" si="66"/>
        <v>0</v>
      </c>
      <c r="J268">
        <f t="shared" si="67"/>
        <v>0</v>
      </c>
      <c r="K268">
        <f t="shared" si="68"/>
        <v>0</v>
      </c>
      <c r="L268">
        <f t="shared" si="69"/>
        <v>1</v>
      </c>
      <c r="M268">
        <f t="shared" si="70"/>
        <v>0</v>
      </c>
      <c r="N268">
        <v>1</v>
      </c>
      <c r="O268">
        <f t="shared" si="60"/>
        <v>0</v>
      </c>
      <c r="P268">
        <f t="shared" si="61"/>
        <v>1</v>
      </c>
      <c r="Q268">
        <f t="shared" si="62"/>
        <v>0</v>
      </c>
      <c r="R268">
        <f t="shared" si="63"/>
        <v>0</v>
      </c>
      <c r="S268">
        <f t="shared" si="64"/>
        <v>0</v>
      </c>
      <c r="T268">
        <f t="shared" si="71"/>
        <v>0</v>
      </c>
      <c r="V268" t="s">
        <v>49</v>
      </c>
      <c r="W268" t="s">
        <v>46</v>
      </c>
      <c r="X268" t="s">
        <v>46</v>
      </c>
      <c r="Y268" t="s">
        <v>42</v>
      </c>
      <c r="Z268">
        <v>1</v>
      </c>
      <c r="AA268">
        <v>2</v>
      </c>
      <c r="AB268">
        <v>0</v>
      </c>
      <c r="AC268" t="s">
        <v>44</v>
      </c>
      <c r="AD268" t="s">
        <v>44</v>
      </c>
      <c r="AE268">
        <f t="shared" si="72"/>
        <v>0</v>
      </c>
      <c r="AF268" t="s">
        <v>43</v>
      </c>
      <c r="AG268">
        <f t="shared" si="73"/>
        <v>1</v>
      </c>
      <c r="AH268" t="s">
        <v>43</v>
      </c>
      <c r="AI268" t="s">
        <v>43</v>
      </c>
      <c r="AJ268" t="s">
        <v>43</v>
      </c>
      <c r="AK268" t="s">
        <v>43</v>
      </c>
      <c r="AL268">
        <f t="shared" si="74"/>
        <v>1</v>
      </c>
      <c r="AM268" t="s">
        <v>43</v>
      </c>
      <c r="AN268">
        <v>5</v>
      </c>
      <c r="AO268">
        <v>4</v>
      </c>
      <c r="AP268">
        <v>4</v>
      </c>
      <c r="AQ268">
        <v>3</v>
      </c>
      <c r="AR268">
        <v>4</v>
      </c>
      <c r="AS268">
        <v>5</v>
      </c>
      <c r="AT268">
        <v>2</v>
      </c>
      <c r="AV268">
        <v>9</v>
      </c>
      <c r="AW268">
        <v>9</v>
      </c>
      <c r="AX268">
        <v>10</v>
      </c>
    </row>
    <row r="269" spans="1:50" x14ac:dyDescent="0.2">
      <c r="A269" t="s">
        <v>34</v>
      </c>
      <c r="B269" t="s">
        <v>35</v>
      </c>
      <c r="C269">
        <v>18</v>
      </c>
      <c r="D269" t="s">
        <v>53</v>
      </c>
      <c r="E269" t="s">
        <v>37</v>
      </c>
      <c r="F269" t="s">
        <v>45</v>
      </c>
      <c r="G269">
        <f t="shared" si="65"/>
        <v>1</v>
      </c>
      <c r="H269">
        <v>4</v>
      </c>
      <c r="I269">
        <f t="shared" si="66"/>
        <v>0</v>
      </c>
      <c r="J269">
        <f t="shared" si="67"/>
        <v>0</v>
      </c>
      <c r="K269">
        <f t="shared" si="68"/>
        <v>0</v>
      </c>
      <c r="L269">
        <f t="shared" si="69"/>
        <v>0</v>
      </c>
      <c r="M269">
        <f t="shared" si="70"/>
        <v>1</v>
      </c>
      <c r="N269">
        <v>4</v>
      </c>
      <c r="O269">
        <f t="shared" si="60"/>
        <v>0</v>
      </c>
      <c r="P269">
        <f t="shared" si="61"/>
        <v>0</v>
      </c>
      <c r="Q269">
        <f t="shared" si="62"/>
        <v>0</v>
      </c>
      <c r="R269">
        <f t="shared" si="63"/>
        <v>0</v>
      </c>
      <c r="S269">
        <f t="shared" si="64"/>
        <v>1</v>
      </c>
      <c r="T269">
        <f t="shared" si="71"/>
        <v>1</v>
      </c>
      <c r="V269" t="s">
        <v>40</v>
      </c>
      <c r="W269" t="s">
        <v>46</v>
      </c>
      <c r="X269" t="s">
        <v>52</v>
      </c>
      <c r="Y269" t="s">
        <v>42</v>
      </c>
      <c r="Z269">
        <v>2</v>
      </c>
      <c r="AA269">
        <v>2</v>
      </c>
      <c r="AB269">
        <v>0</v>
      </c>
      <c r="AC269" t="s">
        <v>44</v>
      </c>
      <c r="AD269" t="s">
        <v>44</v>
      </c>
      <c r="AE269">
        <f t="shared" si="72"/>
        <v>0</v>
      </c>
      <c r="AF269" t="s">
        <v>43</v>
      </c>
      <c r="AG269">
        <f t="shared" si="73"/>
        <v>1</v>
      </c>
      <c r="AH269" t="s">
        <v>43</v>
      </c>
      <c r="AI269" t="s">
        <v>43</v>
      </c>
      <c r="AJ269" t="s">
        <v>43</v>
      </c>
      <c r="AK269" t="s">
        <v>43</v>
      </c>
      <c r="AL269">
        <f t="shared" si="74"/>
        <v>1</v>
      </c>
      <c r="AM269" t="s">
        <v>44</v>
      </c>
      <c r="AN269">
        <v>4</v>
      </c>
      <c r="AO269">
        <v>3</v>
      </c>
      <c r="AP269">
        <v>4</v>
      </c>
      <c r="AQ269">
        <v>2</v>
      </c>
      <c r="AR269">
        <v>2</v>
      </c>
      <c r="AS269">
        <v>4</v>
      </c>
      <c r="AT269">
        <v>8</v>
      </c>
      <c r="AV269">
        <v>12</v>
      </c>
      <c r="AW269">
        <v>10</v>
      </c>
      <c r="AX269">
        <v>11</v>
      </c>
    </row>
    <row r="270" spans="1:50" x14ac:dyDescent="0.2">
      <c r="A270" t="s">
        <v>34</v>
      </c>
      <c r="B270" t="s">
        <v>51</v>
      </c>
      <c r="C270">
        <v>18</v>
      </c>
      <c r="D270" t="s">
        <v>36</v>
      </c>
      <c r="E270" t="s">
        <v>37</v>
      </c>
      <c r="F270" t="s">
        <v>45</v>
      </c>
      <c r="G270">
        <f t="shared" si="65"/>
        <v>1</v>
      </c>
      <c r="H270">
        <v>4</v>
      </c>
      <c r="I270">
        <f t="shared" si="66"/>
        <v>0</v>
      </c>
      <c r="J270">
        <f t="shared" si="67"/>
        <v>0</v>
      </c>
      <c r="K270">
        <f t="shared" si="68"/>
        <v>0</v>
      </c>
      <c r="L270">
        <f t="shared" si="69"/>
        <v>0</v>
      </c>
      <c r="M270">
        <f t="shared" si="70"/>
        <v>1</v>
      </c>
      <c r="N270">
        <v>2</v>
      </c>
      <c r="O270">
        <f t="shared" si="60"/>
        <v>0</v>
      </c>
      <c r="P270">
        <f t="shared" si="61"/>
        <v>0</v>
      </c>
      <c r="Q270">
        <f t="shared" si="62"/>
        <v>1</v>
      </c>
      <c r="R270">
        <f t="shared" si="63"/>
        <v>0</v>
      </c>
      <c r="S270">
        <f t="shared" si="64"/>
        <v>0</v>
      </c>
      <c r="T270">
        <f t="shared" si="71"/>
        <v>0</v>
      </c>
      <c r="V270" t="s">
        <v>29</v>
      </c>
      <c r="W270" t="s">
        <v>46</v>
      </c>
      <c r="X270" t="s">
        <v>52</v>
      </c>
      <c r="Y270" t="s">
        <v>47</v>
      </c>
      <c r="Z270">
        <v>1</v>
      </c>
      <c r="AA270">
        <v>2</v>
      </c>
      <c r="AB270">
        <v>0</v>
      </c>
      <c r="AC270" t="s">
        <v>44</v>
      </c>
      <c r="AD270" t="s">
        <v>43</v>
      </c>
      <c r="AE270">
        <f t="shared" si="72"/>
        <v>1</v>
      </c>
      <c r="AF270" t="s">
        <v>43</v>
      </c>
      <c r="AG270">
        <f t="shared" si="73"/>
        <v>1</v>
      </c>
      <c r="AH270" t="s">
        <v>43</v>
      </c>
      <c r="AI270" t="s">
        <v>43</v>
      </c>
      <c r="AJ270" t="s">
        <v>43</v>
      </c>
      <c r="AK270" t="s">
        <v>43</v>
      </c>
      <c r="AL270">
        <f t="shared" si="74"/>
        <v>1</v>
      </c>
      <c r="AM270" t="s">
        <v>43</v>
      </c>
      <c r="AN270">
        <v>5</v>
      </c>
      <c r="AO270">
        <v>4</v>
      </c>
      <c r="AP270">
        <v>5</v>
      </c>
      <c r="AQ270">
        <v>1</v>
      </c>
      <c r="AR270">
        <v>3</v>
      </c>
      <c r="AS270">
        <v>5</v>
      </c>
      <c r="AT270">
        <v>10</v>
      </c>
      <c r="AV270">
        <v>10</v>
      </c>
      <c r="AW270">
        <v>9</v>
      </c>
      <c r="AX270">
        <v>10</v>
      </c>
    </row>
    <row r="271" spans="1:50" x14ac:dyDescent="0.2">
      <c r="A271" t="s">
        <v>34</v>
      </c>
      <c r="B271" t="s">
        <v>35</v>
      </c>
      <c r="C271">
        <v>18</v>
      </c>
      <c r="D271" t="s">
        <v>53</v>
      </c>
      <c r="E271" t="s">
        <v>37</v>
      </c>
      <c r="F271" t="s">
        <v>45</v>
      </c>
      <c r="G271">
        <f t="shared" si="65"/>
        <v>1</v>
      </c>
      <c r="H271">
        <v>2</v>
      </c>
      <c r="I271">
        <f t="shared" si="66"/>
        <v>0</v>
      </c>
      <c r="J271">
        <f t="shared" si="67"/>
        <v>0</v>
      </c>
      <c r="K271">
        <f t="shared" si="68"/>
        <v>1</v>
      </c>
      <c r="L271">
        <f t="shared" si="69"/>
        <v>0</v>
      </c>
      <c r="M271">
        <f t="shared" si="70"/>
        <v>0</v>
      </c>
      <c r="N271">
        <v>1</v>
      </c>
      <c r="O271">
        <f t="shared" si="60"/>
        <v>0</v>
      </c>
      <c r="P271">
        <f t="shared" si="61"/>
        <v>1</v>
      </c>
      <c r="Q271">
        <f t="shared" si="62"/>
        <v>0</v>
      </c>
      <c r="R271">
        <f t="shared" si="63"/>
        <v>0</v>
      </c>
      <c r="S271">
        <f t="shared" si="64"/>
        <v>0</v>
      </c>
      <c r="T271">
        <f t="shared" si="71"/>
        <v>0</v>
      </c>
      <c r="V271" t="s">
        <v>46</v>
      </c>
      <c r="W271" t="s">
        <v>46</v>
      </c>
      <c r="X271" t="s">
        <v>52</v>
      </c>
      <c r="Y271" t="s">
        <v>42</v>
      </c>
      <c r="Z271">
        <v>2</v>
      </c>
      <c r="AA271">
        <v>2</v>
      </c>
      <c r="AB271">
        <v>0</v>
      </c>
      <c r="AC271" t="s">
        <v>44</v>
      </c>
      <c r="AD271" t="s">
        <v>43</v>
      </c>
      <c r="AE271">
        <f t="shared" si="72"/>
        <v>1</v>
      </c>
      <c r="AF271" t="s">
        <v>44</v>
      </c>
      <c r="AG271">
        <f t="shared" si="73"/>
        <v>0</v>
      </c>
      <c r="AH271" t="s">
        <v>44</v>
      </c>
      <c r="AI271" t="s">
        <v>43</v>
      </c>
      <c r="AJ271" t="s">
        <v>44</v>
      </c>
      <c r="AK271" t="s">
        <v>43</v>
      </c>
      <c r="AL271">
        <f t="shared" si="74"/>
        <v>1</v>
      </c>
      <c r="AM271" t="s">
        <v>43</v>
      </c>
      <c r="AN271">
        <v>4</v>
      </c>
      <c r="AO271">
        <v>3</v>
      </c>
      <c r="AP271">
        <v>5</v>
      </c>
      <c r="AQ271">
        <v>1</v>
      </c>
      <c r="AR271">
        <v>2</v>
      </c>
      <c r="AS271">
        <v>3</v>
      </c>
      <c r="AT271">
        <v>0</v>
      </c>
      <c r="AV271">
        <v>6</v>
      </c>
      <c r="AW271">
        <v>0</v>
      </c>
      <c r="AX271">
        <v>0</v>
      </c>
    </row>
    <row r="272" spans="1:50" x14ac:dyDescent="0.2">
      <c r="A272" t="s">
        <v>34</v>
      </c>
      <c r="B272" t="s">
        <v>35</v>
      </c>
      <c r="C272">
        <v>19</v>
      </c>
      <c r="D272" t="s">
        <v>36</v>
      </c>
      <c r="E272" t="s">
        <v>37</v>
      </c>
      <c r="F272" t="s">
        <v>45</v>
      </c>
      <c r="G272">
        <f t="shared" si="65"/>
        <v>1</v>
      </c>
      <c r="H272">
        <v>3</v>
      </c>
      <c r="I272">
        <f t="shared" si="66"/>
        <v>0</v>
      </c>
      <c r="J272">
        <f t="shared" si="67"/>
        <v>0</v>
      </c>
      <c r="K272">
        <f t="shared" si="68"/>
        <v>0</v>
      </c>
      <c r="L272">
        <f t="shared" si="69"/>
        <v>1</v>
      </c>
      <c r="M272">
        <f t="shared" si="70"/>
        <v>0</v>
      </c>
      <c r="N272">
        <v>3</v>
      </c>
      <c r="O272">
        <f t="shared" si="60"/>
        <v>0</v>
      </c>
      <c r="P272">
        <f t="shared" si="61"/>
        <v>0</v>
      </c>
      <c r="Q272">
        <f t="shared" si="62"/>
        <v>0</v>
      </c>
      <c r="R272">
        <f t="shared" si="63"/>
        <v>1</v>
      </c>
      <c r="S272">
        <f t="shared" si="64"/>
        <v>0</v>
      </c>
      <c r="T272">
        <f t="shared" si="71"/>
        <v>0</v>
      </c>
      <c r="V272" t="s">
        <v>46</v>
      </c>
      <c r="W272" t="s">
        <v>49</v>
      </c>
      <c r="X272" t="s">
        <v>50</v>
      </c>
      <c r="Y272" t="s">
        <v>46</v>
      </c>
      <c r="Z272">
        <v>1</v>
      </c>
      <c r="AA272">
        <v>2</v>
      </c>
      <c r="AB272">
        <v>2</v>
      </c>
      <c r="AC272" t="s">
        <v>44</v>
      </c>
      <c r="AD272" t="s">
        <v>43</v>
      </c>
      <c r="AE272">
        <f t="shared" si="72"/>
        <v>1</v>
      </c>
      <c r="AF272" t="s">
        <v>43</v>
      </c>
      <c r="AG272">
        <f t="shared" si="73"/>
        <v>1</v>
      </c>
      <c r="AH272" t="s">
        <v>43</v>
      </c>
      <c r="AI272" t="s">
        <v>43</v>
      </c>
      <c r="AJ272" t="s">
        <v>43</v>
      </c>
      <c r="AK272" t="s">
        <v>43</v>
      </c>
      <c r="AL272">
        <f t="shared" si="74"/>
        <v>1</v>
      </c>
      <c r="AM272" t="s">
        <v>44</v>
      </c>
      <c r="AN272">
        <v>4</v>
      </c>
      <c r="AO272">
        <v>3</v>
      </c>
      <c r="AP272">
        <v>5</v>
      </c>
      <c r="AQ272">
        <v>3</v>
      </c>
      <c r="AR272">
        <v>3</v>
      </c>
      <c r="AS272">
        <v>5</v>
      </c>
      <c r="AT272">
        <v>15</v>
      </c>
      <c r="AV272">
        <v>9</v>
      </c>
      <c r="AW272">
        <v>9</v>
      </c>
      <c r="AX272">
        <v>9</v>
      </c>
    </row>
    <row r="273" spans="1:50" x14ac:dyDescent="0.2">
      <c r="A273" t="s">
        <v>34</v>
      </c>
      <c r="B273" t="s">
        <v>35</v>
      </c>
      <c r="C273">
        <v>18</v>
      </c>
      <c r="D273" t="s">
        <v>36</v>
      </c>
      <c r="E273" t="s">
        <v>37</v>
      </c>
      <c r="F273" t="s">
        <v>45</v>
      </c>
      <c r="G273">
        <f t="shared" si="65"/>
        <v>1</v>
      </c>
      <c r="H273">
        <v>2</v>
      </c>
      <c r="I273">
        <f t="shared" si="66"/>
        <v>0</v>
      </c>
      <c r="J273">
        <f t="shared" si="67"/>
        <v>0</v>
      </c>
      <c r="K273">
        <f t="shared" si="68"/>
        <v>1</v>
      </c>
      <c r="L273">
        <f t="shared" si="69"/>
        <v>0</v>
      </c>
      <c r="M273">
        <f t="shared" si="70"/>
        <v>0</v>
      </c>
      <c r="N273">
        <v>3</v>
      </c>
      <c r="O273">
        <f t="shared" si="60"/>
        <v>0</v>
      </c>
      <c r="P273">
        <f t="shared" si="61"/>
        <v>0</v>
      </c>
      <c r="Q273">
        <f t="shared" si="62"/>
        <v>0</v>
      </c>
      <c r="R273">
        <f t="shared" si="63"/>
        <v>1</v>
      </c>
      <c r="S273">
        <f t="shared" si="64"/>
        <v>0</v>
      </c>
      <c r="T273">
        <f t="shared" si="71"/>
        <v>0</v>
      </c>
      <c r="V273" t="s">
        <v>46</v>
      </c>
      <c r="W273" t="s">
        <v>49</v>
      </c>
      <c r="X273" t="s">
        <v>52</v>
      </c>
      <c r="Y273" t="s">
        <v>47</v>
      </c>
      <c r="Z273">
        <v>1</v>
      </c>
      <c r="AA273">
        <v>4</v>
      </c>
      <c r="AB273">
        <v>0</v>
      </c>
      <c r="AC273" t="s">
        <v>44</v>
      </c>
      <c r="AD273" t="s">
        <v>43</v>
      </c>
      <c r="AE273">
        <f t="shared" si="72"/>
        <v>1</v>
      </c>
      <c r="AF273" t="s">
        <v>43</v>
      </c>
      <c r="AG273">
        <f t="shared" si="73"/>
        <v>1</v>
      </c>
      <c r="AH273" t="s">
        <v>43</v>
      </c>
      <c r="AI273" t="s">
        <v>43</v>
      </c>
      <c r="AJ273" t="s">
        <v>43</v>
      </c>
      <c r="AK273" t="s">
        <v>43</v>
      </c>
      <c r="AL273">
        <f t="shared" si="74"/>
        <v>1</v>
      </c>
      <c r="AM273" t="s">
        <v>43</v>
      </c>
      <c r="AN273">
        <v>4</v>
      </c>
      <c r="AO273">
        <v>5</v>
      </c>
      <c r="AP273">
        <v>5</v>
      </c>
      <c r="AQ273">
        <v>1</v>
      </c>
      <c r="AR273">
        <v>3</v>
      </c>
      <c r="AS273">
        <v>2</v>
      </c>
      <c r="AT273">
        <v>4</v>
      </c>
      <c r="AV273">
        <v>15</v>
      </c>
      <c r="AW273">
        <v>14</v>
      </c>
      <c r="AX273">
        <v>14</v>
      </c>
    </row>
    <row r="274" spans="1:50" x14ac:dyDescent="0.2">
      <c r="A274" t="s">
        <v>34</v>
      </c>
      <c r="B274" t="s">
        <v>35</v>
      </c>
      <c r="C274">
        <v>18</v>
      </c>
      <c r="D274" t="s">
        <v>36</v>
      </c>
      <c r="E274" t="s">
        <v>48</v>
      </c>
      <c r="F274" t="s">
        <v>45</v>
      </c>
      <c r="G274">
        <f t="shared" si="65"/>
        <v>1</v>
      </c>
      <c r="H274">
        <v>1</v>
      </c>
      <c r="I274">
        <f t="shared" si="66"/>
        <v>0</v>
      </c>
      <c r="J274">
        <f t="shared" si="67"/>
        <v>1</v>
      </c>
      <c r="K274">
        <f t="shared" si="68"/>
        <v>0</v>
      </c>
      <c r="L274">
        <f t="shared" si="69"/>
        <v>0</v>
      </c>
      <c r="M274">
        <f t="shared" si="70"/>
        <v>0</v>
      </c>
      <c r="N274">
        <v>1</v>
      </c>
      <c r="O274">
        <f t="shared" si="60"/>
        <v>0</v>
      </c>
      <c r="P274">
        <f t="shared" si="61"/>
        <v>1</v>
      </c>
      <c r="Q274">
        <f t="shared" si="62"/>
        <v>0</v>
      </c>
      <c r="R274">
        <f t="shared" si="63"/>
        <v>0</v>
      </c>
      <c r="S274">
        <f t="shared" si="64"/>
        <v>0</v>
      </c>
      <c r="T274">
        <f t="shared" si="71"/>
        <v>0</v>
      </c>
      <c r="V274" t="s">
        <v>46</v>
      </c>
      <c r="W274" t="s">
        <v>46</v>
      </c>
      <c r="X274" t="s">
        <v>50</v>
      </c>
      <c r="Y274" t="s">
        <v>42</v>
      </c>
      <c r="Z274">
        <v>2</v>
      </c>
      <c r="AA274">
        <v>2</v>
      </c>
      <c r="AB274">
        <v>0</v>
      </c>
      <c r="AC274" t="s">
        <v>44</v>
      </c>
      <c r="AD274" t="s">
        <v>43</v>
      </c>
      <c r="AE274">
        <f t="shared" si="72"/>
        <v>1</v>
      </c>
      <c r="AF274" t="s">
        <v>43</v>
      </c>
      <c r="AG274">
        <f t="shared" si="73"/>
        <v>1</v>
      </c>
      <c r="AH274" t="s">
        <v>44</v>
      </c>
      <c r="AI274" t="s">
        <v>44</v>
      </c>
      <c r="AJ274" t="s">
        <v>43</v>
      </c>
      <c r="AK274" t="s">
        <v>44</v>
      </c>
      <c r="AL274">
        <f t="shared" si="74"/>
        <v>0</v>
      </c>
      <c r="AM274" t="s">
        <v>44</v>
      </c>
      <c r="AN274">
        <v>4</v>
      </c>
      <c r="AO274">
        <v>4</v>
      </c>
      <c r="AP274">
        <v>3</v>
      </c>
      <c r="AQ274">
        <v>1</v>
      </c>
      <c r="AR274">
        <v>1</v>
      </c>
      <c r="AS274">
        <v>3</v>
      </c>
      <c r="AT274">
        <v>2</v>
      </c>
      <c r="AV274">
        <v>11</v>
      </c>
      <c r="AW274">
        <v>11</v>
      </c>
      <c r="AX274">
        <v>11</v>
      </c>
    </row>
    <row r="275" spans="1:50" x14ac:dyDescent="0.2">
      <c r="A275" t="s">
        <v>34</v>
      </c>
      <c r="B275" t="s">
        <v>51</v>
      </c>
      <c r="C275">
        <v>17</v>
      </c>
      <c r="D275" t="s">
        <v>53</v>
      </c>
      <c r="E275" t="s">
        <v>37</v>
      </c>
      <c r="F275" t="s">
        <v>45</v>
      </c>
      <c r="G275">
        <f t="shared" si="65"/>
        <v>1</v>
      </c>
      <c r="H275">
        <v>1</v>
      </c>
      <c r="I275">
        <f t="shared" si="66"/>
        <v>0</v>
      </c>
      <c r="J275">
        <f t="shared" si="67"/>
        <v>1</v>
      </c>
      <c r="K275">
        <f t="shared" si="68"/>
        <v>0</v>
      </c>
      <c r="L275">
        <f t="shared" si="69"/>
        <v>0</v>
      </c>
      <c r="M275">
        <f t="shared" si="70"/>
        <v>0</v>
      </c>
      <c r="N275">
        <v>2</v>
      </c>
      <c r="O275">
        <f t="shared" si="60"/>
        <v>0</v>
      </c>
      <c r="P275">
        <f t="shared" si="61"/>
        <v>0</v>
      </c>
      <c r="Q275">
        <f t="shared" si="62"/>
        <v>1</v>
      </c>
      <c r="R275">
        <f t="shared" si="63"/>
        <v>0</v>
      </c>
      <c r="S275">
        <f t="shared" si="64"/>
        <v>0</v>
      </c>
      <c r="T275">
        <f t="shared" si="71"/>
        <v>0</v>
      </c>
      <c r="V275" t="s">
        <v>39</v>
      </c>
      <c r="W275" t="s">
        <v>39</v>
      </c>
      <c r="X275" t="s">
        <v>50</v>
      </c>
      <c r="Y275" t="s">
        <v>42</v>
      </c>
      <c r="Z275">
        <v>1</v>
      </c>
      <c r="AA275">
        <v>2</v>
      </c>
      <c r="AB275">
        <v>0</v>
      </c>
      <c r="AC275" t="s">
        <v>44</v>
      </c>
      <c r="AD275" t="s">
        <v>43</v>
      </c>
      <c r="AE275">
        <f t="shared" si="72"/>
        <v>1</v>
      </c>
      <c r="AF275" t="s">
        <v>43</v>
      </c>
      <c r="AG275">
        <f t="shared" si="73"/>
        <v>1</v>
      </c>
      <c r="AH275" t="s">
        <v>43</v>
      </c>
      <c r="AI275" t="s">
        <v>44</v>
      </c>
      <c r="AJ275" t="s">
        <v>43</v>
      </c>
      <c r="AK275" t="s">
        <v>44</v>
      </c>
      <c r="AL275">
        <f t="shared" si="74"/>
        <v>0</v>
      </c>
      <c r="AM275" t="s">
        <v>43</v>
      </c>
      <c r="AN275">
        <v>3</v>
      </c>
      <c r="AO275">
        <v>5</v>
      </c>
      <c r="AP275">
        <v>2</v>
      </c>
      <c r="AQ275">
        <v>2</v>
      </c>
      <c r="AR275">
        <v>2</v>
      </c>
      <c r="AS275">
        <v>1</v>
      </c>
      <c r="AT275">
        <v>2</v>
      </c>
      <c r="AV275">
        <v>15</v>
      </c>
      <c r="AW275">
        <v>14</v>
      </c>
      <c r="AX275">
        <v>14</v>
      </c>
    </row>
    <row r="276" spans="1:50" x14ac:dyDescent="0.2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f t="shared" si="65"/>
        <v>1</v>
      </c>
      <c r="H276">
        <v>2</v>
      </c>
      <c r="I276">
        <f t="shared" si="66"/>
        <v>0</v>
      </c>
      <c r="J276">
        <f t="shared" si="67"/>
        <v>0</v>
      </c>
      <c r="K276">
        <f t="shared" si="68"/>
        <v>1</v>
      </c>
      <c r="L276">
        <f t="shared" si="69"/>
        <v>0</v>
      </c>
      <c r="M276">
        <f t="shared" si="70"/>
        <v>0</v>
      </c>
      <c r="N276">
        <v>4</v>
      </c>
      <c r="O276">
        <f t="shared" si="60"/>
        <v>0</v>
      </c>
      <c r="P276">
        <f t="shared" si="61"/>
        <v>0</v>
      </c>
      <c r="Q276">
        <f t="shared" si="62"/>
        <v>0</v>
      </c>
      <c r="R276">
        <f t="shared" si="63"/>
        <v>0</v>
      </c>
      <c r="S276">
        <f t="shared" si="64"/>
        <v>1</v>
      </c>
      <c r="T276">
        <f t="shared" si="71"/>
        <v>0</v>
      </c>
      <c r="V276" t="s">
        <v>39</v>
      </c>
      <c r="W276" t="s">
        <v>29</v>
      </c>
      <c r="X276" t="s">
        <v>52</v>
      </c>
      <c r="Y276" t="s">
        <v>42</v>
      </c>
      <c r="Z276">
        <v>2</v>
      </c>
      <c r="AA276">
        <v>2</v>
      </c>
      <c r="AB276">
        <v>0</v>
      </c>
      <c r="AC276" t="s">
        <v>44</v>
      </c>
      <c r="AD276" t="s">
        <v>43</v>
      </c>
      <c r="AE276">
        <f t="shared" si="72"/>
        <v>1</v>
      </c>
      <c r="AF276" t="s">
        <v>43</v>
      </c>
      <c r="AG276">
        <f t="shared" si="73"/>
        <v>1</v>
      </c>
      <c r="AH276" t="s">
        <v>44</v>
      </c>
      <c r="AI276" t="s">
        <v>43</v>
      </c>
      <c r="AJ276" t="s">
        <v>43</v>
      </c>
      <c r="AK276" t="s">
        <v>43</v>
      </c>
      <c r="AL276">
        <f t="shared" si="74"/>
        <v>1</v>
      </c>
      <c r="AM276" t="s">
        <v>43</v>
      </c>
      <c r="AN276">
        <v>4</v>
      </c>
      <c r="AO276">
        <v>3</v>
      </c>
      <c r="AP276">
        <v>3</v>
      </c>
      <c r="AQ276">
        <v>1</v>
      </c>
      <c r="AR276">
        <v>1</v>
      </c>
      <c r="AS276">
        <v>1</v>
      </c>
      <c r="AT276">
        <v>2</v>
      </c>
      <c r="AV276">
        <v>10</v>
      </c>
      <c r="AW276">
        <v>10</v>
      </c>
      <c r="AX276">
        <v>10</v>
      </c>
    </row>
    <row r="277" spans="1:50" x14ac:dyDescent="0.2">
      <c r="A277" t="s">
        <v>34</v>
      </c>
      <c r="B277" t="s">
        <v>35</v>
      </c>
      <c r="C277">
        <v>17</v>
      </c>
      <c r="D277" t="s">
        <v>36</v>
      </c>
      <c r="E277" t="s">
        <v>48</v>
      </c>
      <c r="F277" t="s">
        <v>45</v>
      </c>
      <c r="G277">
        <f t="shared" si="65"/>
        <v>1</v>
      </c>
      <c r="H277">
        <v>2</v>
      </c>
      <c r="I277">
        <f t="shared" si="66"/>
        <v>0</v>
      </c>
      <c r="J277">
        <f t="shared" si="67"/>
        <v>0</v>
      </c>
      <c r="K277">
        <f t="shared" si="68"/>
        <v>1</v>
      </c>
      <c r="L277">
        <f t="shared" si="69"/>
        <v>0</v>
      </c>
      <c r="M277">
        <f t="shared" si="70"/>
        <v>0</v>
      </c>
      <c r="N277">
        <v>2</v>
      </c>
      <c r="O277">
        <f t="shared" si="60"/>
        <v>0</v>
      </c>
      <c r="P277">
        <f t="shared" si="61"/>
        <v>0</v>
      </c>
      <c r="Q277">
        <f t="shared" si="62"/>
        <v>1</v>
      </c>
      <c r="R277">
        <f t="shared" si="63"/>
        <v>0</v>
      </c>
      <c r="S277">
        <f t="shared" si="64"/>
        <v>0</v>
      </c>
      <c r="T277">
        <f t="shared" si="71"/>
        <v>0</v>
      </c>
      <c r="V277" t="s">
        <v>49</v>
      </c>
      <c r="W277" t="s">
        <v>46</v>
      </c>
      <c r="X277" t="s">
        <v>41</v>
      </c>
      <c r="Y277" t="s">
        <v>42</v>
      </c>
      <c r="Z277">
        <v>2</v>
      </c>
      <c r="AA277">
        <v>2</v>
      </c>
      <c r="AB277">
        <v>0</v>
      </c>
      <c r="AC277" t="s">
        <v>43</v>
      </c>
      <c r="AD277" t="s">
        <v>43</v>
      </c>
      <c r="AE277">
        <f t="shared" si="72"/>
        <v>1</v>
      </c>
      <c r="AF277" t="s">
        <v>43</v>
      </c>
      <c r="AG277">
        <f t="shared" si="73"/>
        <v>1</v>
      </c>
      <c r="AH277" t="s">
        <v>44</v>
      </c>
      <c r="AI277" t="s">
        <v>43</v>
      </c>
      <c r="AJ277" t="s">
        <v>43</v>
      </c>
      <c r="AK277" t="s">
        <v>43</v>
      </c>
      <c r="AL277">
        <f t="shared" si="74"/>
        <v>1</v>
      </c>
      <c r="AM277" t="s">
        <v>43</v>
      </c>
      <c r="AN277">
        <v>4</v>
      </c>
      <c r="AO277">
        <v>4</v>
      </c>
      <c r="AP277">
        <v>4</v>
      </c>
      <c r="AQ277">
        <v>2</v>
      </c>
      <c r="AR277">
        <v>3</v>
      </c>
      <c r="AS277">
        <v>5</v>
      </c>
      <c r="AT277">
        <v>6</v>
      </c>
      <c r="AV277">
        <v>12</v>
      </c>
      <c r="AW277">
        <v>12</v>
      </c>
      <c r="AX277">
        <v>12</v>
      </c>
    </row>
    <row r="278" spans="1:50" x14ac:dyDescent="0.2">
      <c r="A278" t="s">
        <v>34</v>
      </c>
      <c r="B278" t="s">
        <v>35</v>
      </c>
      <c r="C278">
        <v>18</v>
      </c>
      <c r="D278" t="s">
        <v>53</v>
      </c>
      <c r="E278" t="s">
        <v>37</v>
      </c>
      <c r="F278" t="s">
        <v>38</v>
      </c>
      <c r="G278">
        <f t="shared" si="65"/>
        <v>0</v>
      </c>
      <c r="H278">
        <v>3</v>
      </c>
      <c r="I278">
        <f t="shared" si="66"/>
        <v>0</v>
      </c>
      <c r="J278">
        <f t="shared" si="67"/>
        <v>0</v>
      </c>
      <c r="K278">
        <f t="shared" si="68"/>
        <v>0</v>
      </c>
      <c r="L278">
        <f t="shared" si="69"/>
        <v>1</v>
      </c>
      <c r="M278">
        <f t="shared" si="70"/>
        <v>0</v>
      </c>
      <c r="N278">
        <v>2</v>
      </c>
      <c r="O278">
        <f t="shared" si="60"/>
        <v>0</v>
      </c>
      <c r="P278">
        <f t="shared" si="61"/>
        <v>0</v>
      </c>
      <c r="Q278">
        <f t="shared" si="62"/>
        <v>1</v>
      </c>
      <c r="R278">
        <f t="shared" si="63"/>
        <v>0</v>
      </c>
      <c r="S278">
        <f t="shared" si="64"/>
        <v>0</v>
      </c>
      <c r="T278">
        <f t="shared" si="71"/>
        <v>0</v>
      </c>
      <c r="V278" t="s">
        <v>46</v>
      </c>
      <c r="W278" t="s">
        <v>49</v>
      </c>
      <c r="X278" t="s">
        <v>50</v>
      </c>
      <c r="Y278" t="s">
        <v>42</v>
      </c>
      <c r="Z278">
        <v>2</v>
      </c>
      <c r="AA278">
        <v>2</v>
      </c>
      <c r="AB278">
        <v>0</v>
      </c>
      <c r="AC278" t="s">
        <v>44</v>
      </c>
      <c r="AD278" t="s">
        <v>44</v>
      </c>
      <c r="AE278">
        <f t="shared" si="72"/>
        <v>0</v>
      </c>
      <c r="AF278" t="s">
        <v>44</v>
      </c>
      <c r="AG278">
        <f t="shared" si="73"/>
        <v>0</v>
      </c>
      <c r="AH278" t="s">
        <v>44</v>
      </c>
      <c r="AI278" t="s">
        <v>44</v>
      </c>
      <c r="AJ278" t="s">
        <v>44</v>
      </c>
      <c r="AK278" t="s">
        <v>43</v>
      </c>
      <c r="AL278">
        <f t="shared" si="74"/>
        <v>1</v>
      </c>
      <c r="AM278" t="s">
        <v>43</v>
      </c>
      <c r="AN278">
        <v>4</v>
      </c>
      <c r="AO278">
        <v>1</v>
      </c>
      <c r="AP278">
        <v>1</v>
      </c>
      <c r="AQ278">
        <v>1</v>
      </c>
      <c r="AR278">
        <v>1</v>
      </c>
      <c r="AS278">
        <v>5</v>
      </c>
      <c r="AT278">
        <v>75</v>
      </c>
      <c r="AV278">
        <v>10</v>
      </c>
      <c r="AW278">
        <v>9</v>
      </c>
      <c r="AX278">
        <v>9</v>
      </c>
    </row>
    <row r="279" spans="1:50" x14ac:dyDescent="0.2">
      <c r="A279" t="s">
        <v>34</v>
      </c>
      <c r="B279" t="s">
        <v>51</v>
      </c>
      <c r="C279">
        <v>18</v>
      </c>
      <c r="D279" t="s">
        <v>36</v>
      </c>
      <c r="E279" t="s">
        <v>37</v>
      </c>
      <c r="F279" t="s">
        <v>45</v>
      </c>
      <c r="G279">
        <f t="shared" si="65"/>
        <v>1</v>
      </c>
      <c r="H279">
        <v>4</v>
      </c>
      <c r="I279">
        <f t="shared" si="66"/>
        <v>0</v>
      </c>
      <c r="J279">
        <f t="shared" si="67"/>
        <v>0</v>
      </c>
      <c r="K279">
        <f t="shared" si="68"/>
        <v>0</v>
      </c>
      <c r="L279">
        <f t="shared" si="69"/>
        <v>0</v>
      </c>
      <c r="M279">
        <f t="shared" si="70"/>
        <v>1</v>
      </c>
      <c r="N279">
        <v>4</v>
      </c>
      <c r="O279">
        <f t="shared" si="60"/>
        <v>0</v>
      </c>
      <c r="P279">
        <f t="shared" si="61"/>
        <v>0</v>
      </c>
      <c r="Q279">
        <f t="shared" si="62"/>
        <v>0</v>
      </c>
      <c r="R279">
        <f t="shared" si="63"/>
        <v>0</v>
      </c>
      <c r="S279">
        <f t="shared" si="64"/>
        <v>1</v>
      </c>
      <c r="T279">
        <f t="shared" si="71"/>
        <v>1</v>
      </c>
      <c r="V279" t="s">
        <v>40</v>
      </c>
      <c r="W279" t="s">
        <v>49</v>
      </c>
      <c r="X279" t="s">
        <v>50</v>
      </c>
      <c r="Y279" t="s">
        <v>42</v>
      </c>
      <c r="Z279">
        <v>2</v>
      </c>
      <c r="AA279">
        <v>1</v>
      </c>
      <c r="AB279">
        <v>0</v>
      </c>
      <c r="AC279" t="s">
        <v>44</v>
      </c>
      <c r="AD279" t="s">
        <v>44</v>
      </c>
      <c r="AE279">
        <f t="shared" si="72"/>
        <v>0</v>
      </c>
      <c r="AF279" t="s">
        <v>43</v>
      </c>
      <c r="AG279">
        <f t="shared" si="73"/>
        <v>1</v>
      </c>
      <c r="AH279" t="s">
        <v>43</v>
      </c>
      <c r="AI279" t="s">
        <v>43</v>
      </c>
      <c r="AJ279" t="s">
        <v>43</v>
      </c>
      <c r="AK279" t="s">
        <v>43</v>
      </c>
      <c r="AL279">
        <f t="shared" si="74"/>
        <v>1</v>
      </c>
      <c r="AM279" t="s">
        <v>44</v>
      </c>
      <c r="AN279">
        <v>3</v>
      </c>
      <c r="AO279">
        <v>2</v>
      </c>
      <c r="AP279">
        <v>4</v>
      </c>
      <c r="AQ279">
        <v>1</v>
      </c>
      <c r="AR279">
        <v>4</v>
      </c>
      <c r="AS279">
        <v>3</v>
      </c>
      <c r="AT279">
        <v>22</v>
      </c>
      <c r="AV279">
        <v>9</v>
      </c>
      <c r="AW279">
        <v>9</v>
      </c>
      <c r="AX279">
        <v>9</v>
      </c>
    </row>
    <row r="280" spans="1:50" x14ac:dyDescent="0.2">
      <c r="A280" t="s">
        <v>34</v>
      </c>
      <c r="B280" t="s">
        <v>35</v>
      </c>
      <c r="C280">
        <v>18</v>
      </c>
      <c r="D280" t="s">
        <v>36</v>
      </c>
      <c r="E280" t="s">
        <v>37</v>
      </c>
      <c r="F280" t="s">
        <v>45</v>
      </c>
      <c r="G280">
        <f t="shared" si="65"/>
        <v>1</v>
      </c>
      <c r="H280">
        <v>4</v>
      </c>
      <c r="I280">
        <f t="shared" si="66"/>
        <v>0</v>
      </c>
      <c r="J280">
        <f t="shared" si="67"/>
        <v>0</v>
      </c>
      <c r="K280">
        <f t="shared" si="68"/>
        <v>0</v>
      </c>
      <c r="L280">
        <f t="shared" si="69"/>
        <v>0</v>
      </c>
      <c r="M280">
        <f t="shared" si="70"/>
        <v>1</v>
      </c>
      <c r="N280">
        <v>4</v>
      </c>
      <c r="O280">
        <f t="shared" si="60"/>
        <v>0</v>
      </c>
      <c r="P280">
        <f t="shared" si="61"/>
        <v>0</v>
      </c>
      <c r="Q280">
        <f t="shared" si="62"/>
        <v>0</v>
      </c>
      <c r="R280">
        <f t="shared" si="63"/>
        <v>0</v>
      </c>
      <c r="S280">
        <f t="shared" si="64"/>
        <v>1</v>
      </c>
      <c r="T280">
        <f t="shared" si="71"/>
        <v>1</v>
      </c>
      <c r="V280" t="s">
        <v>29</v>
      </c>
      <c r="W280" t="s">
        <v>29</v>
      </c>
      <c r="X280" t="s">
        <v>52</v>
      </c>
      <c r="Y280" t="s">
        <v>47</v>
      </c>
      <c r="Z280">
        <v>1</v>
      </c>
      <c r="AA280">
        <v>2</v>
      </c>
      <c r="AB280">
        <v>1</v>
      </c>
      <c r="AC280" t="s">
        <v>43</v>
      </c>
      <c r="AD280" t="s">
        <v>43</v>
      </c>
      <c r="AE280">
        <f t="shared" si="72"/>
        <v>1</v>
      </c>
      <c r="AF280" t="s">
        <v>44</v>
      </c>
      <c r="AG280">
        <f t="shared" si="73"/>
        <v>0</v>
      </c>
      <c r="AH280" t="s">
        <v>43</v>
      </c>
      <c r="AI280" t="s">
        <v>43</v>
      </c>
      <c r="AJ280" t="s">
        <v>43</v>
      </c>
      <c r="AK280" t="s">
        <v>43</v>
      </c>
      <c r="AL280">
        <f t="shared" si="74"/>
        <v>1</v>
      </c>
      <c r="AM280" t="s">
        <v>43</v>
      </c>
      <c r="AN280">
        <v>2</v>
      </c>
      <c r="AO280">
        <v>4</v>
      </c>
      <c r="AP280">
        <v>4</v>
      </c>
      <c r="AQ280">
        <v>1</v>
      </c>
      <c r="AR280">
        <v>1</v>
      </c>
      <c r="AS280">
        <v>4</v>
      </c>
      <c r="AT280">
        <v>15</v>
      </c>
      <c r="AV280">
        <v>9</v>
      </c>
      <c r="AW280">
        <v>8</v>
      </c>
      <c r="AX280">
        <v>8</v>
      </c>
    </row>
    <row r="281" spans="1:50" x14ac:dyDescent="0.2">
      <c r="A281" t="s">
        <v>34</v>
      </c>
      <c r="B281" t="s">
        <v>51</v>
      </c>
      <c r="C281">
        <v>18</v>
      </c>
      <c r="D281" t="s">
        <v>36</v>
      </c>
      <c r="E281" t="s">
        <v>48</v>
      </c>
      <c r="F281" t="s">
        <v>45</v>
      </c>
      <c r="G281">
        <f t="shared" si="65"/>
        <v>1</v>
      </c>
      <c r="H281">
        <v>4</v>
      </c>
      <c r="I281">
        <f t="shared" si="66"/>
        <v>0</v>
      </c>
      <c r="J281">
        <f t="shared" si="67"/>
        <v>0</v>
      </c>
      <c r="K281">
        <f t="shared" si="68"/>
        <v>0</v>
      </c>
      <c r="L281">
        <f t="shared" si="69"/>
        <v>0</v>
      </c>
      <c r="M281">
        <f t="shared" si="70"/>
        <v>1</v>
      </c>
      <c r="N281">
        <v>3</v>
      </c>
      <c r="O281">
        <f t="shared" si="60"/>
        <v>0</v>
      </c>
      <c r="P281">
        <f t="shared" si="61"/>
        <v>0</v>
      </c>
      <c r="Q281">
        <f t="shared" si="62"/>
        <v>0</v>
      </c>
      <c r="R281">
        <f t="shared" si="63"/>
        <v>1</v>
      </c>
      <c r="S281">
        <f t="shared" si="64"/>
        <v>0</v>
      </c>
      <c r="T281">
        <f t="shared" si="71"/>
        <v>0</v>
      </c>
      <c r="V281" t="s">
        <v>40</v>
      </c>
      <c r="W281" t="s">
        <v>49</v>
      </c>
      <c r="X281" t="s">
        <v>41</v>
      </c>
      <c r="Y281" t="s">
        <v>42</v>
      </c>
      <c r="Z281">
        <v>2</v>
      </c>
      <c r="AA281">
        <v>1</v>
      </c>
      <c r="AB281">
        <v>0</v>
      </c>
      <c r="AC281" t="s">
        <v>44</v>
      </c>
      <c r="AD281" t="s">
        <v>44</v>
      </c>
      <c r="AE281">
        <f t="shared" si="72"/>
        <v>0</v>
      </c>
      <c r="AF281" t="s">
        <v>43</v>
      </c>
      <c r="AG281">
        <f t="shared" si="73"/>
        <v>1</v>
      </c>
      <c r="AH281" t="s">
        <v>43</v>
      </c>
      <c r="AI281" t="s">
        <v>43</v>
      </c>
      <c r="AJ281" t="s">
        <v>43</v>
      </c>
      <c r="AK281" t="s">
        <v>43</v>
      </c>
      <c r="AL281">
        <f t="shared" si="74"/>
        <v>1</v>
      </c>
      <c r="AM281" t="s">
        <v>44</v>
      </c>
      <c r="AN281">
        <v>4</v>
      </c>
      <c r="AO281">
        <v>2</v>
      </c>
      <c r="AP281">
        <v>3</v>
      </c>
      <c r="AQ281">
        <v>1</v>
      </c>
      <c r="AR281">
        <v>2</v>
      </c>
      <c r="AS281">
        <v>1</v>
      </c>
      <c r="AT281">
        <v>8</v>
      </c>
      <c r="AV281">
        <v>10</v>
      </c>
      <c r="AW281">
        <v>11</v>
      </c>
      <c r="AX281">
        <v>10</v>
      </c>
    </row>
    <row r="282" spans="1:50" x14ac:dyDescent="0.2">
      <c r="A282" t="s">
        <v>34</v>
      </c>
      <c r="B282" t="s">
        <v>51</v>
      </c>
      <c r="C282">
        <v>17</v>
      </c>
      <c r="D282" t="s">
        <v>36</v>
      </c>
      <c r="E282" t="s">
        <v>48</v>
      </c>
      <c r="F282" t="s">
        <v>38</v>
      </c>
      <c r="G282">
        <f t="shared" si="65"/>
        <v>0</v>
      </c>
      <c r="H282">
        <v>4</v>
      </c>
      <c r="I282">
        <f t="shared" si="66"/>
        <v>0</v>
      </c>
      <c r="J282">
        <f t="shared" si="67"/>
        <v>0</v>
      </c>
      <c r="K282">
        <f t="shared" si="68"/>
        <v>0</v>
      </c>
      <c r="L282">
        <f t="shared" si="69"/>
        <v>0</v>
      </c>
      <c r="M282">
        <f t="shared" si="70"/>
        <v>1</v>
      </c>
      <c r="N282">
        <v>1</v>
      </c>
      <c r="O282">
        <f t="shared" si="60"/>
        <v>0</v>
      </c>
      <c r="P282">
        <f t="shared" si="61"/>
        <v>1</v>
      </c>
      <c r="Q282">
        <f t="shared" si="62"/>
        <v>0</v>
      </c>
      <c r="R282">
        <f t="shared" si="63"/>
        <v>0</v>
      </c>
      <c r="S282">
        <f t="shared" si="64"/>
        <v>0</v>
      </c>
      <c r="T282">
        <f t="shared" si="71"/>
        <v>0</v>
      </c>
      <c r="V282" t="s">
        <v>49</v>
      </c>
      <c r="W282" t="s">
        <v>46</v>
      </c>
      <c r="X282" t="s">
        <v>50</v>
      </c>
      <c r="Y282" t="s">
        <v>42</v>
      </c>
      <c r="Z282">
        <v>2</v>
      </c>
      <c r="AA282">
        <v>1</v>
      </c>
      <c r="AB282">
        <v>0</v>
      </c>
      <c r="AC282" t="s">
        <v>44</v>
      </c>
      <c r="AD282" t="s">
        <v>44</v>
      </c>
      <c r="AE282">
        <f t="shared" si="72"/>
        <v>0</v>
      </c>
      <c r="AF282" t="s">
        <v>43</v>
      </c>
      <c r="AG282">
        <f t="shared" si="73"/>
        <v>1</v>
      </c>
      <c r="AH282" t="s">
        <v>43</v>
      </c>
      <c r="AI282" t="s">
        <v>43</v>
      </c>
      <c r="AJ282" t="s">
        <v>43</v>
      </c>
      <c r="AK282" t="s">
        <v>43</v>
      </c>
      <c r="AL282">
        <f t="shared" si="74"/>
        <v>1</v>
      </c>
      <c r="AM282" t="s">
        <v>43</v>
      </c>
      <c r="AN282">
        <v>4</v>
      </c>
      <c r="AO282">
        <v>5</v>
      </c>
      <c r="AP282">
        <v>4</v>
      </c>
      <c r="AQ282">
        <v>2</v>
      </c>
      <c r="AR282">
        <v>4</v>
      </c>
      <c r="AS282">
        <v>5</v>
      </c>
      <c r="AT282">
        <v>30</v>
      </c>
      <c r="AV282">
        <v>8</v>
      </c>
      <c r="AW282">
        <v>8</v>
      </c>
      <c r="AX282">
        <v>8</v>
      </c>
    </row>
    <row r="283" spans="1:50" x14ac:dyDescent="0.2">
      <c r="A283" t="s">
        <v>34</v>
      </c>
      <c r="B283" t="s">
        <v>51</v>
      </c>
      <c r="C283">
        <v>17</v>
      </c>
      <c r="D283" t="s">
        <v>36</v>
      </c>
      <c r="E283" t="s">
        <v>48</v>
      </c>
      <c r="F283" t="s">
        <v>38</v>
      </c>
      <c r="G283">
        <f t="shared" si="65"/>
        <v>0</v>
      </c>
      <c r="H283">
        <v>3</v>
      </c>
      <c r="I283">
        <f t="shared" si="66"/>
        <v>0</v>
      </c>
      <c r="J283">
        <f t="shared" si="67"/>
        <v>0</v>
      </c>
      <c r="K283">
        <f t="shared" si="68"/>
        <v>0</v>
      </c>
      <c r="L283">
        <f t="shared" si="69"/>
        <v>1</v>
      </c>
      <c r="M283">
        <f t="shared" si="70"/>
        <v>0</v>
      </c>
      <c r="N283">
        <v>2</v>
      </c>
      <c r="O283">
        <f t="shared" si="60"/>
        <v>0</v>
      </c>
      <c r="P283">
        <f t="shared" si="61"/>
        <v>0</v>
      </c>
      <c r="Q283">
        <f t="shared" si="62"/>
        <v>1</v>
      </c>
      <c r="R283">
        <f t="shared" si="63"/>
        <v>0</v>
      </c>
      <c r="S283">
        <f t="shared" si="64"/>
        <v>0</v>
      </c>
      <c r="T283">
        <f t="shared" si="71"/>
        <v>0</v>
      </c>
      <c r="V283" t="s">
        <v>40</v>
      </c>
      <c r="W283" t="s">
        <v>49</v>
      </c>
      <c r="X283" t="s">
        <v>50</v>
      </c>
      <c r="Y283" t="s">
        <v>42</v>
      </c>
      <c r="Z283">
        <v>1</v>
      </c>
      <c r="AA283">
        <v>1</v>
      </c>
      <c r="AB283">
        <v>1</v>
      </c>
      <c r="AC283" t="s">
        <v>44</v>
      </c>
      <c r="AD283" t="s">
        <v>44</v>
      </c>
      <c r="AE283">
        <f t="shared" si="72"/>
        <v>0</v>
      </c>
      <c r="AF283" t="s">
        <v>44</v>
      </c>
      <c r="AG283">
        <f t="shared" si="73"/>
        <v>0</v>
      </c>
      <c r="AH283" t="s">
        <v>44</v>
      </c>
      <c r="AI283" t="s">
        <v>43</v>
      </c>
      <c r="AJ283" t="s">
        <v>43</v>
      </c>
      <c r="AK283" t="s">
        <v>43</v>
      </c>
      <c r="AL283">
        <f t="shared" si="74"/>
        <v>1</v>
      </c>
      <c r="AM283" t="s">
        <v>44</v>
      </c>
      <c r="AN283">
        <v>4</v>
      </c>
      <c r="AO283">
        <v>4</v>
      </c>
      <c r="AP283">
        <v>4</v>
      </c>
      <c r="AQ283">
        <v>3</v>
      </c>
      <c r="AR283">
        <v>4</v>
      </c>
      <c r="AS283">
        <v>3</v>
      </c>
      <c r="AT283">
        <v>19</v>
      </c>
      <c r="AV283">
        <v>11</v>
      </c>
      <c r="AW283">
        <v>9</v>
      </c>
      <c r="AX283">
        <v>10</v>
      </c>
    </row>
    <row r="284" spans="1:50" x14ac:dyDescent="0.2">
      <c r="A284" t="s">
        <v>34</v>
      </c>
      <c r="B284" t="s">
        <v>35</v>
      </c>
      <c r="C284">
        <v>18</v>
      </c>
      <c r="D284" t="s">
        <v>53</v>
      </c>
      <c r="E284" t="s">
        <v>48</v>
      </c>
      <c r="F284" t="s">
        <v>45</v>
      </c>
      <c r="G284">
        <f t="shared" si="65"/>
        <v>1</v>
      </c>
      <c r="H284">
        <v>1</v>
      </c>
      <c r="I284">
        <f t="shared" si="66"/>
        <v>0</v>
      </c>
      <c r="J284">
        <f t="shared" si="67"/>
        <v>1</v>
      </c>
      <c r="K284">
        <f t="shared" si="68"/>
        <v>0</v>
      </c>
      <c r="L284">
        <f t="shared" si="69"/>
        <v>0</v>
      </c>
      <c r="M284">
        <f t="shared" si="70"/>
        <v>0</v>
      </c>
      <c r="N284">
        <v>1</v>
      </c>
      <c r="O284">
        <f t="shared" si="60"/>
        <v>0</v>
      </c>
      <c r="P284">
        <f t="shared" si="61"/>
        <v>1</v>
      </c>
      <c r="Q284">
        <f t="shared" si="62"/>
        <v>0</v>
      </c>
      <c r="R284">
        <f t="shared" si="63"/>
        <v>0</v>
      </c>
      <c r="S284">
        <f t="shared" si="64"/>
        <v>0</v>
      </c>
      <c r="T284">
        <f t="shared" si="71"/>
        <v>0</v>
      </c>
      <c r="V284" t="s">
        <v>39</v>
      </c>
      <c r="W284" t="s">
        <v>46</v>
      </c>
      <c r="X284" t="s">
        <v>52</v>
      </c>
      <c r="Y284" t="s">
        <v>42</v>
      </c>
      <c r="Z284">
        <v>2</v>
      </c>
      <c r="AA284">
        <v>4</v>
      </c>
      <c r="AB284">
        <v>0</v>
      </c>
      <c r="AC284" t="s">
        <v>44</v>
      </c>
      <c r="AD284" t="s">
        <v>43</v>
      </c>
      <c r="AE284">
        <f t="shared" si="72"/>
        <v>1</v>
      </c>
      <c r="AF284" t="s">
        <v>43</v>
      </c>
      <c r="AG284">
        <f t="shared" si="73"/>
        <v>1</v>
      </c>
      <c r="AH284" t="s">
        <v>43</v>
      </c>
      <c r="AI284" t="s">
        <v>43</v>
      </c>
      <c r="AJ284" t="s">
        <v>43</v>
      </c>
      <c r="AK284" t="s">
        <v>44</v>
      </c>
      <c r="AL284">
        <f t="shared" si="74"/>
        <v>0</v>
      </c>
      <c r="AM284" t="s">
        <v>44</v>
      </c>
      <c r="AN284">
        <v>5</v>
      </c>
      <c r="AO284">
        <v>2</v>
      </c>
      <c r="AP284">
        <v>2</v>
      </c>
      <c r="AQ284">
        <v>1</v>
      </c>
      <c r="AR284">
        <v>1</v>
      </c>
      <c r="AS284">
        <v>3</v>
      </c>
      <c r="AT284">
        <v>1</v>
      </c>
      <c r="AV284">
        <v>12</v>
      </c>
      <c r="AW284">
        <v>12</v>
      </c>
      <c r="AX284">
        <v>12</v>
      </c>
    </row>
    <row r="285" spans="1:50" x14ac:dyDescent="0.2">
      <c r="A285" t="s">
        <v>34</v>
      </c>
      <c r="B285" t="s">
        <v>35</v>
      </c>
      <c r="C285">
        <v>18</v>
      </c>
      <c r="D285" t="s">
        <v>36</v>
      </c>
      <c r="E285" t="s">
        <v>37</v>
      </c>
      <c r="F285" t="s">
        <v>45</v>
      </c>
      <c r="G285">
        <f t="shared" si="65"/>
        <v>1</v>
      </c>
      <c r="H285">
        <v>1</v>
      </c>
      <c r="I285">
        <f t="shared" si="66"/>
        <v>0</v>
      </c>
      <c r="J285">
        <f t="shared" si="67"/>
        <v>1</v>
      </c>
      <c r="K285">
        <f t="shared" si="68"/>
        <v>0</v>
      </c>
      <c r="L285">
        <f t="shared" si="69"/>
        <v>0</v>
      </c>
      <c r="M285">
        <f t="shared" si="70"/>
        <v>0</v>
      </c>
      <c r="N285">
        <v>1</v>
      </c>
      <c r="O285">
        <f t="shared" si="60"/>
        <v>0</v>
      </c>
      <c r="P285">
        <f t="shared" si="61"/>
        <v>1</v>
      </c>
      <c r="Q285">
        <f t="shared" si="62"/>
        <v>0</v>
      </c>
      <c r="R285">
        <f t="shared" si="63"/>
        <v>0</v>
      </c>
      <c r="S285">
        <f t="shared" si="64"/>
        <v>0</v>
      </c>
      <c r="T285">
        <f t="shared" si="71"/>
        <v>0</v>
      </c>
      <c r="V285" t="s">
        <v>46</v>
      </c>
      <c r="W285" t="s">
        <v>46</v>
      </c>
      <c r="X285" t="s">
        <v>50</v>
      </c>
      <c r="Y285" t="s">
        <v>42</v>
      </c>
      <c r="Z285">
        <v>2</v>
      </c>
      <c r="AA285">
        <v>2</v>
      </c>
      <c r="AB285">
        <v>0</v>
      </c>
      <c r="AC285" t="s">
        <v>43</v>
      </c>
      <c r="AD285" t="s">
        <v>44</v>
      </c>
      <c r="AE285">
        <f t="shared" si="72"/>
        <v>0</v>
      </c>
      <c r="AF285" t="s">
        <v>44</v>
      </c>
      <c r="AG285">
        <f t="shared" si="73"/>
        <v>0</v>
      </c>
      <c r="AH285" t="s">
        <v>43</v>
      </c>
      <c r="AI285" t="s">
        <v>43</v>
      </c>
      <c r="AJ285" t="s">
        <v>43</v>
      </c>
      <c r="AK285" t="s">
        <v>43</v>
      </c>
      <c r="AL285">
        <f t="shared" si="74"/>
        <v>1</v>
      </c>
      <c r="AM285" t="s">
        <v>44</v>
      </c>
      <c r="AN285">
        <v>5</v>
      </c>
      <c r="AO285">
        <v>4</v>
      </c>
      <c r="AP285">
        <v>4</v>
      </c>
      <c r="AQ285">
        <v>1</v>
      </c>
      <c r="AR285">
        <v>1</v>
      </c>
      <c r="AS285">
        <v>4</v>
      </c>
      <c r="AT285">
        <v>4</v>
      </c>
      <c r="AV285">
        <v>8</v>
      </c>
      <c r="AW285">
        <v>9</v>
      </c>
      <c r="AX285">
        <v>10</v>
      </c>
    </row>
    <row r="286" spans="1:50" x14ac:dyDescent="0.2">
      <c r="A286" t="s">
        <v>34</v>
      </c>
      <c r="B286" t="s">
        <v>35</v>
      </c>
      <c r="C286">
        <v>17</v>
      </c>
      <c r="D286" t="s">
        <v>36</v>
      </c>
      <c r="E286" t="s">
        <v>37</v>
      </c>
      <c r="F286" t="s">
        <v>45</v>
      </c>
      <c r="G286">
        <f t="shared" si="65"/>
        <v>1</v>
      </c>
      <c r="H286">
        <v>2</v>
      </c>
      <c r="I286">
        <f t="shared" si="66"/>
        <v>0</v>
      </c>
      <c r="J286">
        <f t="shared" si="67"/>
        <v>0</v>
      </c>
      <c r="K286">
        <f t="shared" si="68"/>
        <v>1</v>
      </c>
      <c r="L286">
        <f t="shared" si="69"/>
        <v>0</v>
      </c>
      <c r="M286">
        <f t="shared" si="70"/>
        <v>0</v>
      </c>
      <c r="N286">
        <v>2</v>
      </c>
      <c r="O286">
        <f t="shared" si="60"/>
        <v>0</v>
      </c>
      <c r="P286">
        <f t="shared" si="61"/>
        <v>0</v>
      </c>
      <c r="Q286">
        <f t="shared" si="62"/>
        <v>1</v>
      </c>
      <c r="R286">
        <f t="shared" si="63"/>
        <v>0</v>
      </c>
      <c r="S286">
        <f t="shared" si="64"/>
        <v>0</v>
      </c>
      <c r="T286">
        <f t="shared" si="71"/>
        <v>0</v>
      </c>
      <c r="V286" t="s">
        <v>46</v>
      </c>
      <c r="W286" t="s">
        <v>46</v>
      </c>
      <c r="X286" t="s">
        <v>41</v>
      </c>
      <c r="Y286" t="s">
        <v>42</v>
      </c>
      <c r="Z286">
        <v>1</v>
      </c>
      <c r="AA286">
        <v>2</v>
      </c>
      <c r="AB286">
        <v>0</v>
      </c>
      <c r="AC286" t="s">
        <v>44</v>
      </c>
      <c r="AD286" t="s">
        <v>43</v>
      </c>
      <c r="AE286">
        <f t="shared" si="72"/>
        <v>1</v>
      </c>
      <c r="AF286" t="s">
        <v>44</v>
      </c>
      <c r="AG286">
        <f t="shared" si="73"/>
        <v>0</v>
      </c>
      <c r="AH286" t="s">
        <v>44</v>
      </c>
      <c r="AI286" t="s">
        <v>44</v>
      </c>
      <c r="AJ286" t="s">
        <v>43</v>
      </c>
      <c r="AK286" t="s">
        <v>43</v>
      </c>
      <c r="AL286">
        <f t="shared" si="74"/>
        <v>1</v>
      </c>
      <c r="AM286" t="s">
        <v>44</v>
      </c>
      <c r="AN286">
        <v>5</v>
      </c>
      <c r="AO286">
        <v>4</v>
      </c>
      <c r="AP286">
        <v>5</v>
      </c>
      <c r="AQ286">
        <v>1</v>
      </c>
      <c r="AR286">
        <v>2</v>
      </c>
      <c r="AS286">
        <v>5</v>
      </c>
      <c r="AT286">
        <v>4</v>
      </c>
      <c r="AV286">
        <v>10</v>
      </c>
      <c r="AW286">
        <v>9</v>
      </c>
      <c r="AX286">
        <v>11</v>
      </c>
    </row>
    <row r="287" spans="1:50" x14ac:dyDescent="0.2">
      <c r="A287" t="s">
        <v>34</v>
      </c>
      <c r="B287" t="s">
        <v>51</v>
      </c>
      <c r="C287">
        <v>17</v>
      </c>
      <c r="D287" t="s">
        <v>36</v>
      </c>
      <c r="E287" t="s">
        <v>37</v>
      </c>
      <c r="F287" t="s">
        <v>45</v>
      </c>
      <c r="G287">
        <f t="shared" si="65"/>
        <v>1</v>
      </c>
      <c r="H287">
        <v>1</v>
      </c>
      <c r="I287">
        <f t="shared" si="66"/>
        <v>0</v>
      </c>
      <c r="J287">
        <f t="shared" si="67"/>
        <v>1</v>
      </c>
      <c r="K287">
        <f t="shared" si="68"/>
        <v>0</v>
      </c>
      <c r="L287">
        <f t="shared" si="69"/>
        <v>0</v>
      </c>
      <c r="M287">
        <f t="shared" si="70"/>
        <v>0</v>
      </c>
      <c r="N287">
        <v>1</v>
      </c>
      <c r="O287">
        <f t="shared" si="60"/>
        <v>0</v>
      </c>
      <c r="P287">
        <f t="shared" si="61"/>
        <v>1</v>
      </c>
      <c r="Q287">
        <f t="shared" si="62"/>
        <v>0</v>
      </c>
      <c r="R287">
        <f t="shared" si="63"/>
        <v>0</v>
      </c>
      <c r="S287">
        <f t="shared" si="64"/>
        <v>0</v>
      </c>
      <c r="T287">
        <f t="shared" si="71"/>
        <v>0</v>
      </c>
      <c r="V287" t="s">
        <v>46</v>
      </c>
      <c r="W287" t="s">
        <v>46</v>
      </c>
      <c r="X287" t="s">
        <v>52</v>
      </c>
      <c r="Y287" t="s">
        <v>47</v>
      </c>
      <c r="Z287">
        <v>1</v>
      </c>
      <c r="AA287">
        <v>2</v>
      </c>
      <c r="AB287">
        <v>0</v>
      </c>
      <c r="AC287" t="s">
        <v>44</v>
      </c>
      <c r="AD287" t="s">
        <v>44</v>
      </c>
      <c r="AE287">
        <f t="shared" si="72"/>
        <v>0</v>
      </c>
      <c r="AF287" t="s">
        <v>43</v>
      </c>
      <c r="AG287">
        <f t="shared" si="73"/>
        <v>1</v>
      </c>
      <c r="AH287" t="s">
        <v>44</v>
      </c>
      <c r="AI287" t="s">
        <v>44</v>
      </c>
      <c r="AJ287" t="s">
        <v>43</v>
      </c>
      <c r="AK287" t="s">
        <v>43</v>
      </c>
      <c r="AL287">
        <f t="shared" si="74"/>
        <v>1</v>
      </c>
      <c r="AM287" t="s">
        <v>44</v>
      </c>
      <c r="AN287">
        <v>4</v>
      </c>
      <c r="AO287">
        <v>3</v>
      </c>
      <c r="AP287">
        <v>3</v>
      </c>
      <c r="AQ287">
        <v>1</v>
      </c>
      <c r="AR287">
        <v>2</v>
      </c>
      <c r="AS287">
        <v>4</v>
      </c>
      <c r="AT287">
        <v>2</v>
      </c>
      <c r="AV287">
        <v>12</v>
      </c>
      <c r="AW287">
        <v>10</v>
      </c>
      <c r="AX287">
        <v>11</v>
      </c>
    </row>
    <row r="288" spans="1:50" x14ac:dyDescent="0.2">
      <c r="A288" t="s">
        <v>34</v>
      </c>
      <c r="B288" t="s">
        <v>35</v>
      </c>
      <c r="C288">
        <v>18</v>
      </c>
      <c r="D288" t="s">
        <v>36</v>
      </c>
      <c r="E288" t="s">
        <v>37</v>
      </c>
      <c r="F288" t="s">
        <v>45</v>
      </c>
      <c r="G288">
        <f t="shared" si="65"/>
        <v>1</v>
      </c>
      <c r="H288">
        <v>2</v>
      </c>
      <c r="I288">
        <f t="shared" si="66"/>
        <v>0</v>
      </c>
      <c r="J288">
        <f t="shared" si="67"/>
        <v>0</v>
      </c>
      <c r="K288">
        <f t="shared" si="68"/>
        <v>1</v>
      </c>
      <c r="L288">
        <f t="shared" si="69"/>
        <v>0</v>
      </c>
      <c r="M288">
        <f t="shared" si="70"/>
        <v>0</v>
      </c>
      <c r="N288">
        <v>2</v>
      </c>
      <c r="O288">
        <f t="shared" si="60"/>
        <v>0</v>
      </c>
      <c r="P288">
        <f t="shared" si="61"/>
        <v>0</v>
      </c>
      <c r="Q288">
        <f t="shared" si="62"/>
        <v>1</v>
      </c>
      <c r="R288">
        <f t="shared" si="63"/>
        <v>0</v>
      </c>
      <c r="S288">
        <f t="shared" si="64"/>
        <v>0</v>
      </c>
      <c r="T288">
        <f t="shared" si="71"/>
        <v>0</v>
      </c>
      <c r="V288" t="s">
        <v>39</v>
      </c>
      <c r="W288" t="s">
        <v>39</v>
      </c>
      <c r="X288" t="s">
        <v>46</v>
      </c>
      <c r="Y288" t="s">
        <v>42</v>
      </c>
      <c r="Z288">
        <v>1</v>
      </c>
      <c r="AA288">
        <v>3</v>
      </c>
      <c r="AB288">
        <v>0</v>
      </c>
      <c r="AC288" t="s">
        <v>44</v>
      </c>
      <c r="AD288" t="s">
        <v>43</v>
      </c>
      <c r="AE288">
        <f t="shared" si="72"/>
        <v>1</v>
      </c>
      <c r="AF288" t="s">
        <v>43</v>
      </c>
      <c r="AG288">
        <f t="shared" si="73"/>
        <v>1</v>
      </c>
      <c r="AH288" t="s">
        <v>44</v>
      </c>
      <c r="AI288" t="s">
        <v>43</v>
      </c>
      <c r="AJ288" t="s">
        <v>43</v>
      </c>
      <c r="AK288" t="s">
        <v>43</v>
      </c>
      <c r="AL288">
        <f t="shared" si="74"/>
        <v>1</v>
      </c>
      <c r="AM288" t="s">
        <v>44</v>
      </c>
      <c r="AN288">
        <v>4</v>
      </c>
      <c r="AO288">
        <v>3</v>
      </c>
      <c r="AP288">
        <v>3</v>
      </c>
      <c r="AQ288">
        <v>1</v>
      </c>
      <c r="AR288">
        <v>2</v>
      </c>
      <c r="AS288">
        <v>2</v>
      </c>
      <c r="AT288">
        <v>5</v>
      </c>
      <c r="AV288">
        <v>18</v>
      </c>
      <c r="AW288">
        <v>18</v>
      </c>
      <c r="AX288">
        <v>19</v>
      </c>
    </row>
    <row r="289" spans="1:50" x14ac:dyDescent="0.2">
      <c r="A289" t="s">
        <v>34</v>
      </c>
      <c r="B289" t="s">
        <v>35</v>
      </c>
      <c r="C289">
        <v>17</v>
      </c>
      <c r="D289" t="s">
        <v>36</v>
      </c>
      <c r="E289" t="s">
        <v>37</v>
      </c>
      <c r="F289" t="s">
        <v>45</v>
      </c>
      <c r="G289">
        <f t="shared" si="65"/>
        <v>1</v>
      </c>
      <c r="H289">
        <v>1</v>
      </c>
      <c r="I289">
        <f t="shared" si="66"/>
        <v>0</v>
      </c>
      <c r="J289">
        <f t="shared" si="67"/>
        <v>1</v>
      </c>
      <c r="K289">
        <f t="shared" si="68"/>
        <v>0</v>
      </c>
      <c r="L289">
        <f t="shared" si="69"/>
        <v>0</v>
      </c>
      <c r="M289">
        <f t="shared" si="70"/>
        <v>0</v>
      </c>
      <c r="N289">
        <v>1</v>
      </c>
      <c r="O289">
        <f t="shared" si="60"/>
        <v>0</v>
      </c>
      <c r="P289">
        <f t="shared" si="61"/>
        <v>1</v>
      </c>
      <c r="Q289">
        <f t="shared" si="62"/>
        <v>0</v>
      </c>
      <c r="R289">
        <f t="shared" si="63"/>
        <v>0</v>
      </c>
      <c r="S289">
        <f t="shared" si="64"/>
        <v>0</v>
      </c>
      <c r="T289">
        <f t="shared" si="71"/>
        <v>0</v>
      </c>
      <c r="V289" t="s">
        <v>49</v>
      </c>
      <c r="W289" t="s">
        <v>40</v>
      </c>
      <c r="X289" t="s">
        <v>52</v>
      </c>
      <c r="Y289" t="s">
        <v>42</v>
      </c>
      <c r="Z289">
        <v>1</v>
      </c>
      <c r="AA289">
        <v>3</v>
      </c>
      <c r="AB289">
        <v>0</v>
      </c>
      <c r="AC289" t="s">
        <v>44</v>
      </c>
      <c r="AD289" t="s">
        <v>43</v>
      </c>
      <c r="AE289">
        <f t="shared" si="72"/>
        <v>1</v>
      </c>
      <c r="AF289" t="s">
        <v>43</v>
      </c>
      <c r="AG289">
        <f t="shared" si="73"/>
        <v>1</v>
      </c>
      <c r="AH289" t="s">
        <v>44</v>
      </c>
      <c r="AI289" t="s">
        <v>43</v>
      </c>
      <c r="AJ289" t="s">
        <v>43</v>
      </c>
      <c r="AK289" t="s">
        <v>43</v>
      </c>
      <c r="AL289">
        <f t="shared" si="74"/>
        <v>1</v>
      </c>
      <c r="AM289" t="s">
        <v>44</v>
      </c>
      <c r="AN289">
        <v>4</v>
      </c>
      <c r="AO289">
        <v>3</v>
      </c>
      <c r="AP289">
        <v>3</v>
      </c>
      <c r="AQ289">
        <v>1</v>
      </c>
      <c r="AR289">
        <v>1</v>
      </c>
      <c r="AS289">
        <v>3</v>
      </c>
      <c r="AT289">
        <v>6</v>
      </c>
      <c r="AV289">
        <v>13</v>
      </c>
      <c r="AW289">
        <v>12</v>
      </c>
      <c r="AX289">
        <v>12</v>
      </c>
    </row>
    <row r="290" spans="1:50" x14ac:dyDescent="0.2">
      <c r="A290" t="s">
        <v>34</v>
      </c>
      <c r="B290" t="s">
        <v>51</v>
      </c>
      <c r="C290">
        <v>18</v>
      </c>
      <c r="D290" t="s">
        <v>36</v>
      </c>
      <c r="E290" t="s">
        <v>37</v>
      </c>
      <c r="F290" t="s">
        <v>45</v>
      </c>
      <c r="G290">
        <f t="shared" si="65"/>
        <v>1</v>
      </c>
      <c r="H290">
        <v>2</v>
      </c>
      <c r="I290">
        <f t="shared" si="66"/>
        <v>0</v>
      </c>
      <c r="J290">
        <f t="shared" si="67"/>
        <v>0</v>
      </c>
      <c r="K290">
        <f t="shared" si="68"/>
        <v>1</v>
      </c>
      <c r="L290">
        <f t="shared" si="69"/>
        <v>0</v>
      </c>
      <c r="M290">
        <f t="shared" si="70"/>
        <v>0</v>
      </c>
      <c r="N290">
        <v>1</v>
      </c>
      <c r="O290">
        <f t="shared" si="60"/>
        <v>0</v>
      </c>
      <c r="P290">
        <f t="shared" si="61"/>
        <v>1</v>
      </c>
      <c r="Q290">
        <f t="shared" si="62"/>
        <v>0</v>
      </c>
      <c r="R290">
        <f t="shared" si="63"/>
        <v>0</v>
      </c>
      <c r="S290">
        <f t="shared" si="64"/>
        <v>0</v>
      </c>
      <c r="T290">
        <f t="shared" si="71"/>
        <v>0</v>
      </c>
      <c r="V290" t="s">
        <v>49</v>
      </c>
      <c r="W290" t="s">
        <v>49</v>
      </c>
      <c r="X290" t="s">
        <v>52</v>
      </c>
      <c r="Y290" t="s">
        <v>42</v>
      </c>
      <c r="Z290">
        <v>1</v>
      </c>
      <c r="AA290">
        <v>3</v>
      </c>
      <c r="AB290">
        <v>0</v>
      </c>
      <c r="AC290" t="s">
        <v>44</v>
      </c>
      <c r="AD290" t="s">
        <v>44</v>
      </c>
      <c r="AE290">
        <f t="shared" si="72"/>
        <v>0</v>
      </c>
      <c r="AF290" t="s">
        <v>43</v>
      </c>
      <c r="AG290">
        <f t="shared" si="73"/>
        <v>1</v>
      </c>
      <c r="AH290" t="s">
        <v>43</v>
      </c>
      <c r="AI290" t="s">
        <v>43</v>
      </c>
      <c r="AJ290" t="s">
        <v>43</v>
      </c>
      <c r="AK290" t="s">
        <v>43</v>
      </c>
      <c r="AL290">
        <f t="shared" si="74"/>
        <v>1</v>
      </c>
      <c r="AM290" t="s">
        <v>44</v>
      </c>
      <c r="AN290">
        <v>4</v>
      </c>
      <c r="AO290">
        <v>2</v>
      </c>
      <c r="AP290">
        <v>4</v>
      </c>
      <c r="AQ290">
        <v>1</v>
      </c>
      <c r="AR290">
        <v>3</v>
      </c>
      <c r="AS290">
        <v>2</v>
      </c>
      <c r="AT290">
        <v>6</v>
      </c>
      <c r="AV290">
        <v>15</v>
      </c>
      <c r="AW290">
        <v>14</v>
      </c>
      <c r="AX290">
        <v>14</v>
      </c>
    </row>
    <row r="291" spans="1:50" x14ac:dyDescent="0.2">
      <c r="A291" t="s">
        <v>34</v>
      </c>
      <c r="B291" t="s">
        <v>51</v>
      </c>
      <c r="C291">
        <v>18</v>
      </c>
      <c r="D291" t="s">
        <v>36</v>
      </c>
      <c r="E291" t="s">
        <v>48</v>
      </c>
      <c r="F291" t="s">
        <v>38</v>
      </c>
      <c r="G291">
        <f t="shared" si="65"/>
        <v>0</v>
      </c>
      <c r="H291">
        <v>4</v>
      </c>
      <c r="I291">
        <f t="shared" si="66"/>
        <v>0</v>
      </c>
      <c r="J291">
        <f t="shared" si="67"/>
        <v>0</v>
      </c>
      <c r="K291">
        <f t="shared" si="68"/>
        <v>0</v>
      </c>
      <c r="L291">
        <f t="shared" si="69"/>
        <v>0</v>
      </c>
      <c r="M291">
        <f t="shared" si="70"/>
        <v>1</v>
      </c>
      <c r="N291">
        <v>4</v>
      </c>
      <c r="O291">
        <f t="shared" si="60"/>
        <v>0</v>
      </c>
      <c r="P291">
        <f t="shared" si="61"/>
        <v>0</v>
      </c>
      <c r="Q291">
        <f t="shared" si="62"/>
        <v>0</v>
      </c>
      <c r="R291">
        <f t="shared" si="63"/>
        <v>0</v>
      </c>
      <c r="S291">
        <f t="shared" si="64"/>
        <v>1</v>
      </c>
      <c r="T291">
        <f t="shared" si="71"/>
        <v>1</v>
      </c>
      <c r="V291" t="s">
        <v>40</v>
      </c>
      <c r="W291" t="s">
        <v>40</v>
      </c>
      <c r="X291" t="s">
        <v>52</v>
      </c>
      <c r="Y291" t="s">
        <v>42</v>
      </c>
      <c r="Z291">
        <v>1</v>
      </c>
      <c r="AA291">
        <v>2</v>
      </c>
      <c r="AB291">
        <v>0</v>
      </c>
      <c r="AC291" t="s">
        <v>44</v>
      </c>
      <c r="AD291" t="s">
        <v>43</v>
      </c>
      <c r="AE291">
        <f t="shared" si="72"/>
        <v>1</v>
      </c>
      <c r="AF291" t="s">
        <v>43</v>
      </c>
      <c r="AG291">
        <f t="shared" si="73"/>
        <v>1</v>
      </c>
      <c r="AH291" t="s">
        <v>43</v>
      </c>
      <c r="AI291" t="s">
        <v>43</v>
      </c>
      <c r="AJ291" t="s">
        <v>43</v>
      </c>
      <c r="AK291" t="s">
        <v>43</v>
      </c>
      <c r="AL291">
        <f t="shared" si="74"/>
        <v>1</v>
      </c>
      <c r="AM291" t="s">
        <v>44</v>
      </c>
      <c r="AN291">
        <v>5</v>
      </c>
      <c r="AO291">
        <v>4</v>
      </c>
      <c r="AP291">
        <v>3</v>
      </c>
      <c r="AQ291">
        <v>1</v>
      </c>
      <c r="AR291">
        <v>1</v>
      </c>
      <c r="AS291">
        <v>2</v>
      </c>
      <c r="AT291">
        <v>9</v>
      </c>
      <c r="AV291">
        <v>15</v>
      </c>
      <c r="AW291">
        <v>13</v>
      </c>
      <c r="AX291">
        <v>15</v>
      </c>
    </row>
    <row r="292" spans="1:50" x14ac:dyDescent="0.2">
      <c r="A292" t="s">
        <v>34</v>
      </c>
      <c r="B292" t="s">
        <v>51</v>
      </c>
      <c r="C292">
        <v>18</v>
      </c>
      <c r="D292" t="s">
        <v>36</v>
      </c>
      <c r="E292" t="s">
        <v>37</v>
      </c>
      <c r="F292" t="s">
        <v>45</v>
      </c>
      <c r="G292">
        <f t="shared" si="65"/>
        <v>1</v>
      </c>
      <c r="H292">
        <v>4</v>
      </c>
      <c r="I292">
        <f t="shared" si="66"/>
        <v>0</v>
      </c>
      <c r="J292">
        <f t="shared" si="67"/>
        <v>0</v>
      </c>
      <c r="K292">
        <f t="shared" si="68"/>
        <v>0</v>
      </c>
      <c r="L292">
        <f t="shared" si="69"/>
        <v>0</v>
      </c>
      <c r="M292">
        <f t="shared" si="70"/>
        <v>1</v>
      </c>
      <c r="N292">
        <v>2</v>
      </c>
      <c r="O292">
        <f t="shared" si="60"/>
        <v>0</v>
      </c>
      <c r="P292">
        <f t="shared" si="61"/>
        <v>0</v>
      </c>
      <c r="Q292">
        <f t="shared" si="62"/>
        <v>1</v>
      </c>
      <c r="R292">
        <f t="shared" si="63"/>
        <v>0</v>
      </c>
      <c r="S292">
        <f t="shared" si="64"/>
        <v>0</v>
      </c>
      <c r="T292">
        <f t="shared" si="71"/>
        <v>0</v>
      </c>
      <c r="V292" t="s">
        <v>40</v>
      </c>
      <c r="W292" t="s">
        <v>46</v>
      </c>
      <c r="X292" t="s">
        <v>50</v>
      </c>
      <c r="Y292" t="s">
        <v>42</v>
      </c>
      <c r="Z292">
        <v>1</v>
      </c>
      <c r="AA292">
        <v>2</v>
      </c>
      <c r="AB292">
        <v>0</v>
      </c>
      <c r="AC292" t="s">
        <v>44</v>
      </c>
      <c r="AD292" t="s">
        <v>43</v>
      </c>
      <c r="AE292">
        <f t="shared" si="72"/>
        <v>1</v>
      </c>
      <c r="AF292" t="s">
        <v>43</v>
      </c>
      <c r="AG292">
        <f t="shared" si="73"/>
        <v>1</v>
      </c>
      <c r="AH292" t="s">
        <v>43</v>
      </c>
      <c r="AI292" t="s">
        <v>43</v>
      </c>
      <c r="AJ292" t="s">
        <v>43</v>
      </c>
      <c r="AK292" t="s">
        <v>43</v>
      </c>
      <c r="AL292">
        <f t="shared" si="74"/>
        <v>1</v>
      </c>
      <c r="AM292" t="s">
        <v>43</v>
      </c>
      <c r="AN292">
        <v>4</v>
      </c>
      <c r="AO292">
        <v>3</v>
      </c>
      <c r="AP292">
        <v>2</v>
      </c>
      <c r="AQ292">
        <v>1</v>
      </c>
      <c r="AR292">
        <v>4</v>
      </c>
      <c r="AS292">
        <v>5</v>
      </c>
      <c r="AT292">
        <v>11</v>
      </c>
      <c r="AV292">
        <v>12</v>
      </c>
      <c r="AW292">
        <v>11</v>
      </c>
      <c r="AX292">
        <v>11</v>
      </c>
    </row>
    <row r="293" spans="1:50" x14ac:dyDescent="0.2">
      <c r="A293" t="s">
        <v>34</v>
      </c>
      <c r="B293" t="s">
        <v>35</v>
      </c>
      <c r="C293">
        <v>17</v>
      </c>
      <c r="D293" t="s">
        <v>36</v>
      </c>
      <c r="E293" t="s">
        <v>37</v>
      </c>
      <c r="F293" t="s">
        <v>45</v>
      </c>
      <c r="G293">
        <f t="shared" si="65"/>
        <v>1</v>
      </c>
      <c r="H293">
        <v>4</v>
      </c>
      <c r="I293">
        <f t="shared" si="66"/>
        <v>0</v>
      </c>
      <c r="J293">
        <f t="shared" si="67"/>
        <v>0</v>
      </c>
      <c r="K293">
        <f t="shared" si="68"/>
        <v>0</v>
      </c>
      <c r="L293">
        <f t="shared" si="69"/>
        <v>0</v>
      </c>
      <c r="M293">
        <f t="shared" si="70"/>
        <v>1</v>
      </c>
      <c r="N293">
        <v>3</v>
      </c>
      <c r="O293">
        <f t="shared" si="60"/>
        <v>0</v>
      </c>
      <c r="P293">
        <f t="shared" si="61"/>
        <v>0</v>
      </c>
      <c r="Q293">
        <f t="shared" si="62"/>
        <v>0</v>
      </c>
      <c r="R293">
        <f t="shared" si="63"/>
        <v>1</v>
      </c>
      <c r="S293">
        <f t="shared" si="64"/>
        <v>0</v>
      </c>
      <c r="T293">
        <f t="shared" si="71"/>
        <v>0</v>
      </c>
      <c r="V293" t="s">
        <v>29</v>
      </c>
      <c r="W293" t="s">
        <v>49</v>
      </c>
      <c r="X293" t="s">
        <v>52</v>
      </c>
      <c r="Y293" t="s">
        <v>42</v>
      </c>
      <c r="Z293">
        <v>1</v>
      </c>
      <c r="AA293">
        <v>3</v>
      </c>
      <c r="AB293">
        <v>0</v>
      </c>
      <c r="AC293" t="s">
        <v>44</v>
      </c>
      <c r="AD293" t="s">
        <v>43</v>
      </c>
      <c r="AE293">
        <f t="shared" si="72"/>
        <v>1</v>
      </c>
      <c r="AF293" t="s">
        <v>43</v>
      </c>
      <c r="AG293">
        <f t="shared" si="73"/>
        <v>1</v>
      </c>
      <c r="AH293" t="s">
        <v>44</v>
      </c>
      <c r="AI293" t="s">
        <v>43</v>
      </c>
      <c r="AJ293" t="s">
        <v>43</v>
      </c>
      <c r="AK293" t="s">
        <v>43</v>
      </c>
      <c r="AL293">
        <f t="shared" si="74"/>
        <v>1</v>
      </c>
      <c r="AM293" t="s">
        <v>44</v>
      </c>
      <c r="AN293">
        <v>4</v>
      </c>
      <c r="AO293">
        <v>2</v>
      </c>
      <c r="AP293">
        <v>2</v>
      </c>
      <c r="AQ293">
        <v>1</v>
      </c>
      <c r="AR293">
        <v>2</v>
      </c>
      <c r="AS293">
        <v>3</v>
      </c>
      <c r="AT293">
        <v>0</v>
      </c>
      <c r="AV293">
        <v>15</v>
      </c>
      <c r="AW293">
        <v>15</v>
      </c>
      <c r="AX293">
        <v>15</v>
      </c>
    </row>
    <row r="294" spans="1:50" x14ac:dyDescent="0.2">
      <c r="A294" t="s">
        <v>34</v>
      </c>
      <c r="B294" t="s">
        <v>35</v>
      </c>
      <c r="C294">
        <v>18</v>
      </c>
      <c r="D294" t="s">
        <v>36</v>
      </c>
      <c r="E294" t="s">
        <v>48</v>
      </c>
      <c r="F294" t="s">
        <v>45</v>
      </c>
      <c r="G294">
        <f t="shared" si="65"/>
        <v>1</v>
      </c>
      <c r="H294">
        <v>2</v>
      </c>
      <c r="I294">
        <f t="shared" si="66"/>
        <v>0</v>
      </c>
      <c r="J294">
        <f t="shared" si="67"/>
        <v>0</v>
      </c>
      <c r="K294">
        <f t="shared" si="68"/>
        <v>1</v>
      </c>
      <c r="L294">
        <f t="shared" si="69"/>
        <v>0</v>
      </c>
      <c r="M294">
        <f t="shared" si="70"/>
        <v>0</v>
      </c>
      <c r="N294">
        <v>1</v>
      </c>
      <c r="O294">
        <f t="shared" si="60"/>
        <v>0</v>
      </c>
      <c r="P294">
        <f t="shared" si="61"/>
        <v>1</v>
      </c>
      <c r="Q294">
        <f t="shared" si="62"/>
        <v>0</v>
      </c>
      <c r="R294">
        <f t="shared" si="63"/>
        <v>0</v>
      </c>
      <c r="S294">
        <f t="shared" si="64"/>
        <v>0</v>
      </c>
      <c r="T294">
        <f t="shared" si="71"/>
        <v>0</v>
      </c>
      <c r="V294" t="s">
        <v>49</v>
      </c>
      <c r="W294" t="s">
        <v>39</v>
      </c>
      <c r="X294" t="s">
        <v>52</v>
      </c>
      <c r="Y294" t="s">
        <v>42</v>
      </c>
      <c r="Z294">
        <v>1</v>
      </c>
      <c r="AA294">
        <v>2</v>
      </c>
      <c r="AB294">
        <v>1</v>
      </c>
      <c r="AC294" t="s">
        <v>44</v>
      </c>
      <c r="AD294" t="s">
        <v>44</v>
      </c>
      <c r="AE294">
        <f t="shared" si="72"/>
        <v>0</v>
      </c>
      <c r="AF294" t="s">
        <v>44</v>
      </c>
      <c r="AG294">
        <f t="shared" si="73"/>
        <v>0</v>
      </c>
      <c r="AH294" t="s">
        <v>44</v>
      </c>
      <c r="AI294" t="s">
        <v>43</v>
      </c>
      <c r="AJ294" t="s">
        <v>43</v>
      </c>
      <c r="AK294" t="s">
        <v>43</v>
      </c>
      <c r="AL294">
        <f t="shared" si="74"/>
        <v>1</v>
      </c>
      <c r="AM294" t="s">
        <v>43</v>
      </c>
      <c r="AN294">
        <v>5</v>
      </c>
      <c r="AO294">
        <v>4</v>
      </c>
      <c r="AP294">
        <v>3</v>
      </c>
      <c r="AQ294">
        <v>1</v>
      </c>
      <c r="AR294">
        <v>1</v>
      </c>
      <c r="AS294">
        <v>5</v>
      </c>
      <c r="AT294">
        <v>12</v>
      </c>
      <c r="AV294">
        <v>12</v>
      </c>
      <c r="AW294">
        <v>12</v>
      </c>
      <c r="AX294">
        <v>13</v>
      </c>
    </row>
    <row r="295" spans="1:50" x14ac:dyDescent="0.2">
      <c r="A295" t="s">
        <v>34</v>
      </c>
      <c r="B295" t="s">
        <v>35</v>
      </c>
      <c r="C295">
        <v>17</v>
      </c>
      <c r="D295" t="s">
        <v>53</v>
      </c>
      <c r="E295" t="s">
        <v>48</v>
      </c>
      <c r="F295" t="s">
        <v>45</v>
      </c>
      <c r="G295">
        <f t="shared" si="65"/>
        <v>1</v>
      </c>
      <c r="H295">
        <v>3</v>
      </c>
      <c r="I295">
        <f t="shared" si="66"/>
        <v>0</v>
      </c>
      <c r="J295">
        <f t="shared" si="67"/>
        <v>0</v>
      </c>
      <c r="K295">
        <f t="shared" si="68"/>
        <v>0</v>
      </c>
      <c r="L295">
        <f t="shared" si="69"/>
        <v>1</v>
      </c>
      <c r="M295">
        <f t="shared" si="70"/>
        <v>0</v>
      </c>
      <c r="N295">
        <v>1</v>
      </c>
      <c r="O295">
        <f t="shared" si="60"/>
        <v>0</v>
      </c>
      <c r="P295">
        <f t="shared" si="61"/>
        <v>1</v>
      </c>
      <c r="Q295">
        <f t="shared" si="62"/>
        <v>0</v>
      </c>
      <c r="R295">
        <f t="shared" si="63"/>
        <v>0</v>
      </c>
      <c r="S295">
        <f t="shared" si="64"/>
        <v>0</v>
      </c>
      <c r="T295">
        <f t="shared" si="71"/>
        <v>0</v>
      </c>
      <c r="V295" t="s">
        <v>49</v>
      </c>
      <c r="W295" t="s">
        <v>46</v>
      </c>
      <c r="X295" t="s">
        <v>52</v>
      </c>
      <c r="Y295" t="s">
        <v>42</v>
      </c>
      <c r="Z295">
        <v>2</v>
      </c>
      <c r="AA295">
        <v>4</v>
      </c>
      <c r="AB295">
        <v>0</v>
      </c>
      <c r="AC295" t="s">
        <v>44</v>
      </c>
      <c r="AD295" t="s">
        <v>43</v>
      </c>
      <c r="AE295">
        <f t="shared" si="72"/>
        <v>1</v>
      </c>
      <c r="AF295" t="s">
        <v>43</v>
      </c>
      <c r="AG295">
        <f t="shared" si="73"/>
        <v>1</v>
      </c>
      <c r="AH295" t="s">
        <v>44</v>
      </c>
      <c r="AI295" t="s">
        <v>43</v>
      </c>
      <c r="AJ295" t="s">
        <v>43</v>
      </c>
      <c r="AK295" t="s">
        <v>44</v>
      </c>
      <c r="AL295">
        <f t="shared" si="74"/>
        <v>0</v>
      </c>
      <c r="AM295" t="s">
        <v>44</v>
      </c>
      <c r="AN295">
        <v>3</v>
      </c>
      <c r="AO295">
        <v>1</v>
      </c>
      <c r="AP295">
        <v>2</v>
      </c>
      <c r="AQ295">
        <v>1</v>
      </c>
      <c r="AR295">
        <v>1</v>
      </c>
      <c r="AS295">
        <v>3</v>
      </c>
      <c r="AT295">
        <v>6</v>
      </c>
      <c r="AV295">
        <v>18</v>
      </c>
      <c r="AW295">
        <v>18</v>
      </c>
      <c r="AX295">
        <v>18</v>
      </c>
    </row>
    <row r="296" spans="1:50" x14ac:dyDescent="0.2">
      <c r="A296" t="s">
        <v>34</v>
      </c>
      <c r="B296" t="s">
        <v>51</v>
      </c>
      <c r="C296">
        <v>18</v>
      </c>
      <c r="D296" t="s">
        <v>53</v>
      </c>
      <c r="E296" t="s">
        <v>48</v>
      </c>
      <c r="F296" t="s">
        <v>45</v>
      </c>
      <c r="G296">
        <f t="shared" si="65"/>
        <v>1</v>
      </c>
      <c r="H296">
        <v>3</v>
      </c>
      <c r="I296">
        <f t="shared" si="66"/>
        <v>0</v>
      </c>
      <c r="J296">
        <f t="shared" si="67"/>
        <v>0</v>
      </c>
      <c r="K296">
        <f t="shared" si="68"/>
        <v>0</v>
      </c>
      <c r="L296">
        <f t="shared" si="69"/>
        <v>1</v>
      </c>
      <c r="M296">
        <f t="shared" si="70"/>
        <v>0</v>
      </c>
      <c r="N296">
        <v>2</v>
      </c>
      <c r="O296">
        <f t="shared" si="60"/>
        <v>0</v>
      </c>
      <c r="P296">
        <f t="shared" si="61"/>
        <v>0</v>
      </c>
      <c r="Q296">
        <f t="shared" si="62"/>
        <v>1</v>
      </c>
      <c r="R296">
        <f t="shared" si="63"/>
        <v>0</v>
      </c>
      <c r="S296">
        <f t="shared" si="64"/>
        <v>0</v>
      </c>
      <c r="T296">
        <f t="shared" si="71"/>
        <v>0</v>
      </c>
      <c r="V296" t="s">
        <v>49</v>
      </c>
      <c r="W296" t="s">
        <v>46</v>
      </c>
      <c r="X296" t="s">
        <v>52</v>
      </c>
      <c r="Y296" t="s">
        <v>42</v>
      </c>
      <c r="Z296">
        <v>2</v>
      </c>
      <c r="AA296">
        <v>3</v>
      </c>
      <c r="AB296">
        <v>0</v>
      </c>
      <c r="AC296" t="s">
        <v>44</v>
      </c>
      <c r="AD296" t="s">
        <v>43</v>
      </c>
      <c r="AE296">
        <f t="shared" si="72"/>
        <v>1</v>
      </c>
      <c r="AF296" t="s">
        <v>43</v>
      </c>
      <c r="AG296">
        <f t="shared" si="73"/>
        <v>1</v>
      </c>
      <c r="AH296" t="s">
        <v>43</v>
      </c>
      <c r="AI296" t="s">
        <v>43</v>
      </c>
      <c r="AJ296" t="s">
        <v>43</v>
      </c>
      <c r="AK296" t="s">
        <v>43</v>
      </c>
      <c r="AL296">
        <f t="shared" si="74"/>
        <v>1</v>
      </c>
      <c r="AM296" t="s">
        <v>44</v>
      </c>
      <c r="AN296">
        <v>5</v>
      </c>
      <c r="AO296">
        <v>4</v>
      </c>
      <c r="AP296">
        <v>2</v>
      </c>
      <c r="AQ296">
        <v>1</v>
      </c>
      <c r="AR296">
        <v>1</v>
      </c>
      <c r="AS296">
        <v>4</v>
      </c>
      <c r="AT296">
        <v>8</v>
      </c>
      <c r="AV296">
        <v>14</v>
      </c>
      <c r="AW296">
        <v>13</v>
      </c>
      <c r="AX296">
        <v>14</v>
      </c>
    </row>
    <row r="297" spans="1:50" x14ac:dyDescent="0.2">
      <c r="A297" t="s">
        <v>34</v>
      </c>
      <c r="B297" t="s">
        <v>51</v>
      </c>
      <c r="C297">
        <v>17</v>
      </c>
      <c r="D297" t="s">
        <v>36</v>
      </c>
      <c r="E297" t="s">
        <v>37</v>
      </c>
      <c r="F297" t="s">
        <v>45</v>
      </c>
      <c r="G297">
        <f t="shared" si="65"/>
        <v>1</v>
      </c>
      <c r="H297">
        <v>3</v>
      </c>
      <c r="I297">
        <f t="shared" si="66"/>
        <v>0</v>
      </c>
      <c r="J297">
        <f t="shared" si="67"/>
        <v>0</v>
      </c>
      <c r="K297">
        <f t="shared" si="68"/>
        <v>0</v>
      </c>
      <c r="L297">
        <f t="shared" si="69"/>
        <v>1</v>
      </c>
      <c r="M297">
        <f t="shared" si="70"/>
        <v>0</v>
      </c>
      <c r="N297">
        <v>3</v>
      </c>
      <c r="O297">
        <f t="shared" si="60"/>
        <v>0</v>
      </c>
      <c r="P297">
        <f t="shared" si="61"/>
        <v>0</v>
      </c>
      <c r="Q297">
        <f t="shared" si="62"/>
        <v>0</v>
      </c>
      <c r="R297">
        <f t="shared" si="63"/>
        <v>1</v>
      </c>
      <c r="S297">
        <f t="shared" si="64"/>
        <v>0</v>
      </c>
      <c r="T297">
        <f t="shared" si="71"/>
        <v>0</v>
      </c>
      <c r="V297" t="s">
        <v>29</v>
      </c>
      <c r="W297" t="s">
        <v>46</v>
      </c>
      <c r="X297" t="s">
        <v>50</v>
      </c>
      <c r="Y297" t="s">
        <v>42</v>
      </c>
      <c r="Z297">
        <v>1</v>
      </c>
      <c r="AA297">
        <v>1</v>
      </c>
      <c r="AB297">
        <v>0</v>
      </c>
      <c r="AC297" t="s">
        <v>44</v>
      </c>
      <c r="AD297" t="s">
        <v>43</v>
      </c>
      <c r="AE297">
        <f t="shared" si="72"/>
        <v>1</v>
      </c>
      <c r="AF297" t="s">
        <v>43</v>
      </c>
      <c r="AG297">
        <f t="shared" si="73"/>
        <v>1</v>
      </c>
      <c r="AH297" t="s">
        <v>44</v>
      </c>
      <c r="AI297" t="s">
        <v>43</v>
      </c>
      <c r="AJ297" t="s">
        <v>43</v>
      </c>
      <c r="AK297" t="s">
        <v>43</v>
      </c>
      <c r="AL297">
        <f t="shared" si="74"/>
        <v>1</v>
      </c>
      <c r="AM297" t="s">
        <v>44</v>
      </c>
      <c r="AN297">
        <v>4</v>
      </c>
      <c r="AO297">
        <v>4</v>
      </c>
      <c r="AP297">
        <v>3</v>
      </c>
      <c r="AQ297">
        <v>1</v>
      </c>
      <c r="AR297">
        <v>3</v>
      </c>
      <c r="AS297">
        <v>5</v>
      </c>
      <c r="AT297">
        <v>4</v>
      </c>
      <c r="AV297">
        <v>14</v>
      </c>
      <c r="AW297">
        <v>12</v>
      </c>
      <c r="AX297">
        <v>11</v>
      </c>
    </row>
    <row r="298" spans="1:50" x14ac:dyDescent="0.2">
      <c r="A298" t="s">
        <v>34</v>
      </c>
      <c r="B298" t="s">
        <v>35</v>
      </c>
      <c r="C298">
        <v>19</v>
      </c>
      <c r="D298" t="s">
        <v>36</v>
      </c>
      <c r="E298" t="s">
        <v>37</v>
      </c>
      <c r="F298" t="s">
        <v>45</v>
      </c>
      <c r="G298">
        <f t="shared" si="65"/>
        <v>1</v>
      </c>
      <c r="H298">
        <v>4</v>
      </c>
      <c r="I298">
        <f t="shared" si="66"/>
        <v>0</v>
      </c>
      <c r="J298">
        <f t="shared" si="67"/>
        <v>0</v>
      </c>
      <c r="K298">
        <f t="shared" si="68"/>
        <v>0</v>
      </c>
      <c r="L298">
        <f t="shared" si="69"/>
        <v>0</v>
      </c>
      <c r="M298">
        <f t="shared" si="70"/>
        <v>1</v>
      </c>
      <c r="N298">
        <v>4</v>
      </c>
      <c r="O298">
        <f t="shared" si="60"/>
        <v>0</v>
      </c>
      <c r="P298">
        <f t="shared" si="61"/>
        <v>0</v>
      </c>
      <c r="Q298">
        <f t="shared" si="62"/>
        <v>0</v>
      </c>
      <c r="R298">
        <f t="shared" si="63"/>
        <v>0</v>
      </c>
      <c r="S298">
        <f t="shared" si="64"/>
        <v>1</v>
      </c>
      <c r="T298">
        <f t="shared" si="71"/>
        <v>1</v>
      </c>
      <c r="V298" t="s">
        <v>29</v>
      </c>
      <c r="W298" t="s">
        <v>46</v>
      </c>
      <c r="X298" t="s">
        <v>52</v>
      </c>
      <c r="Y298" t="s">
        <v>46</v>
      </c>
      <c r="Z298">
        <v>2</v>
      </c>
      <c r="AA298">
        <v>2</v>
      </c>
      <c r="AB298">
        <v>0</v>
      </c>
      <c r="AC298" t="s">
        <v>44</v>
      </c>
      <c r="AD298" t="s">
        <v>43</v>
      </c>
      <c r="AE298">
        <f t="shared" si="72"/>
        <v>1</v>
      </c>
      <c r="AF298" t="s">
        <v>43</v>
      </c>
      <c r="AG298">
        <f t="shared" si="73"/>
        <v>1</v>
      </c>
      <c r="AH298" t="s">
        <v>43</v>
      </c>
      <c r="AI298" t="s">
        <v>43</v>
      </c>
      <c r="AJ298" t="s">
        <v>43</v>
      </c>
      <c r="AK298" t="s">
        <v>43</v>
      </c>
      <c r="AL298">
        <f t="shared" si="74"/>
        <v>1</v>
      </c>
      <c r="AM298" t="s">
        <v>44</v>
      </c>
      <c r="AN298">
        <v>2</v>
      </c>
      <c r="AO298">
        <v>3</v>
      </c>
      <c r="AP298">
        <v>4</v>
      </c>
      <c r="AQ298">
        <v>2</v>
      </c>
      <c r="AR298">
        <v>3</v>
      </c>
      <c r="AS298">
        <v>2</v>
      </c>
      <c r="AT298">
        <v>0</v>
      </c>
      <c r="AV298">
        <v>10</v>
      </c>
      <c r="AW298">
        <v>9</v>
      </c>
      <c r="AX298">
        <v>0</v>
      </c>
    </row>
    <row r="299" spans="1:50" x14ac:dyDescent="0.2">
      <c r="A299" t="s">
        <v>34</v>
      </c>
      <c r="B299" t="s">
        <v>35</v>
      </c>
      <c r="C299">
        <v>18</v>
      </c>
      <c r="D299" t="s">
        <v>36</v>
      </c>
      <c r="E299" t="s">
        <v>48</v>
      </c>
      <c r="F299" t="s">
        <v>45</v>
      </c>
      <c r="G299">
        <f t="shared" si="65"/>
        <v>1</v>
      </c>
      <c r="H299">
        <v>4</v>
      </c>
      <c r="I299">
        <f t="shared" si="66"/>
        <v>0</v>
      </c>
      <c r="J299">
        <f t="shared" si="67"/>
        <v>0</v>
      </c>
      <c r="K299">
        <f t="shared" si="68"/>
        <v>0</v>
      </c>
      <c r="L299">
        <f t="shared" si="69"/>
        <v>0</v>
      </c>
      <c r="M299">
        <f t="shared" si="70"/>
        <v>1</v>
      </c>
      <c r="N299">
        <v>3</v>
      </c>
      <c r="O299">
        <f t="shared" si="60"/>
        <v>0</v>
      </c>
      <c r="P299">
        <f t="shared" si="61"/>
        <v>0</v>
      </c>
      <c r="Q299">
        <f t="shared" si="62"/>
        <v>0</v>
      </c>
      <c r="R299">
        <f t="shared" si="63"/>
        <v>1</v>
      </c>
      <c r="S299">
        <f t="shared" si="64"/>
        <v>0</v>
      </c>
      <c r="T299">
        <f t="shared" si="71"/>
        <v>0</v>
      </c>
      <c r="V299" t="s">
        <v>46</v>
      </c>
      <c r="W299" t="s">
        <v>46</v>
      </c>
      <c r="X299" t="s">
        <v>50</v>
      </c>
      <c r="Y299" t="s">
        <v>46</v>
      </c>
      <c r="Z299">
        <v>2</v>
      </c>
      <c r="AA299">
        <v>2</v>
      </c>
      <c r="AB299">
        <v>0</v>
      </c>
      <c r="AC299" t="s">
        <v>44</v>
      </c>
      <c r="AD299" t="s">
        <v>43</v>
      </c>
      <c r="AE299">
        <f t="shared" si="72"/>
        <v>1</v>
      </c>
      <c r="AF299" t="s">
        <v>43</v>
      </c>
      <c r="AG299">
        <f t="shared" si="73"/>
        <v>1</v>
      </c>
      <c r="AH299" t="s">
        <v>44</v>
      </c>
      <c r="AI299" t="s">
        <v>43</v>
      </c>
      <c r="AJ299" t="s">
        <v>43</v>
      </c>
      <c r="AK299" t="s">
        <v>43</v>
      </c>
      <c r="AL299">
        <f t="shared" si="74"/>
        <v>1</v>
      </c>
      <c r="AM299" t="s">
        <v>43</v>
      </c>
      <c r="AN299">
        <v>4</v>
      </c>
      <c r="AO299">
        <v>4</v>
      </c>
      <c r="AP299">
        <v>5</v>
      </c>
      <c r="AQ299">
        <v>1</v>
      </c>
      <c r="AR299">
        <v>2</v>
      </c>
      <c r="AS299">
        <v>2</v>
      </c>
      <c r="AT299">
        <v>10</v>
      </c>
      <c r="AV299">
        <v>10</v>
      </c>
      <c r="AW299">
        <v>8</v>
      </c>
      <c r="AX299">
        <v>8</v>
      </c>
    </row>
    <row r="300" spans="1:50" x14ac:dyDescent="0.2">
      <c r="A300" t="s">
        <v>34</v>
      </c>
      <c r="B300" t="s">
        <v>35</v>
      </c>
      <c r="C300">
        <v>18</v>
      </c>
      <c r="D300" t="s">
        <v>36</v>
      </c>
      <c r="E300" t="s">
        <v>37</v>
      </c>
      <c r="F300" t="s">
        <v>45</v>
      </c>
      <c r="G300">
        <f t="shared" si="65"/>
        <v>1</v>
      </c>
      <c r="H300">
        <v>4</v>
      </c>
      <c r="I300">
        <f t="shared" si="66"/>
        <v>0</v>
      </c>
      <c r="J300">
        <f t="shared" si="67"/>
        <v>0</v>
      </c>
      <c r="K300">
        <f t="shared" si="68"/>
        <v>0</v>
      </c>
      <c r="L300">
        <f t="shared" si="69"/>
        <v>0</v>
      </c>
      <c r="M300">
        <f t="shared" si="70"/>
        <v>1</v>
      </c>
      <c r="N300">
        <v>3</v>
      </c>
      <c r="O300">
        <f t="shared" si="60"/>
        <v>0</v>
      </c>
      <c r="P300">
        <f t="shared" si="61"/>
        <v>0</v>
      </c>
      <c r="Q300">
        <f t="shared" si="62"/>
        <v>0</v>
      </c>
      <c r="R300">
        <f t="shared" si="63"/>
        <v>1</v>
      </c>
      <c r="S300">
        <f t="shared" si="64"/>
        <v>0</v>
      </c>
      <c r="T300">
        <f t="shared" si="71"/>
        <v>0</v>
      </c>
      <c r="V300" t="s">
        <v>46</v>
      </c>
      <c r="W300" t="s">
        <v>46</v>
      </c>
      <c r="X300" t="s">
        <v>52</v>
      </c>
      <c r="Y300" t="s">
        <v>47</v>
      </c>
      <c r="Z300">
        <v>1</v>
      </c>
      <c r="AA300">
        <v>4</v>
      </c>
      <c r="AB300">
        <v>0</v>
      </c>
      <c r="AC300" t="s">
        <v>44</v>
      </c>
      <c r="AD300" t="s">
        <v>43</v>
      </c>
      <c r="AE300">
        <f t="shared" si="72"/>
        <v>1</v>
      </c>
      <c r="AF300" t="s">
        <v>43</v>
      </c>
      <c r="AG300">
        <f t="shared" si="73"/>
        <v>1</v>
      </c>
      <c r="AH300" t="s">
        <v>44</v>
      </c>
      <c r="AI300" t="s">
        <v>43</v>
      </c>
      <c r="AJ300" t="s">
        <v>43</v>
      </c>
      <c r="AK300" t="s">
        <v>43</v>
      </c>
      <c r="AL300">
        <f t="shared" si="74"/>
        <v>1</v>
      </c>
      <c r="AM300" t="s">
        <v>44</v>
      </c>
      <c r="AN300">
        <v>4</v>
      </c>
      <c r="AO300">
        <v>3</v>
      </c>
      <c r="AP300">
        <v>3</v>
      </c>
      <c r="AQ300">
        <v>1</v>
      </c>
      <c r="AR300">
        <v>1</v>
      </c>
      <c r="AS300">
        <v>3</v>
      </c>
      <c r="AT300">
        <v>0</v>
      </c>
      <c r="AV300">
        <v>14</v>
      </c>
      <c r="AW300">
        <v>13</v>
      </c>
      <c r="AX300">
        <v>14</v>
      </c>
    </row>
    <row r="301" spans="1:50" x14ac:dyDescent="0.2">
      <c r="A301" t="s">
        <v>34</v>
      </c>
      <c r="B301" t="s">
        <v>51</v>
      </c>
      <c r="C301">
        <v>18</v>
      </c>
      <c r="D301" t="s">
        <v>36</v>
      </c>
      <c r="E301" t="s">
        <v>48</v>
      </c>
      <c r="F301" t="s">
        <v>45</v>
      </c>
      <c r="G301">
        <f t="shared" si="65"/>
        <v>1</v>
      </c>
      <c r="H301">
        <v>4</v>
      </c>
      <c r="I301">
        <f t="shared" si="66"/>
        <v>0</v>
      </c>
      <c r="J301">
        <f t="shared" si="67"/>
        <v>0</v>
      </c>
      <c r="K301">
        <f t="shared" si="68"/>
        <v>0</v>
      </c>
      <c r="L301">
        <f t="shared" si="69"/>
        <v>0</v>
      </c>
      <c r="M301">
        <f t="shared" si="70"/>
        <v>1</v>
      </c>
      <c r="N301">
        <v>4</v>
      </c>
      <c r="O301">
        <f t="shared" si="60"/>
        <v>0</v>
      </c>
      <c r="P301">
        <f t="shared" si="61"/>
        <v>0</v>
      </c>
      <c r="Q301">
        <f t="shared" si="62"/>
        <v>0</v>
      </c>
      <c r="R301">
        <f t="shared" si="63"/>
        <v>0</v>
      </c>
      <c r="S301">
        <f t="shared" si="64"/>
        <v>1</v>
      </c>
      <c r="T301">
        <f t="shared" si="71"/>
        <v>1</v>
      </c>
      <c r="V301" t="s">
        <v>40</v>
      </c>
      <c r="W301" t="s">
        <v>40</v>
      </c>
      <c r="X301" t="s">
        <v>50</v>
      </c>
      <c r="Y301" t="s">
        <v>42</v>
      </c>
      <c r="Z301">
        <v>1</v>
      </c>
      <c r="AA301">
        <v>1</v>
      </c>
      <c r="AB301">
        <v>0</v>
      </c>
      <c r="AC301" t="s">
        <v>44</v>
      </c>
      <c r="AD301" t="s">
        <v>43</v>
      </c>
      <c r="AE301">
        <f t="shared" si="72"/>
        <v>1</v>
      </c>
      <c r="AF301" t="s">
        <v>43</v>
      </c>
      <c r="AG301">
        <f t="shared" si="73"/>
        <v>1</v>
      </c>
      <c r="AH301" t="s">
        <v>44</v>
      </c>
      <c r="AI301" t="s">
        <v>43</v>
      </c>
      <c r="AJ301" t="s">
        <v>43</v>
      </c>
      <c r="AK301" t="s">
        <v>43</v>
      </c>
      <c r="AL301">
        <f t="shared" si="74"/>
        <v>1</v>
      </c>
      <c r="AM301" t="s">
        <v>43</v>
      </c>
      <c r="AN301">
        <v>1</v>
      </c>
      <c r="AO301">
        <v>4</v>
      </c>
      <c r="AP301">
        <v>2</v>
      </c>
      <c r="AQ301">
        <v>2</v>
      </c>
      <c r="AR301">
        <v>2</v>
      </c>
      <c r="AS301">
        <v>1</v>
      </c>
      <c r="AT301">
        <v>5</v>
      </c>
      <c r="AV301">
        <v>16</v>
      </c>
      <c r="AW301">
        <v>15</v>
      </c>
      <c r="AX301">
        <v>16</v>
      </c>
    </row>
    <row r="302" spans="1:50" x14ac:dyDescent="0.2">
      <c r="A302" t="s">
        <v>34</v>
      </c>
      <c r="B302" t="s">
        <v>35</v>
      </c>
      <c r="C302">
        <v>18</v>
      </c>
      <c r="D302" t="s">
        <v>36</v>
      </c>
      <c r="E302" t="s">
        <v>48</v>
      </c>
      <c r="F302" t="s">
        <v>38</v>
      </c>
      <c r="G302">
        <f t="shared" si="65"/>
        <v>0</v>
      </c>
      <c r="H302">
        <v>4</v>
      </c>
      <c r="I302">
        <f t="shared" si="66"/>
        <v>0</v>
      </c>
      <c r="J302">
        <f t="shared" si="67"/>
        <v>0</v>
      </c>
      <c r="K302">
        <f t="shared" si="68"/>
        <v>0</v>
      </c>
      <c r="L302">
        <f t="shared" si="69"/>
        <v>0</v>
      </c>
      <c r="M302">
        <f t="shared" si="70"/>
        <v>1</v>
      </c>
      <c r="N302">
        <v>4</v>
      </c>
      <c r="O302">
        <f t="shared" si="60"/>
        <v>0</v>
      </c>
      <c r="P302">
        <f t="shared" si="61"/>
        <v>0</v>
      </c>
      <c r="Q302">
        <f t="shared" si="62"/>
        <v>0</v>
      </c>
      <c r="R302">
        <f t="shared" si="63"/>
        <v>0</v>
      </c>
      <c r="S302">
        <f t="shared" si="64"/>
        <v>1</v>
      </c>
      <c r="T302">
        <f t="shared" si="71"/>
        <v>1</v>
      </c>
      <c r="V302" t="s">
        <v>29</v>
      </c>
      <c r="W302" t="s">
        <v>46</v>
      </c>
      <c r="X302" t="s">
        <v>50</v>
      </c>
      <c r="Y302" t="s">
        <v>42</v>
      </c>
      <c r="Z302">
        <v>1</v>
      </c>
      <c r="AA302">
        <v>2</v>
      </c>
      <c r="AB302">
        <v>0</v>
      </c>
      <c r="AC302" t="s">
        <v>44</v>
      </c>
      <c r="AD302" t="s">
        <v>43</v>
      </c>
      <c r="AE302">
        <f t="shared" si="72"/>
        <v>1</v>
      </c>
      <c r="AF302" t="s">
        <v>44</v>
      </c>
      <c r="AG302">
        <f t="shared" si="73"/>
        <v>0</v>
      </c>
      <c r="AH302" t="s">
        <v>44</v>
      </c>
      <c r="AI302" t="s">
        <v>43</v>
      </c>
      <c r="AJ302" t="s">
        <v>43</v>
      </c>
      <c r="AK302" t="s">
        <v>43</v>
      </c>
      <c r="AL302">
        <f t="shared" si="74"/>
        <v>1</v>
      </c>
      <c r="AM302" t="s">
        <v>43</v>
      </c>
      <c r="AN302">
        <v>4</v>
      </c>
      <c r="AO302">
        <v>2</v>
      </c>
      <c r="AP302">
        <v>4</v>
      </c>
      <c r="AQ302">
        <v>1</v>
      </c>
      <c r="AR302">
        <v>1</v>
      </c>
      <c r="AS302">
        <v>4</v>
      </c>
      <c r="AT302">
        <v>14</v>
      </c>
      <c r="AV302">
        <v>12</v>
      </c>
      <c r="AW302">
        <v>10</v>
      </c>
      <c r="AX302">
        <v>11</v>
      </c>
    </row>
    <row r="303" spans="1:50" x14ac:dyDescent="0.2">
      <c r="A303" t="s">
        <v>34</v>
      </c>
      <c r="B303" t="s">
        <v>51</v>
      </c>
      <c r="C303">
        <v>17</v>
      </c>
      <c r="D303" t="s">
        <v>36</v>
      </c>
      <c r="E303" t="s">
        <v>48</v>
      </c>
      <c r="F303" t="s">
        <v>45</v>
      </c>
      <c r="G303">
        <f t="shared" si="65"/>
        <v>1</v>
      </c>
      <c r="H303">
        <v>4</v>
      </c>
      <c r="I303">
        <f t="shared" si="66"/>
        <v>0</v>
      </c>
      <c r="J303">
        <f t="shared" si="67"/>
        <v>0</v>
      </c>
      <c r="K303">
        <f t="shared" si="68"/>
        <v>0</v>
      </c>
      <c r="L303">
        <f t="shared" si="69"/>
        <v>0</v>
      </c>
      <c r="M303">
        <f t="shared" si="70"/>
        <v>1</v>
      </c>
      <c r="N303">
        <v>4</v>
      </c>
      <c r="O303">
        <f t="shared" si="60"/>
        <v>0</v>
      </c>
      <c r="P303">
        <f t="shared" si="61"/>
        <v>0</v>
      </c>
      <c r="Q303">
        <f t="shared" si="62"/>
        <v>0</v>
      </c>
      <c r="R303">
        <f t="shared" si="63"/>
        <v>0</v>
      </c>
      <c r="S303">
        <f t="shared" si="64"/>
        <v>1</v>
      </c>
      <c r="T303">
        <f t="shared" si="71"/>
        <v>1</v>
      </c>
      <c r="V303" t="s">
        <v>46</v>
      </c>
      <c r="W303" t="s">
        <v>40</v>
      </c>
      <c r="X303" t="s">
        <v>50</v>
      </c>
      <c r="Y303" t="s">
        <v>47</v>
      </c>
      <c r="Z303">
        <v>2</v>
      </c>
      <c r="AA303">
        <v>1</v>
      </c>
      <c r="AB303">
        <v>0</v>
      </c>
      <c r="AC303" t="s">
        <v>44</v>
      </c>
      <c r="AD303" t="s">
        <v>44</v>
      </c>
      <c r="AE303">
        <f t="shared" si="72"/>
        <v>0</v>
      </c>
      <c r="AF303" t="s">
        <v>43</v>
      </c>
      <c r="AG303">
        <f t="shared" si="73"/>
        <v>1</v>
      </c>
      <c r="AH303" t="s">
        <v>44</v>
      </c>
      <c r="AI303" t="s">
        <v>43</v>
      </c>
      <c r="AJ303" t="s">
        <v>43</v>
      </c>
      <c r="AK303" t="s">
        <v>43</v>
      </c>
      <c r="AL303">
        <f t="shared" si="74"/>
        <v>1</v>
      </c>
      <c r="AM303" t="s">
        <v>44</v>
      </c>
      <c r="AN303">
        <v>4</v>
      </c>
      <c r="AO303">
        <v>1</v>
      </c>
      <c r="AP303">
        <v>1</v>
      </c>
      <c r="AQ303">
        <v>2</v>
      </c>
      <c r="AR303">
        <v>2</v>
      </c>
      <c r="AS303">
        <v>5</v>
      </c>
      <c r="AT303">
        <v>0</v>
      </c>
      <c r="AV303">
        <v>11</v>
      </c>
      <c r="AW303">
        <v>11</v>
      </c>
      <c r="AX303">
        <v>10</v>
      </c>
    </row>
    <row r="304" spans="1:50" x14ac:dyDescent="0.2">
      <c r="A304" t="s">
        <v>34</v>
      </c>
      <c r="B304" t="s">
        <v>35</v>
      </c>
      <c r="C304">
        <v>17</v>
      </c>
      <c r="D304" t="s">
        <v>36</v>
      </c>
      <c r="E304" t="s">
        <v>37</v>
      </c>
      <c r="F304" t="s">
        <v>45</v>
      </c>
      <c r="G304">
        <f t="shared" si="65"/>
        <v>1</v>
      </c>
      <c r="H304">
        <v>4</v>
      </c>
      <c r="I304">
        <f t="shared" si="66"/>
        <v>0</v>
      </c>
      <c r="J304">
        <f t="shared" si="67"/>
        <v>0</v>
      </c>
      <c r="K304">
        <f t="shared" si="68"/>
        <v>0</v>
      </c>
      <c r="L304">
        <f t="shared" si="69"/>
        <v>0</v>
      </c>
      <c r="M304">
        <f t="shared" si="70"/>
        <v>1</v>
      </c>
      <c r="N304">
        <v>2</v>
      </c>
      <c r="O304">
        <f t="shared" si="60"/>
        <v>0</v>
      </c>
      <c r="P304">
        <f t="shared" si="61"/>
        <v>0</v>
      </c>
      <c r="Q304">
        <f t="shared" si="62"/>
        <v>1</v>
      </c>
      <c r="R304">
        <f t="shared" si="63"/>
        <v>0</v>
      </c>
      <c r="S304">
        <f t="shared" si="64"/>
        <v>0</v>
      </c>
      <c r="T304">
        <f t="shared" si="71"/>
        <v>0</v>
      </c>
      <c r="V304" t="s">
        <v>46</v>
      </c>
      <c r="W304" t="s">
        <v>46</v>
      </c>
      <c r="X304" t="s">
        <v>52</v>
      </c>
      <c r="Y304" t="s">
        <v>42</v>
      </c>
      <c r="Z304">
        <v>2</v>
      </c>
      <c r="AA304">
        <v>3</v>
      </c>
      <c r="AB304">
        <v>0</v>
      </c>
      <c r="AC304" t="s">
        <v>44</v>
      </c>
      <c r="AD304" t="s">
        <v>43</v>
      </c>
      <c r="AE304">
        <f t="shared" si="72"/>
        <v>1</v>
      </c>
      <c r="AF304" t="s">
        <v>43</v>
      </c>
      <c r="AG304">
        <f t="shared" si="73"/>
        <v>1</v>
      </c>
      <c r="AH304" t="s">
        <v>44</v>
      </c>
      <c r="AI304" t="s">
        <v>43</v>
      </c>
      <c r="AJ304" t="s">
        <v>43</v>
      </c>
      <c r="AK304" t="s">
        <v>43</v>
      </c>
      <c r="AL304">
        <f t="shared" si="74"/>
        <v>1</v>
      </c>
      <c r="AM304" t="s">
        <v>44</v>
      </c>
      <c r="AN304">
        <v>4</v>
      </c>
      <c r="AO304">
        <v>3</v>
      </c>
      <c r="AP304">
        <v>3</v>
      </c>
      <c r="AQ304">
        <v>1</v>
      </c>
      <c r="AR304">
        <v>1</v>
      </c>
      <c r="AS304">
        <v>3</v>
      </c>
      <c r="AT304">
        <v>0</v>
      </c>
      <c r="AV304">
        <v>15</v>
      </c>
      <c r="AW304">
        <v>12</v>
      </c>
      <c r="AX304">
        <v>14</v>
      </c>
    </row>
    <row r="305" spans="1:50" x14ac:dyDescent="0.2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f t="shared" si="65"/>
        <v>1</v>
      </c>
      <c r="H305">
        <v>3</v>
      </c>
      <c r="I305">
        <f t="shared" si="66"/>
        <v>0</v>
      </c>
      <c r="J305">
        <f t="shared" si="67"/>
        <v>0</v>
      </c>
      <c r="K305">
        <f t="shared" si="68"/>
        <v>0</v>
      </c>
      <c r="L305">
        <f t="shared" si="69"/>
        <v>1</v>
      </c>
      <c r="M305">
        <f t="shared" si="70"/>
        <v>0</v>
      </c>
      <c r="N305">
        <v>2</v>
      </c>
      <c r="O305">
        <f t="shared" si="60"/>
        <v>0</v>
      </c>
      <c r="P305">
        <f t="shared" si="61"/>
        <v>0</v>
      </c>
      <c r="Q305">
        <f t="shared" si="62"/>
        <v>1</v>
      </c>
      <c r="R305">
        <f t="shared" si="63"/>
        <v>0</v>
      </c>
      <c r="S305">
        <f t="shared" si="64"/>
        <v>0</v>
      </c>
      <c r="T305">
        <f t="shared" si="71"/>
        <v>0</v>
      </c>
      <c r="V305" t="s">
        <v>29</v>
      </c>
      <c r="W305" t="s">
        <v>29</v>
      </c>
      <c r="X305" t="s">
        <v>52</v>
      </c>
      <c r="Y305" t="s">
        <v>47</v>
      </c>
      <c r="Z305">
        <v>1</v>
      </c>
      <c r="AA305">
        <v>4</v>
      </c>
      <c r="AB305">
        <v>0</v>
      </c>
      <c r="AC305" t="s">
        <v>44</v>
      </c>
      <c r="AD305" t="s">
        <v>43</v>
      </c>
      <c r="AE305">
        <f t="shared" si="72"/>
        <v>1</v>
      </c>
      <c r="AF305" t="s">
        <v>43</v>
      </c>
      <c r="AG305">
        <f t="shared" si="73"/>
        <v>1</v>
      </c>
      <c r="AH305" t="s">
        <v>43</v>
      </c>
      <c r="AI305" t="s">
        <v>44</v>
      </c>
      <c r="AJ305" t="s">
        <v>43</v>
      </c>
      <c r="AK305" t="s">
        <v>43</v>
      </c>
      <c r="AL305">
        <f t="shared" si="74"/>
        <v>1</v>
      </c>
      <c r="AM305" t="s">
        <v>44</v>
      </c>
      <c r="AN305">
        <v>5</v>
      </c>
      <c r="AO305">
        <v>2</v>
      </c>
      <c r="AP305">
        <v>2</v>
      </c>
      <c r="AQ305">
        <v>1</v>
      </c>
      <c r="AR305">
        <v>2</v>
      </c>
      <c r="AS305">
        <v>5</v>
      </c>
      <c r="AT305">
        <v>0</v>
      </c>
      <c r="AV305">
        <v>17</v>
      </c>
      <c r="AW305">
        <v>17</v>
      </c>
      <c r="AX305">
        <v>18</v>
      </c>
    </row>
    <row r="306" spans="1:50" x14ac:dyDescent="0.2">
      <c r="A306" t="s">
        <v>34</v>
      </c>
      <c r="B306" t="s">
        <v>51</v>
      </c>
      <c r="C306">
        <v>19</v>
      </c>
      <c r="D306" t="s">
        <v>36</v>
      </c>
      <c r="E306" t="s">
        <v>37</v>
      </c>
      <c r="F306" t="s">
        <v>45</v>
      </c>
      <c r="G306">
        <f t="shared" si="65"/>
        <v>1</v>
      </c>
      <c r="H306">
        <v>3</v>
      </c>
      <c r="I306">
        <f t="shared" si="66"/>
        <v>0</v>
      </c>
      <c r="J306">
        <f t="shared" si="67"/>
        <v>0</v>
      </c>
      <c r="K306">
        <f t="shared" si="68"/>
        <v>0</v>
      </c>
      <c r="L306">
        <f t="shared" si="69"/>
        <v>1</v>
      </c>
      <c r="M306">
        <f t="shared" si="70"/>
        <v>0</v>
      </c>
      <c r="N306">
        <v>3</v>
      </c>
      <c r="O306">
        <f t="shared" si="60"/>
        <v>0</v>
      </c>
      <c r="P306">
        <f t="shared" si="61"/>
        <v>0</v>
      </c>
      <c r="Q306">
        <f t="shared" si="62"/>
        <v>0</v>
      </c>
      <c r="R306">
        <f t="shared" si="63"/>
        <v>1</v>
      </c>
      <c r="S306">
        <f t="shared" si="64"/>
        <v>0</v>
      </c>
      <c r="T306">
        <f t="shared" si="71"/>
        <v>0</v>
      </c>
      <c r="V306" t="s">
        <v>46</v>
      </c>
      <c r="W306" t="s">
        <v>46</v>
      </c>
      <c r="X306" t="s">
        <v>50</v>
      </c>
      <c r="Y306" t="s">
        <v>46</v>
      </c>
      <c r="Z306">
        <v>1</v>
      </c>
      <c r="AA306">
        <v>2</v>
      </c>
      <c r="AB306">
        <v>1</v>
      </c>
      <c r="AC306" t="s">
        <v>44</v>
      </c>
      <c r="AD306" t="s">
        <v>43</v>
      </c>
      <c r="AE306">
        <f t="shared" si="72"/>
        <v>1</v>
      </c>
      <c r="AF306" t="s">
        <v>44</v>
      </c>
      <c r="AG306">
        <f t="shared" si="73"/>
        <v>0</v>
      </c>
      <c r="AH306" t="s">
        <v>43</v>
      </c>
      <c r="AI306" t="s">
        <v>43</v>
      </c>
      <c r="AJ306" t="s">
        <v>43</v>
      </c>
      <c r="AK306" t="s">
        <v>43</v>
      </c>
      <c r="AL306">
        <f t="shared" si="74"/>
        <v>1</v>
      </c>
      <c r="AM306" t="s">
        <v>43</v>
      </c>
      <c r="AN306">
        <v>4</v>
      </c>
      <c r="AO306">
        <v>4</v>
      </c>
      <c r="AP306">
        <v>4</v>
      </c>
      <c r="AQ306">
        <v>1</v>
      </c>
      <c r="AR306">
        <v>1</v>
      </c>
      <c r="AS306">
        <v>3</v>
      </c>
      <c r="AT306">
        <v>20</v>
      </c>
      <c r="AV306">
        <v>15</v>
      </c>
      <c r="AW306">
        <v>14</v>
      </c>
      <c r="AX306">
        <v>13</v>
      </c>
    </row>
    <row r="307" spans="1:50" x14ac:dyDescent="0.2">
      <c r="A307" t="s">
        <v>34</v>
      </c>
      <c r="B307" t="s">
        <v>35</v>
      </c>
      <c r="C307">
        <v>18</v>
      </c>
      <c r="D307" t="s">
        <v>36</v>
      </c>
      <c r="E307" t="s">
        <v>37</v>
      </c>
      <c r="F307" t="s">
        <v>45</v>
      </c>
      <c r="G307">
        <f t="shared" si="65"/>
        <v>1</v>
      </c>
      <c r="H307">
        <v>2</v>
      </c>
      <c r="I307">
        <f t="shared" si="66"/>
        <v>0</v>
      </c>
      <c r="J307">
        <f t="shared" si="67"/>
        <v>0</v>
      </c>
      <c r="K307">
        <f t="shared" si="68"/>
        <v>1</v>
      </c>
      <c r="L307">
        <f t="shared" si="69"/>
        <v>0</v>
      </c>
      <c r="M307">
        <f t="shared" si="70"/>
        <v>0</v>
      </c>
      <c r="N307">
        <v>4</v>
      </c>
      <c r="O307">
        <f t="shared" si="60"/>
        <v>0</v>
      </c>
      <c r="P307">
        <f t="shared" si="61"/>
        <v>0</v>
      </c>
      <c r="Q307">
        <f t="shared" si="62"/>
        <v>0</v>
      </c>
      <c r="R307">
        <f t="shared" si="63"/>
        <v>0</v>
      </c>
      <c r="S307">
        <f t="shared" si="64"/>
        <v>1</v>
      </c>
      <c r="T307">
        <f t="shared" si="71"/>
        <v>0</v>
      </c>
      <c r="V307" t="s">
        <v>49</v>
      </c>
      <c r="W307" t="s">
        <v>39</v>
      </c>
      <c r="X307" t="s">
        <v>52</v>
      </c>
      <c r="Y307" t="s">
        <v>46</v>
      </c>
      <c r="Z307">
        <v>1</v>
      </c>
      <c r="AA307">
        <v>2</v>
      </c>
      <c r="AB307">
        <v>1</v>
      </c>
      <c r="AC307" t="s">
        <v>44</v>
      </c>
      <c r="AD307" t="s">
        <v>43</v>
      </c>
      <c r="AE307">
        <f t="shared" si="72"/>
        <v>1</v>
      </c>
      <c r="AF307" t="s">
        <v>43</v>
      </c>
      <c r="AG307">
        <f t="shared" si="73"/>
        <v>1</v>
      </c>
      <c r="AH307" t="s">
        <v>43</v>
      </c>
      <c r="AI307" t="s">
        <v>43</v>
      </c>
      <c r="AJ307" t="s">
        <v>43</v>
      </c>
      <c r="AK307" t="s">
        <v>43</v>
      </c>
      <c r="AL307">
        <f t="shared" si="74"/>
        <v>1</v>
      </c>
      <c r="AM307" t="s">
        <v>44</v>
      </c>
      <c r="AN307">
        <v>4</v>
      </c>
      <c r="AO307">
        <v>4</v>
      </c>
      <c r="AP307">
        <v>3</v>
      </c>
      <c r="AQ307">
        <v>1</v>
      </c>
      <c r="AR307">
        <v>1</v>
      </c>
      <c r="AS307">
        <v>3</v>
      </c>
      <c r="AT307">
        <v>8</v>
      </c>
      <c r="AV307">
        <v>14</v>
      </c>
      <c r="AW307">
        <v>12</v>
      </c>
      <c r="AX307">
        <v>12</v>
      </c>
    </row>
    <row r="308" spans="1:50" x14ac:dyDescent="0.2">
      <c r="A308" t="s">
        <v>34</v>
      </c>
      <c r="B308" t="s">
        <v>51</v>
      </c>
      <c r="C308">
        <v>20</v>
      </c>
      <c r="D308" t="s">
        <v>36</v>
      </c>
      <c r="E308" t="s">
        <v>37</v>
      </c>
      <c r="F308" t="s">
        <v>38</v>
      </c>
      <c r="G308">
        <f t="shared" si="65"/>
        <v>0</v>
      </c>
      <c r="H308">
        <v>3</v>
      </c>
      <c r="I308">
        <f t="shared" si="66"/>
        <v>0</v>
      </c>
      <c r="J308">
        <f t="shared" si="67"/>
        <v>0</v>
      </c>
      <c r="K308">
        <f t="shared" si="68"/>
        <v>0</v>
      </c>
      <c r="L308">
        <f t="shared" si="69"/>
        <v>1</v>
      </c>
      <c r="M308">
        <f t="shared" si="70"/>
        <v>0</v>
      </c>
      <c r="N308">
        <v>2</v>
      </c>
      <c r="O308">
        <f t="shared" si="60"/>
        <v>0</v>
      </c>
      <c r="P308">
        <f t="shared" si="61"/>
        <v>0</v>
      </c>
      <c r="Q308">
        <f t="shared" si="62"/>
        <v>1</v>
      </c>
      <c r="R308">
        <f t="shared" si="63"/>
        <v>0</v>
      </c>
      <c r="S308">
        <f t="shared" si="64"/>
        <v>0</v>
      </c>
      <c r="T308">
        <f t="shared" si="71"/>
        <v>0</v>
      </c>
      <c r="V308" t="s">
        <v>49</v>
      </c>
      <c r="W308" t="s">
        <v>46</v>
      </c>
      <c r="X308" t="s">
        <v>41</v>
      </c>
      <c r="Y308" t="s">
        <v>46</v>
      </c>
      <c r="Z308">
        <v>1</v>
      </c>
      <c r="AA308">
        <v>1</v>
      </c>
      <c r="AB308">
        <v>0</v>
      </c>
      <c r="AC308" t="s">
        <v>44</v>
      </c>
      <c r="AD308" t="s">
        <v>44</v>
      </c>
      <c r="AE308">
        <f t="shared" si="72"/>
        <v>0</v>
      </c>
      <c r="AF308" t="s">
        <v>44</v>
      </c>
      <c r="AG308">
        <f t="shared" si="73"/>
        <v>0</v>
      </c>
      <c r="AH308" t="s">
        <v>43</v>
      </c>
      <c r="AI308" t="s">
        <v>43</v>
      </c>
      <c r="AJ308" t="s">
        <v>43</v>
      </c>
      <c r="AK308" t="s">
        <v>44</v>
      </c>
      <c r="AL308">
        <f t="shared" si="74"/>
        <v>0</v>
      </c>
      <c r="AM308" t="s">
        <v>44</v>
      </c>
      <c r="AN308">
        <v>5</v>
      </c>
      <c r="AO308">
        <v>5</v>
      </c>
      <c r="AP308">
        <v>3</v>
      </c>
      <c r="AQ308">
        <v>1</v>
      </c>
      <c r="AR308">
        <v>1</v>
      </c>
      <c r="AS308">
        <v>5</v>
      </c>
      <c r="AT308">
        <v>0</v>
      </c>
      <c r="AV308">
        <v>17</v>
      </c>
      <c r="AW308">
        <v>18</v>
      </c>
      <c r="AX308">
        <v>18</v>
      </c>
    </row>
    <row r="309" spans="1:50" x14ac:dyDescent="0.2">
      <c r="A309" t="s">
        <v>34</v>
      </c>
      <c r="B309" t="s">
        <v>51</v>
      </c>
      <c r="C309">
        <v>19</v>
      </c>
      <c r="D309" t="s">
        <v>36</v>
      </c>
      <c r="E309" t="s">
        <v>37</v>
      </c>
      <c r="F309" t="s">
        <v>45</v>
      </c>
      <c r="G309">
        <f t="shared" si="65"/>
        <v>1</v>
      </c>
      <c r="H309">
        <v>4</v>
      </c>
      <c r="I309">
        <f t="shared" si="66"/>
        <v>0</v>
      </c>
      <c r="J309">
        <f t="shared" si="67"/>
        <v>0</v>
      </c>
      <c r="K309">
        <f t="shared" si="68"/>
        <v>0</v>
      </c>
      <c r="L309">
        <f t="shared" si="69"/>
        <v>0</v>
      </c>
      <c r="M309">
        <f t="shared" si="70"/>
        <v>1</v>
      </c>
      <c r="N309">
        <v>4</v>
      </c>
      <c r="O309">
        <f t="shared" si="60"/>
        <v>0</v>
      </c>
      <c r="P309">
        <f t="shared" si="61"/>
        <v>0</v>
      </c>
      <c r="Q309">
        <f t="shared" si="62"/>
        <v>0</v>
      </c>
      <c r="R309">
        <f t="shared" si="63"/>
        <v>0</v>
      </c>
      <c r="S309">
        <f t="shared" si="64"/>
        <v>1</v>
      </c>
      <c r="T309">
        <f t="shared" si="71"/>
        <v>1</v>
      </c>
      <c r="V309" t="s">
        <v>40</v>
      </c>
      <c r="W309" t="s">
        <v>49</v>
      </c>
      <c r="X309" t="s">
        <v>52</v>
      </c>
      <c r="Y309" t="s">
        <v>46</v>
      </c>
      <c r="Z309">
        <v>2</v>
      </c>
      <c r="AA309">
        <v>1</v>
      </c>
      <c r="AB309">
        <v>1</v>
      </c>
      <c r="AC309" t="s">
        <v>44</v>
      </c>
      <c r="AD309" t="s">
        <v>43</v>
      </c>
      <c r="AE309">
        <f t="shared" si="72"/>
        <v>1</v>
      </c>
      <c r="AF309" t="s">
        <v>43</v>
      </c>
      <c r="AG309">
        <f t="shared" si="73"/>
        <v>1</v>
      </c>
      <c r="AH309" t="s">
        <v>44</v>
      </c>
      <c r="AI309" t="s">
        <v>43</v>
      </c>
      <c r="AJ309" t="s">
        <v>43</v>
      </c>
      <c r="AK309" t="s">
        <v>43</v>
      </c>
      <c r="AL309">
        <f t="shared" si="74"/>
        <v>1</v>
      </c>
      <c r="AM309" t="s">
        <v>43</v>
      </c>
      <c r="AN309">
        <v>4</v>
      </c>
      <c r="AO309">
        <v>3</v>
      </c>
      <c r="AP309">
        <v>4</v>
      </c>
      <c r="AQ309">
        <v>1</v>
      </c>
      <c r="AR309">
        <v>1</v>
      </c>
      <c r="AS309">
        <v>4</v>
      </c>
      <c r="AT309">
        <v>38</v>
      </c>
      <c r="AV309">
        <v>8</v>
      </c>
      <c r="AW309">
        <v>9</v>
      </c>
      <c r="AX309">
        <v>8</v>
      </c>
    </row>
    <row r="310" spans="1:50" x14ac:dyDescent="0.2">
      <c r="A310" t="s">
        <v>34</v>
      </c>
      <c r="B310" t="s">
        <v>51</v>
      </c>
      <c r="C310">
        <v>19</v>
      </c>
      <c r="D310" t="s">
        <v>53</v>
      </c>
      <c r="E310" t="s">
        <v>37</v>
      </c>
      <c r="F310" t="s">
        <v>45</v>
      </c>
      <c r="G310">
        <f t="shared" si="65"/>
        <v>1</v>
      </c>
      <c r="H310">
        <v>3</v>
      </c>
      <c r="I310">
        <f t="shared" si="66"/>
        <v>0</v>
      </c>
      <c r="J310">
        <f t="shared" si="67"/>
        <v>0</v>
      </c>
      <c r="K310">
        <f t="shared" si="68"/>
        <v>0</v>
      </c>
      <c r="L310">
        <f t="shared" si="69"/>
        <v>1</v>
      </c>
      <c r="M310">
        <f t="shared" si="70"/>
        <v>0</v>
      </c>
      <c r="N310">
        <v>3</v>
      </c>
      <c r="O310">
        <f t="shared" si="60"/>
        <v>0</v>
      </c>
      <c r="P310">
        <f t="shared" si="61"/>
        <v>0</v>
      </c>
      <c r="Q310">
        <f t="shared" si="62"/>
        <v>0</v>
      </c>
      <c r="R310">
        <f t="shared" si="63"/>
        <v>1</v>
      </c>
      <c r="S310">
        <f t="shared" si="64"/>
        <v>0</v>
      </c>
      <c r="T310">
        <f t="shared" si="71"/>
        <v>0</v>
      </c>
      <c r="V310" t="s">
        <v>46</v>
      </c>
      <c r="W310" t="s">
        <v>49</v>
      </c>
      <c r="X310" t="s">
        <v>52</v>
      </c>
      <c r="Y310" t="s">
        <v>47</v>
      </c>
      <c r="Z310">
        <v>1</v>
      </c>
      <c r="AA310">
        <v>2</v>
      </c>
      <c r="AB310">
        <v>1</v>
      </c>
      <c r="AC310" t="s">
        <v>44</v>
      </c>
      <c r="AD310" t="s">
        <v>44</v>
      </c>
      <c r="AE310">
        <f t="shared" si="72"/>
        <v>0</v>
      </c>
      <c r="AF310" t="s">
        <v>44</v>
      </c>
      <c r="AG310">
        <f t="shared" si="73"/>
        <v>0</v>
      </c>
      <c r="AH310" t="s">
        <v>43</v>
      </c>
      <c r="AI310" t="s">
        <v>43</v>
      </c>
      <c r="AJ310" t="s">
        <v>43</v>
      </c>
      <c r="AK310" t="s">
        <v>44</v>
      </c>
      <c r="AL310">
        <f t="shared" si="74"/>
        <v>0</v>
      </c>
      <c r="AM310" t="s">
        <v>43</v>
      </c>
      <c r="AN310">
        <v>4</v>
      </c>
      <c r="AO310">
        <v>5</v>
      </c>
      <c r="AP310">
        <v>3</v>
      </c>
      <c r="AQ310">
        <v>1</v>
      </c>
      <c r="AR310">
        <v>2</v>
      </c>
      <c r="AS310">
        <v>5</v>
      </c>
      <c r="AT310">
        <v>0</v>
      </c>
      <c r="AV310">
        <v>15</v>
      </c>
      <c r="AW310">
        <v>12</v>
      </c>
      <c r="AX310">
        <v>12</v>
      </c>
    </row>
    <row r="311" spans="1:50" x14ac:dyDescent="0.2">
      <c r="A311" t="s">
        <v>34</v>
      </c>
      <c r="B311" t="s">
        <v>35</v>
      </c>
      <c r="C311">
        <v>19</v>
      </c>
      <c r="D311" t="s">
        <v>36</v>
      </c>
      <c r="E311" t="s">
        <v>48</v>
      </c>
      <c r="F311" t="s">
        <v>45</v>
      </c>
      <c r="G311">
        <f t="shared" si="65"/>
        <v>1</v>
      </c>
      <c r="H311">
        <v>1</v>
      </c>
      <c r="I311">
        <f t="shared" si="66"/>
        <v>0</v>
      </c>
      <c r="J311">
        <f t="shared" si="67"/>
        <v>1</v>
      </c>
      <c r="K311">
        <f t="shared" si="68"/>
        <v>0</v>
      </c>
      <c r="L311">
        <f t="shared" si="69"/>
        <v>0</v>
      </c>
      <c r="M311">
        <f t="shared" si="70"/>
        <v>0</v>
      </c>
      <c r="N311">
        <v>1</v>
      </c>
      <c r="O311">
        <f t="shared" si="60"/>
        <v>0</v>
      </c>
      <c r="P311">
        <f t="shared" si="61"/>
        <v>1</v>
      </c>
      <c r="Q311">
        <f t="shared" si="62"/>
        <v>0</v>
      </c>
      <c r="R311">
        <f t="shared" si="63"/>
        <v>0</v>
      </c>
      <c r="S311">
        <f t="shared" si="64"/>
        <v>0</v>
      </c>
      <c r="T311">
        <f t="shared" si="71"/>
        <v>0</v>
      </c>
      <c r="V311" t="s">
        <v>39</v>
      </c>
      <c r="W311" t="s">
        <v>46</v>
      </c>
      <c r="X311" t="s">
        <v>52</v>
      </c>
      <c r="Y311" t="s">
        <v>46</v>
      </c>
      <c r="Z311">
        <v>1</v>
      </c>
      <c r="AA311">
        <v>2</v>
      </c>
      <c r="AB311">
        <v>1</v>
      </c>
      <c r="AC311" t="s">
        <v>43</v>
      </c>
      <c r="AD311" t="s">
        <v>43</v>
      </c>
      <c r="AE311">
        <f t="shared" si="72"/>
        <v>1</v>
      </c>
      <c r="AF311" t="s">
        <v>44</v>
      </c>
      <c r="AG311">
        <f t="shared" si="73"/>
        <v>0</v>
      </c>
      <c r="AH311" t="s">
        <v>43</v>
      </c>
      <c r="AI311" t="s">
        <v>44</v>
      </c>
      <c r="AJ311" t="s">
        <v>43</v>
      </c>
      <c r="AK311" t="s">
        <v>43</v>
      </c>
      <c r="AL311">
        <f t="shared" si="74"/>
        <v>1</v>
      </c>
      <c r="AM311" t="s">
        <v>44</v>
      </c>
      <c r="AN311">
        <v>4</v>
      </c>
      <c r="AO311">
        <v>4</v>
      </c>
      <c r="AP311">
        <v>3</v>
      </c>
      <c r="AQ311">
        <v>1</v>
      </c>
      <c r="AR311">
        <v>3</v>
      </c>
      <c r="AS311">
        <v>3</v>
      </c>
      <c r="AT311">
        <v>18</v>
      </c>
      <c r="AV311">
        <v>12</v>
      </c>
      <c r="AW311">
        <v>10</v>
      </c>
      <c r="AX311">
        <v>10</v>
      </c>
    </row>
    <row r="312" spans="1:50" x14ac:dyDescent="0.2">
      <c r="A312" t="s">
        <v>34</v>
      </c>
      <c r="B312" t="s">
        <v>35</v>
      </c>
      <c r="C312">
        <v>19</v>
      </c>
      <c r="D312" t="s">
        <v>36</v>
      </c>
      <c r="E312" t="s">
        <v>48</v>
      </c>
      <c r="F312" t="s">
        <v>45</v>
      </c>
      <c r="G312">
        <f t="shared" si="65"/>
        <v>1</v>
      </c>
      <c r="H312">
        <v>1</v>
      </c>
      <c r="I312">
        <f t="shared" si="66"/>
        <v>0</v>
      </c>
      <c r="J312">
        <f t="shared" si="67"/>
        <v>1</v>
      </c>
      <c r="K312">
        <f t="shared" si="68"/>
        <v>0</v>
      </c>
      <c r="L312">
        <f t="shared" si="69"/>
        <v>0</v>
      </c>
      <c r="M312">
        <f t="shared" si="70"/>
        <v>0</v>
      </c>
      <c r="N312">
        <v>2</v>
      </c>
      <c r="O312">
        <f t="shared" si="60"/>
        <v>0</v>
      </c>
      <c r="P312">
        <f t="shared" si="61"/>
        <v>0</v>
      </c>
      <c r="Q312">
        <f t="shared" si="62"/>
        <v>1</v>
      </c>
      <c r="R312">
        <f t="shared" si="63"/>
        <v>0</v>
      </c>
      <c r="S312">
        <f t="shared" si="64"/>
        <v>0</v>
      </c>
      <c r="T312">
        <f t="shared" si="71"/>
        <v>0</v>
      </c>
      <c r="V312" t="s">
        <v>49</v>
      </c>
      <c r="W312" t="s">
        <v>49</v>
      </c>
      <c r="X312" t="s">
        <v>50</v>
      </c>
      <c r="Y312" t="s">
        <v>46</v>
      </c>
      <c r="Z312">
        <v>1</v>
      </c>
      <c r="AA312">
        <v>2</v>
      </c>
      <c r="AB312">
        <v>1</v>
      </c>
      <c r="AC312" t="s">
        <v>44</v>
      </c>
      <c r="AD312" t="s">
        <v>44</v>
      </c>
      <c r="AE312">
        <f t="shared" si="72"/>
        <v>0</v>
      </c>
      <c r="AF312" t="s">
        <v>44</v>
      </c>
      <c r="AG312">
        <f t="shared" si="73"/>
        <v>0</v>
      </c>
      <c r="AH312" t="s">
        <v>43</v>
      </c>
      <c r="AI312" t="s">
        <v>44</v>
      </c>
      <c r="AJ312" t="s">
        <v>43</v>
      </c>
      <c r="AK312" t="s">
        <v>44</v>
      </c>
      <c r="AL312">
        <f t="shared" si="74"/>
        <v>0</v>
      </c>
      <c r="AM312" t="s">
        <v>43</v>
      </c>
      <c r="AN312">
        <v>4</v>
      </c>
      <c r="AO312">
        <v>2</v>
      </c>
      <c r="AP312">
        <v>4</v>
      </c>
      <c r="AQ312">
        <v>2</v>
      </c>
      <c r="AR312">
        <v>2</v>
      </c>
      <c r="AS312">
        <v>3</v>
      </c>
      <c r="AT312">
        <v>0</v>
      </c>
      <c r="AV312">
        <v>9</v>
      </c>
      <c r="AW312">
        <v>9</v>
      </c>
      <c r="AX312">
        <v>0</v>
      </c>
    </row>
    <row r="313" spans="1:50" x14ac:dyDescent="0.2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f t="shared" si="65"/>
        <v>1</v>
      </c>
      <c r="H313">
        <v>2</v>
      </c>
      <c r="I313">
        <f t="shared" si="66"/>
        <v>0</v>
      </c>
      <c r="J313">
        <f t="shared" si="67"/>
        <v>0</v>
      </c>
      <c r="K313">
        <f t="shared" si="68"/>
        <v>1</v>
      </c>
      <c r="L313">
        <f t="shared" si="69"/>
        <v>0</v>
      </c>
      <c r="M313">
        <f t="shared" si="70"/>
        <v>0</v>
      </c>
      <c r="N313">
        <v>1</v>
      </c>
      <c r="O313">
        <f t="shared" si="60"/>
        <v>0</v>
      </c>
      <c r="P313">
        <f t="shared" si="61"/>
        <v>1</v>
      </c>
      <c r="Q313">
        <f t="shared" si="62"/>
        <v>0</v>
      </c>
      <c r="R313">
        <f t="shared" si="63"/>
        <v>0</v>
      </c>
      <c r="S313">
        <f t="shared" si="64"/>
        <v>0</v>
      </c>
      <c r="T313">
        <f t="shared" si="71"/>
        <v>0</v>
      </c>
      <c r="V313" t="s">
        <v>39</v>
      </c>
      <c r="W313" t="s">
        <v>46</v>
      </c>
      <c r="X313" t="s">
        <v>46</v>
      </c>
      <c r="Y313" t="s">
        <v>46</v>
      </c>
      <c r="Z313">
        <v>3</v>
      </c>
      <c r="AA313">
        <v>2</v>
      </c>
      <c r="AB313">
        <v>0</v>
      </c>
      <c r="AC313" t="s">
        <v>44</v>
      </c>
      <c r="AD313" t="s">
        <v>43</v>
      </c>
      <c r="AE313">
        <f t="shared" si="72"/>
        <v>1</v>
      </c>
      <c r="AF313" t="s">
        <v>44</v>
      </c>
      <c r="AG313">
        <f t="shared" si="73"/>
        <v>0</v>
      </c>
      <c r="AH313" t="s">
        <v>44</v>
      </c>
      <c r="AI313" t="s">
        <v>43</v>
      </c>
      <c r="AJ313" t="s">
        <v>44</v>
      </c>
      <c r="AK313" t="s">
        <v>43</v>
      </c>
      <c r="AL313">
        <f t="shared" si="74"/>
        <v>1</v>
      </c>
      <c r="AM313" t="s">
        <v>43</v>
      </c>
      <c r="AN313">
        <v>3</v>
      </c>
      <c r="AO313">
        <v>4</v>
      </c>
      <c r="AP313">
        <v>1</v>
      </c>
      <c r="AQ313">
        <v>1</v>
      </c>
      <c r="AR313">
        <v>1</v>
      </c>
      <c r="AS313">
        <v>2</v>
      </c>
      <c r="AT313">
        <v>20</v>
      </c>
      <c r="AV313">
        <v>14</v>
      </c>
      <c r="AW313">
        <v>12</v>
      </c>
      <c r="AX313">
        <v>13</v>
      </c>
    </row>
    <row r="314" spans="1:50" x14ac:dyDescent="0.2">
      <c r="A314" t="s">
        <v>34</v>
      </c>
      <c r="B314" t="s">
        <v>51</v>
      </c>
      <c r="C314">
        <v>19</v>
      </c>
      <c r="D314" t="s">
        <v>36</v>
      </c>
      <c r="E314" t="s">
        <v>37</v>
      </c>
      <c r="F314" t="s">
        <v>45</v>
      </c>
      <c r="G314">
        <f t="shared" si="65"/>
        <v>1</v>
      </c>
      <c r="H314">
        <v>1</v>
      </c>
      <c r="I314">
        <f t="shared" si="66"/>
        <v>0</v>
      </c>
      <c r="J314">
        <f t="shared" si="67"/>
        <v>1</v>
      </c>
      <c r="K314">
        <f t="shared" si="68"/>
        <v>0</v>
      </c>
      <c r="L314">
        <f t="shared" si="69"/>
        <v>0</v>
      </c>
      <c r="M314">
        <f t="shared" si="70"/>
        <v>0</v>
      </c>
      <c r="N314">
        <v>2</v>
      </c>
      <c r="O314">
        <f t="shared" si="60"/>
        <v>0</v>
      </c>
      <c r="P314">
        <f t="shared" si="61"/>
        <v>0</v>
      </c>
      <c r="Q314">
        <f t="shared" si="62"/>
        <v>1</v>
      </c>
      <c r="R314">
        <f t="shared" si="63"/>
        <v>0</v>
      </c>
      <c r="S314">
        <f t="shared" si="64"/>
        <v>0</v>
      </c>
      <c r="T314">
        <f t="shared" si="71"/>
        <v>0</v>
      </c>
      <c r="V314" t="s">
        <v>46</v>
      </c>
      <c r="W314" t="s">
        <v>49</v>
      </c>
      <c r="X314" t="s">
        <v>41</v>
      </c>
      <c r="Y314" t="s">
        <v>46</v>
      </c>
      <c r="Z314">
        <v>1</v>
      </c>
      <c r="AA314">
        <v>2</v>
      </c>
      <c r="AB314">
        <v>1</v>
      </c>
      <c r="AC314" t="s">
        <v>44</v>
      </c>
      <c r="AD314" t="s">
        <v>44</v>
      </c>
      <c r="AE314">
        <f t="shared" si="72"/>
        <v>0</v>
      </c>
      <c r="AF314" t="s">
        <v>44</v>
      </c>
      <c r="AG314">
        <f t="shared" si="73"/>
        <v>0</v>
      </c>
      <c r="AH314" t="s">
        <v>44</v>
      </c>
      <c r="AI314" t="s">
        <v>44</v>
      </c>
      <c r="AJ314" t="s">
        <v>43</v>
      </c>
      <c r="AK314" t="s">
        <v>43</v>
      </c>
      <c r="AL314">
        <f t="shared" si="74"/>
        <v>1</v>
      </c>
      <c r="AM314" t="s">
        <v>44</v>
      </c>
      <c r="AN314">
        <v>4</v>
      </c>
      <c r="AO314">
        <v>5</v>
      </c>
      <c r="AP314">
        <v>2</v>
      </c>
      <c r="AQ314">
        <v>2</v>
      </c>
      <c r="AR314">
        <v>2</v>
      </c>
      <c r="AS314">
        <v>4</v>
      </c>
      <c r="AT314">
        <v>3</v>
      </c>
      <c r="AV314">
        <v>13</v>
      </c>
      <c r="AW314">
        <v>11</v>
      </c>
      <c r="AX314">
        <v>11</v>
      </c>
    </row>
    <row r="315" spans="1:50" x14ac:dyDescent="0.2">
      <c r="A315" t="s">
        <v>34</v>
      </c>
      <c r="B315" t="s">
        <v>35</v>
      </c>
      <c r="C315">
        <v>19</v>
      </c>
      <c r="D315" t="s">
        <v>36</v>
      </c>
      <c r="E315" t="s">
        <v>48</v>
      </c>
      <c r="F315" t="s">
        <v>45</v>
      </c>
      <c r="G315">
        <f t="shared" si="65"/>
        <v>1</v>
      </c>
      <c r="H315">
        <v>3</v>
      </c>
      <c r="I315">
        <f t="shared" si="66"/>
        <v>0</v>
      </c>
      <c r="J315">
        <f t="shared" si="67"/>
        <v>0</v>
      </c>
      <c r="K315">
        <f t="shared" si="68"/>
        <v>0</v>
      </c>
      <c r="L315">
        <f t="shared" si="69"/>
        <v>1</v>
      </c>
      <c r="M315">
        <f t="shared" si="70"/>
        <v>0</v>
      </c>
      <c r="N315">
        <v>2</v>
      </c>
      <c r="O315">
        <f t="shared" si="60"/>
        <v>0</v>
      </c>
      <c r="P315">
        <f t="shared" si="61"/>
        <v>0</v>
      </c>
      <c r="Q315">
        <f t="shared" si="62"/>
        <v>1</v>
      </c>
      <c r="R315">
        <f t="shared" si="63"/>
        <v>0</v>
      </c>
      <c r="S315">
        <f t="shared" si="64"/>
        <v>0</v>
      </c>
      <c r="T315">
        <f t="shared" si="71"/>
        <v>0</v>
      </c>
      <c r="V315" t="s">
        <v>49</v>
      </c>
      <c r="W315" t="s">
        <v>46</v>
      </c>
      <c r="X315" t="s">
        <v>52</v>
      </c>
      <c r="Y315" t="s">
        <v>46</v>
      </c>
      <c r="Z315">
        <v>2</v>
      </c>
      <c r="AA315">
        <v>2</v>
      </c>
      <c r="AB315">
        <v>1</v>
      </c>
      <c r="AC315" t="s">
        <v>44</v>
      </c>
      <c r="AD315" t="s">
        <v>43</v>
      </c>
      <c r="AE315">
        <f t="shared" si="72"/>
        <v>1</v>
      </c>
      <c r="AF315" t="s">
        <v>43</v>
      </c>
      <c r="AG315">
        <f t="shared" si="73"/>
        <v>1</v>
      </c>
      <c r="AH315" t="s">
        <v>44</v>
      </c>
      <c r="AI315" t="s">
        <v>44</v>
      </c>
      <c r="AJ315" t="s">
        <v>43</v>
      </c>
      <c r="AK315" t="s">
        <v>43</v>
      </c>
      <c r="AL315">
        <f t="shared" si="74"/>
        <v>1</v>
      </c>
      <c r="AM315" t="s">
        <v>43</v>
      </c>
      <c r="AN315">
        <v>4</v>
      </c>
      <c r="AO315">
        <v>2</v>
      </c>
      <c r="AP315">
        <v>2</v>
      </c>
      <c r="AQ315">
        <v>1</v>
      </c>
      <c r="AR315">
        <v>2</v>
      </c>
      <c r="AS315">
        <v>1</v>
      </c>
      <c r="AT315">
        <v>22</v>
      </c>
      <c r="AV315">
        <v>13</v>
      </c>
      <c r="AW315">
        <v>10</v>
      </c>
      <c r="AX315">
        <v>11</v>
      </c>
    </row>
    <row r="316" spans="1:50" x14ac:dyDescent="0.2">
      <c r="A316" t="s">
        <v>34</v>
      </c>
      <c r="B316" t="s">
        <v>35</v>
      </c>
      <c r="C316">
        <v>19</v>
      </c>
      <c r="D316" t="s">
        <v>36</v>
      </c>
      <c r="E316" t="s">
        <v>37</v>
      </c>
      <c r="F316" t="s">
        <v>45</v>
      </c>
      <c r="G316">
        <f t="shared" si="65"/>
        <v>1</v>
      </c>
      <c r="H316">
        <v>1</v>
      </c>
      <c r="I316">
        <f t="shared" si="66"/>
        <v>0</v>
      </c>
      <c r="J316">
        <f t="shared" si="67"/>
        <v>1</v>
      </c>
      <c r="K316">
        <f t="shared" si="68"/>
        <v>0</v>
      </c>
      <c r="L316">
        <f t="shared" si="69"/>
        <v>0</v>
      </c>
      <c r="M316">
        <f t="shared" si="70"/>
        <v>0</v>
      </c>
      <c r="N316">
        <v>1</v>
      </c>
      <c r="O316">
        <f t="shared" si="60"/>
        <v>0</v>
      </c>
      <c r="P316">
        <f t="shared" si="61"/>
        <v>1</v>
      </c>
      <c r="Q316">
        <f t="shared" si="62"/>
        <v>0</v>
      </c>
      <c r="R316">
        <f t="shared" si="63"/>
        <v>0</v>
      </c>
      <c r="S316">
        <f t="shared" si="64"/>
        <v>0</v>
      </c>
      <c r="T316">
        <f t="shared" si="71"/>
        <v>0</v>
      </c>
      <c r="V316" t="s">
        <v>39</v>
      </c>
      <c r="W316" t="s">
        <v>29</v>
      </c>
      <c r="X316" t="s">
        <v>50</v>
      </c>
      <c r="Y316" t="s">
        <v>46</v>
      </c>
      <c r="Z316">
        <v>1</v>
      </c>
      <c r="AA316">
        <v>3</v>
      </c>
      <c r="AB316">
        <v>2</v>
      </c>
      <c r="AC316" t="s">
        <v>44</v>
      </c>
      <c r="AD316" t="s">
        <v>44</v>
      </c>
      <c r="AE316">
        <f t="shared" si="72"/>
        <v>0</v>
      </c>
      <c r="AF316" t="s">
        <v>44</v>
      </c>
      <c r="AG316">
        <f t="shared" si="73"/>
        <v>0</v>
      </c>
      <c r="AH316" t="s">
        <v>44</v>
      </c>
      <c r="AI316" t="s">
        <v>44</v>
      </c>
      <c r="AJ316" t="s">
        <v>43</v>
      </c>
      <c r="AK316" t="s">
        <v>43</v>
      </c>
      <c r="AL316">
        <f t="shared" si="74"/>
        <v>1</v>
      </c>
      <c r="AM316" t="s">
        <v>43</v>
      </c>
      <c r="AN316">
        <v>4</v>
      </c>
      <c r="AO316">
        <v>1</v>
      </c>
      <c r="AP316">
        <v>2</v>
      </c>
      <c r="AQ316">
        <v>1</v>
      </c>
      <c r="AR316">
        <v>1</v>
      </c>
      <c r="AS316">
        <v>3</v>
      </c>
      <c r="AT316">
        <v>14</v>
      </c>
      <c r="AV316">
        <v>15</v>
      </c>
      <c r="AW316">
        <v>13</v>
      </c>
      <c r="AX316">
        <v>13</v>
      </c>
    </row>
    <row r="317" spans="1:50" x14ac:dyDescent="0.2">
      <c r="A317" t="s">
        <v>34</v>
      </c>
      <c r="B317" t="s">
        <v>35</v>
      </c>
      <c r="C317">
        <v>19</v>
      </c>
      <c r="D317" t="s">
        <v>53</v>
      </c>
      <c r="E317" t="s">
        <v>37</v>
      </c>
      <c r="F317" t="s">
        <v>45</v>
      </c>
      <c r="G317">
        <f t="shared" si="65"/>
        <v>1</v>
      </c>
      <c r="H317">
        <v>2</v>
      </c>
      <c r="I317">
        <f t="shared" si="66"/>
        <v>0</v>
      </c>
      <c r="J317">
        <f t="shared" si="67"/>
        <v>0</v>
      </c>
      <c r="K317">
        <f t="shared" si="68"/>
        <v>1</v>
      </c>
      <c r="L317">
        <f t="shared" si="69"/>
        <v>0</v>
      </c>
      <c r="M317">
        <f t="shared" si="70"/>
        <v>0</v>
      </c>
      <c r="N317">
        <v>3</v>
      </c>
      <c r="O317">
        <f t="shared" si="60"/>
        <v>0</v>
      </c>
      <c r="P317">
        <f t="shared" si="61"/>
        <v>0</v>
      </c>
      <c r="Q317">
        <f t="shared" si="62"/>
        <v>0</v>
      </c>
      <c r="R317">
        <f t="shared" si="63"/>
        <v>1</v>
      </c>
      <c r="S317">
        <f t="shared" si="64"/>
        <v>0</v>
      </c>
      <c r="T317">
        <f t="shared" si="71"/>
        <v>0</v>
      </c>
      <c r="V317" t="s">
        <v>46</v>
      </c>
      <c r="W317" t="s">
        <v>46</v>
      </c>
      <c r="X317" t="s">
        <v>52</v>
      </c>
      <c r="Y317" t="s">
        <v>46</v>
      </c>
      <c r="Z317">
        <v>1</v>
      </c>
      <c r="AA317">
        <v>3</v>
      </c>
      <c r="AB317">
        <v>1</v>
      </c>
      <c r="AC317" t="s">
        <v>44</v>
      </c>
      <c r="AD317" t="s">
        <v>44</v>
      </c>
      <c r="AE317">
        <f t="shared" si="72"/>
        <v>0</v>
      </c>
      <c r="AF317" t="s">
        <v>44</v>
      </c>
      <c r="AG317">
        <f t="shared" si="73"/>
        <v>0</v>
      </c>
      <c r="AH317" t="s">
        <v>44</v>
      </c>
      <c r="AI317" t="s">
        <v>43</v>
      </c>
      <c r="AJ317" t="s">
        <v>43</v>
      </c>
      <c r="AK317" t="s">
        <v>43</v>
      </c>
      <c r="AL317">
        <f t="shared" si="74"/>
        <v>1</v>
      </c>
      <c r="AM317" t="s">
        <v>43</v>
      </c>
      <c r="AN317">
        <v>4</v>
      </c>
      <c r="AO317">
        <v>1</v>
      </c>
      <c r="AP317">
        <v>2</v>
      </c>
      <c r="AQ317">
        <v>1</v>
      </c>
      <c r="AR317">
        <v>1</v>
      </c>
      <c r="AS317">
        <v>3</v>
      </c>
      <c r="AT317">
        <v>40</v>
      </c>
      <c r="AV317">
        <v>13</v>
      </c>
      <c r="AW317">
        <v>11</v>
      </c>
      <c r="AX317">
        <v>11</v>
      </c>
    </row>
    <row r="318" spans="1:50" x14ac:dyDescent="0.2">
      <c r="A318" t="s">
        <v>34</v>
      </c>
      <c r="B318" t="s">
        <v>35</v>
      </c>
      <c r="C318">
        <v>18</v>
      </c>
      <c r="D318" t="s">
        <v>36</v>
      </c>
      <c r="E318" t="s">
        <v>37</v>
      </c>
      <c r="F318" t="s">
        <v>45</v>
      </c>
      <c r="G318">
        <f t="shared" si="65"/>
        <v>1</v>
      </c>
      <c r="H318">
        <v>2</v>
      </c>
      <c r="I318">
        <f t="shared" si="66"/>
        <v>0</v>
      </c>
      <c r="J318">
        <f t="shared" si="67"/>
        <v>0</v>
      </c>
      <c r="K318">
        <f t="shared" si="68"/>
        <v>1</v>
      </c>
      <c r="L318">
        <f t="shared" si="69"/>
        <v>0</v>
      </c>
      <c r="M318">
        <f t="shared" si="70"/>
        <v>0</v>
      </c>
      <c r="N318">
        <v>1</v>
      </c>
      <c r="O318">
        <f t="shared" si="60"/>
        <v>0</v>
      </c>
      <c r="P318">
        <f t="shared" si="61"/>
        <v>1</v>
      </c>
      <c r="Q318">
        <f t="shared" si="62"/>
        <v>0</v>
      </c>
      <c r="R318">
        <f t="shared" si="63"/>
        <v>0</v>
      </c>
      <c r="S318">
        <f t="shared" si="64"/>
        <v>0</v>
      </c>
      <c r="T318">
        <f t="shared" si="71"/>
        <v>0</v>
      </c>
      <c r="V318" t="s">
        <v>49</v>
      </c>
      <c r="W318" t="s">
        <v>46</v>
      </c>
      <c r="X318" t="s">
        <v>41</v>
      </c>
      <c r="Y318" t="s">
        <v>42</v>
      </c>
      <c r="Z318">
        <v>2</v>
      </c>
      <c r="AA318">
        <v>2</v>
      </c>
      <c r="AB318">
        <v>0</v>
      </c>
      <c r="AC318" t="s">
        <v>44</v>
      </c>
      <c r="AD318" t="s">
        <v>43</v>
      </c>
      <c r="AE318">
        <f t="shared" si="72"/>
        <v>1</v>
      </c>
      <c r="AF318" t="s">
        <v>43</v>
      </c>
      <c r="AG318">
        <f t="shared" si="73"/>
        <v>1</v>
      </c>
      <c r="AH318" t="s">
        <v>43</v>
      </c>
      <c r="AI318" t="s">
        <v>43</v>
      </c>
      <c r="AJ318" t="s">
        <v>43</v>
      </c>
      <c r="AK318" t="s">
        <v>43</v>
      </c>
      <c r="AL318">
        <f t="shared" si="74"/>
        <v>1</v>
      </c>
      <c r="AM318" t="s">
        <v>44</v>
      </c>
      <c r="AN318">
        <v>5</v>
      </c>
      <c r="AO318">
        <v>3</v>
      </c>
      <c r="AP318">
        <v>3</v>
      </c>
      <c r="AQ318">
        <v>1</v>
      </c>
      <c r="AR318">
        <v>2</v>
      </c>
      <c r="AS318">
        <v>1</v>
      </c>
      <c r="AT318">
        <v>0</v>
      </c>
      <c r="AV318">
        <v>8</v>
      </c>
      <c r="AW318">
        <v>8</v>
      </c>
      <c r="AX318">
        <v>0</v>
      </c>
    </row>
    <row r="319" spans="1:50" x14ac:dyDescent="0.2">
      <c r="A319" t="s">
        <v>34</v>
      </c>
      <c r="B319" t="s">
        <v>35</v>
      </c>
      <c r="C319">
        <v>18</v>
      </c>
      <c r="D319" t="s">
        <v>36</v>
      </c>
      <c r="E319" t="s">
        <v>37</v>
      </c>
      <c r="F319" t="s">
        <v>45</v>
      </c>
      <c r="G319">
        <f t="shared" si="65"/>
        <v>1</v>
      </c>
      <c r="H319">
        <v>4</v>
      </c>
      <c r="I319">
        <f t="shared" si="66"/>
        <v>0</v>
      </c>
      <c r="J319">
        <f t="shared" si="67"/>
        <v>0</v>
      </c>
      <c r="K319">
        <f t="shared" si="68"/>
        <v>0</v>
      </c>
      <c r="L319">
        <f t="shared" si="69"/>
        <v>0</v>
      </c>
      <c r="M319">
        <f t="shared" si="70"/>
        <v>1</v>
      </c>
      <c r="N319">
        <v>3</v>
      </c>
      <c r="O319">
        <f t="shared" si="60"/>
        <v>0</v>
      </c>
      <c r="P319">
        <f t="shared" si="61"/>
        <v>0</v>
      </c>
      <c r="Q319">
        <f t="shared" si="62"/>
        <v>0</v>
      </c>
      <c r="R319">
        <f t="shared" si="63"/>
        <v>1</v>
      </c>
      <c r="S319">
        <f t="shared" si="64"/>
        <v>0</v>
      </c>
      <c r="T319">
        <f t="shared" si="71"/>
        <v>0</v>
      </c>
      <c r="V319" t="s">
        <v>46</v>
      </c>
      <c r="W319" t="s">
        <v>46</v>
      </c>
      <c r="X319" t="s">
        <v>41</v>
      </c>
      <c r="Y319" t="s">
        <v>42</v>
      </c>
      <c r="Z319">
        <v>1</v>
      </c>
      <c r="AA319">
        <v>3</v>
      </c>
      <c r="AB319">
        <v>0</v>
      </c>
      <c r="AC319" t="s">
        <v>44</v>
      </c>
      <c r="AD319" t="s">
        <v>43</v>
      </c>
      <c r="AE319">
        <f t="shared" si="72"/>
        <v>1</v>
      </c>
      <c r="AF319" t="s">
        <v>43</v>
      </c>
      <c r="AG319">
        <f t="shared" si="73"/>
        <v>1</v>
      </c>
      <c r="AH319" t="s">
        <v>43</v>
      </c>
      <c r="AI319" t="s">
        <v>43</v>
      </c>
      <c r="AJ319" t="s">
        <v>43</v>
      </c>
      <c r="AK319" t="s">
        <v>43</v>
      </c>
      <c r="AL319">
        <f t="shared" si="74"/>
        <v>1</v>
      </c>
      <c r="AM319" t="s">
        <v>43</v>
      </c>
      <c r="AN319">
        <v>4</v>
      </c>
      <c r="AO319">
        <v>3</v>
      </c>
      <c r="AP319">
        <v>4</v>
      </c>
      <c r="AQ319">
        <v>1</v>
      </c>
      <c r="AR319">
        <v>1</v>
      </c>
      <c r="AS319">
        <v>5</v>
      </c>
      <c r="AT319">
        <v>9</v>
      </c>
      <c r="AV319">
        <v>9</v>
      </c>
      <c r="AW319">
        <v>10</v>
      </c>
      <c r="AX319">
        <v>9</v>
      </c>
    </row>
    <row r="320" spans="1:50" x14ac:dyDescent="0.2">
      <c r="A320" t="s">
        <v>34</v>
      </c>
      <c r="B320" t="s">
        <v>35</v>
      </c>
      <c r="C320">
        <v>17</v>
      </c>
      <c r="D320" t="s">
        <v>53</v>
      </c>
      <c r="E320" t="s">
        <v>37</v>
      </c>
      <c r="F320" t="s">
        <v>45</v>
      </c>
      <c r="G320">
        <f t="shared" si="65"/>
        <v>1</v>
      </c>
      <c r="H320">
        <v>3</v>
      </c>
      <c r="I320">
        <f t="shared" si="66"/>
        <v>0</v>
      </c>
      <c r="J320">
        <f t="shared" si="67"/>
        <v>0</v>
      </c>
      <c r="K320">
        <f t="shared" si="68"/>
        <v>0</v>
      </c>
      <c r="L320">
        <f t="shared" si="69"/>
        <v>1</v>
      </c>
      <c r="M320">
        <f t="shared" si="70"/>
        <v>0</v>
      </c>
      <c r="N320">
        <v>4</v>
      </c>
      <c r="O320">
        <f t="shared" si="60"/>
        <v>0</v>
      </c>
      <c r="P320">
        <f t="shared" si="61"/>
        <v>0</v>
      </c>
      <c r="Q320">
        <f t="shared" si="62"/>
        <v>0</v>
      </c>
      <c r="R320">
        <f t="shared" si="63"/>
        <v>0</v>
      </c>
      <c r="S320">
        <f t="shared" si="64"/>
        <v>1</v>
      </c>
      <c r="T320">
        <f t="shared" si="71"/>
        <v>0</v>
      </c>
      <c r="V320" t="s">
        <v>39</v>
      </c>
      <c r="W320" t="s">
        <v>49</v>
      </c>
      <c r="X320" t="s">
        <v>41</v>
      </c>
      <c r="Y320" t="s">
        <v>47</v>
      </c>
      <c r="Z320">
        <v>1</v>
      </c>
      <c r="AA320">
        <v>3</v>
      </c>
      <c r="AB320">
        <v>0</v>
      </c>
      <c r="AC320" t="s">
        <v>44</v>
      </c>
      <c r="AD320" t="s">
        <v>43</v>
      </c>
      <c r="AE320">
        <f t="shared" si="72"/>
        <v>1</v>
      </c>
      <c r="AF320" t="s">
        <v>43</v>
      </c>
      <c r="AG320">
        <f t="shared" si="73"/>
        <v>1</v>
      </c>
      <c r="AH320" t="s">
        <v>43</v>
      </c>
      <c r="AI320" t="s">
        <v>44</v>
      </c>
      <c r="AJ320" t="s">
        <v>43</v>
      </c>
      <c r="AK320" t="s">
        <v>43</v>
      </c>
      <c r="AL320">
        <f t="shared" si="74"/>
        <v>1</v>
      </c>
      <c r="AM320" t="s">
        <v>44</v>
      </c>
      <c r="AN320">
        <v>4</v>
      </c>
      <c r="AO320">
        <v>3</v>
      </c>
      <c r="AP320">
        <v>4</v>
      </c>
      <c r="AQ320">
        <v>2</v>
      </c>
      <c r="AR320">
        <v>5</v>
      </c>
      <c r="AS320">
        <v>5</v>
      </c>
      <c r="AT320">
        <v>0</v>
      </c>
      <c r="AV320">
        <v>11</v>
      </c>
      <c r="AW320">
        <v>11</v>
      </c>
      <c r="AX320">
        <v>10</v>
      </c>
    </row>
    <row r="321" spans="1:50" x14ac:dyDescent="0.2">
      <c r="A321" t="s">
        <v>34</v>
      </c>
      <c r="B321" t="s">
        <v>35</v>
      </c>
      <c r="C321">
        <v>18</v>
      </c>
      <c r="D321" t="s">
        <v>36</v>
      </c>
      <c r="E321" t="s">
        <v>37</v>
      </c>
      <c r="F321" t="s">
        <v>45</v>
      </c>
      <c r="G321">
        <f t="shared" si="65"/>
        <v>1</v>
      </c>
      <c r="H321">
        <v>4</v>
      </c>
      <c r="I321">
        <f t="shared" si="66"/>
        <v>0</v>
      </c>
      <c r="J321">
        <f t="shared" si="67"/>
        <v>0</v>
      </c>
      <c r="K321">
        <f t="shared" si="68"/>
        <v>0</v>
      </c>
      <c r="L321">
        <f t="shared" si="69"/>
        <v>0</v>
      </c>
      <c r="M321">
        <f t="shared" si="70"/>
        <v>1</v>
      </c>
      <c r="N321">
        <v>4</v>
      </c>
      <c r="O321">
        <f t="shared" si="60"/>
        <v>0</v>
      </c>
      <c r="P321">
        <f t="shared" si="61"/>
        <v>0</v>
      </c>
      <c r="Q321">
        <f t="shared" si="62"/>
        <v>0</v>
      </c>
      <c r="R321">
        <f t="shared" si="63"/>
        <v>0</v>
      </c>
      <c r="S321">
        <f t="shared" si="64"/>
        <v>1</v>
      </c>
      <c r="T321">
        <f t="shared" si="71"/>
        <v>1</v>
      </c>
      <c r="V321" t="s">
        <v>40</v>
      </c>
      <c r="W321" t="s">
        <v>46</v>
      </c>
      <c r="X321" t="s">
        <v>41</v>
      </c>
      <c r="Y321" t="s">
        <v>42</v>
      </c>
      <c r="Z321">
        <v>1</v>
      </c>
      <c r="AA321">
        <v>2</v>
      </c>
      <c r="AB321">
        <v>0</v>
      </c>
      <c r="AC321" t="s">
        <v>44</v>
      </c>
      <c r="AD321" t="s">
        <v>43</v>
      </c>
      <c r="AE321">
        <f t="shared" si="72"/>
        <v>1</v>
      </c>
      <c r="AF321" t="s">
        <v>43</v>
      </c>
      <c r="AG321">
        <f t="shared" si="73"/>
        <v>1</v>
      </c>
      <c r="AH321" t="s">
        <v>44</v>
      </c>
      <c r="AI321" t="s">
        <v>43</v>
      </c>
      <c r="AJ321" t="s">
        <v>43</v>
      </c>
      <c r="AK321" t="s">
        <v>43</v>
      </c>
      <c r="AL321">
        <f t="shared" si="74"/>
        <v>1</v>
      </c>
      <c r="AM321" t="s">
        <v>44</v>
      </c>
      <c r="AN321">
        <v>4</v>
      </c>
      <c r="AO321">
        <v>4</v>
      </c>
      <c r="AP321">
        <v>4</v>
      </c>
      <c r="AQ321">
        <v>3</v>
      </c>
      <c r="AR321">
        <v>3</v>
      </c>
      <c r="AS321">
        <v>5</v>
      </c>
      <c r="AT321">
        <v>2</v>
      </c>
      <c r="AV321">
        <v>11</v>
      </c>
      <c r="AW321">
        <v>11</v>
      </c>
      <c r="AX321">
        <v>11</v>
      </c>
    </row>
    <row r="322" spans="1:50" x14ac:dyDescent="0.2">
      <c r="A322" t="s">
        <v>34</v>
      </c>
      <c r="B322" t="s">
        <v>35</v>
      </c>
      <c r="C322">
        <v>17</v>
      </c>
      <c r="D322" t="s">
        <v>36</v>
      </c>
      <c r="E322" t="s">
        <v>37</v>
      </c>
      <c r="F322" t="s">
        <v>38</v>
      </c>
      <c r="G322">
        <f t="shared" si="65"/>
        <v>0</v>
      </c>
      <c r="H322">
        <v>4</v>
      </c>
      <c r="I322">
        <f t="shared" si="66"/>
        <v>0</v>
      </c>
      <c r="J322">
        <f t="shared" si="67"/>
        <v>0</v>
      </c>
      <c r="K322">
        <f t="shared" si="68"/>
        <v>0</v>
      </c>
      <c r="L322">
        <f t="shared" si="69"/>
        <v>0</v>
      </c>
      <c r="M322">
        <f t="shared" si="70"/>
        <v>1</v>
      </c>
      <c r="N322">
        <v>3</v>
      </c>
      <c r="O322">
        <f t="shared" ref="O322:O385" si="75" xml:space="preserve"> IF($N322=0,1,0)</f>
        <v>0</v>
      </c>
      <c r="P322">
        <f t="shared" ref="P322:P385" si="76" xml:space="preserve"> IF($N322=1,1,0)</f>
        <v>0</v>
      </c>
      <c r="Q322">
        <f t="shared" ref="Q322:Q385" si="77" xml:space="preserve"> IF($N322=2,1,0)</f>
        <v>0</v>
      </c>
      <c r="R322">
        <f t="shared" ref="R322:R385" si="78" xml:space="preserve"> IF($N322=3,1,0)</f>
        <v>1</v>
      </c>
      <c r="S322">
        <f t="shared" ref="S322:S385" si="79" xml:space="preserve"> IF($N322=4,1,0)</f>
        <v>0</v>
      </c>
      <c r="T322">
        <f t="shared" si="71"/>
        <v>0</v>
      </c>
      <c r="V322" t="s">
        <v>49</v>
      </c>
      <c r="W322" t="s">
        <v>49</v>
      </c>
      <c r="X322" t="s">
        <v>41</v>
      </c>
      <c r="Y322" t="s">
        <v>42</v>
      </c>
      <c r="Z322">
        <v>1</v>
      </c>
      <c r="AA322">
        <v>2</v>
      </c>
      <c r="AB322">
        <v>0</v>
      </c>
      <c r="AC322" t="s">
        <v>44</v>
      </c>
      <c r="AD322" t="s">
        <v>43</v>
      </c>
      <c r="AE322">
        <f t="shared" si="72"/>
        <v>1</v>
      </c>
      <c r="AF322" t="s">
        <v>43</v>
      </c>
      <c r="AG322">
        <f t="shared" si="73"/>
        <v>1</v>
      </c>
      <c r="AH322" t="s">
        <v>44</v>
      </c>
      <c r="AI322" t="s">
        <v>43</v>
      </c>
      <c r="AJ322" t="s">
        <v>43</v>
      </c>
      <c r="AK322" t="s">
        <v>43</v>
      </c>
      <c r="AL322">
        <f t="shared" si="74"/>
        <v>1</v>
      </c>
      <c r="AM322" t="s">
        <v>43</v>
      </c>
      <c r="AN322">
        <v>5</v>
      </c>
      <c r="AO322">
        <v>2</v>
      </c>
      <c r="AP322">
        <v>2</v>
      </c>
      <c r="AQ322">
        <v>1</v>
      </c>
      <c r="AR322">
        <v>2</v>
      </c>
      <c r="AS322">
        <v>5</v>
      </c>
      <c r="AT322">
        <v>23</v>
      </c>
      <c r="AV322">
        <v>13</v>
      </c>
      <c r="AW322">
        <v>13</v>
      </c>
      <c r="AX322">
        <v>13</v>
      </c>
    </row>
    <row r="323" spans="1:50" x14ac:dyDescent="0.2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f t="shared" ref="G323:G386" si="80">IF(F323="T",1,0)</f>
        <v>1</v>
      </c>
      <c r="H323">
        <v>2</v>
      </c>
      <c r="I323">
        <f t="shared" ref="I323:I386" si="81" xml:space="preserve"> IF($H323=0,1,0)</f>
        <v>0</v>
      </c>
      <c r="J323">
        <f t="shared" ref="J323:J386" si="82" xml:space="preserve"> IF($H323=1,1,0)</f>
        <v>0</v>
      </c>
      <c r="K323">
        <f t="shared" ref="K323:K386" si="83" xml:space="preserve"> IF($H323=2,1,0)</f>
        <v>1</v>
      </c>
      <c r="L323">
        <f t="shared" ref="L323:L386" si="84" xml:space="preserve"> IF($H323=3,1,0)</f>
        <v>0</v>
      </c>
      <c r="M323">
        <f t="shared" ref="M323:M386" si="85" xml:space="preserve"> IF($H323=4,1,0)</f>
        <v>0</v>
      </c>
      <c r="N323">
        <v>2</v>
      </c>
      <c r="O323">
        <f t="shared" si="75"/>
        <v>0</v>
      </c>
      <c r="P323">
        <f t="shared" si="76"/>
        <v>0</v>
      </c>
      <c r="Q323">
        <f t="shared" si="77"/>
        <v>1</v>
      </c>
      <c r="R323">
        <f t="shared" si="78"/>
        <v>0</v>
      </c>
      <c r="S323">
        <f t="shared" si="79"/>
        <v>0</v>
      </c>
      <c r="T323">
        <f t="shared" ref="T323:T386" si="86">IF(AND(M323=1,S323=1),1,0)</f>
        <v>0</v>
      </c>
      <c r="V323" t="s">
        <v>46</v>
      </c>
      <c r="W323" t="s">
        <v>46</v>
      </c>
      <c r="X323" t="s">
        <v>41</v>
      </c>
      <c r="Y323" t="s">
        <v>42</v>
      </c>
      <c r="Z323">
        <v>1</v>
      </c>
      <c r="AA323">
        <v>2</v>
      </c>
      <c r="AB323">
        <v>0</v>
      </c>
      <c r="AC323" t="s">
        <v>44</v>
      </c>
      <c r="AD323" t="s">
        <v>43</v>
      </c>
      <c r="AE323">
        <f t="shared" ref="AE323:AE386" si="87">IF(AD323="yes",1,0)</f>
        <v>1</v>
      </c>
      <c r="AF323" t="s">
        <v>44</v>
      </c>
      <c r="AG323">
        <f t="shared" ref="AG323:AG386" si="88">IF(AF323="yes",1,0)</f>
        <v>0</v>
      </c>
      <c r="AH323" t="s">
        <v>44</v>
      </c>
      <c r="AI323" t="s">
        <v>43</v>
      </c>
      <c r="AJ323" t="s">
        <v>43</v>
      </c>
      <c r="AK323" t="s">
        <v>44</v>
      </c>
      <c r="AL323">
        <f t="shared" ref="AL323:AL386" si="89">IF(AK323="yes",1,0)</f>
        <v>0</v>
      </c>
      <c r="AM323" t="s">
        <v>43</v>
      </c>
      <c r="AN323">
        <v>4</v>
      </c>
      <c r="AO323">
        <v>2</v>
      </c>
      <c r="AP323">
        <v>2</v>
      </c>
      <c r="AQ323">
        <v>1</v>
      </c>
      <c r="AR323">
        <v>1</v>
      </c>
      <c r="AS323">
        <v>3</v>
      </c>
      <c r="AT323">
        <v>12</v>
      </c>
      <c r="AV323">
        <v>11</v>
      </c>
      <c r="AW323">
        <v>9</v>
      </c>
      <c r="AX323">
        <v>9</v>
      </c>
    </row>
    <row r="324" spans="1:50" x14ac:dyDescent="0.2">
      <c r="A324" t="s">
        <v>34</v>
      </c>
      <c r="B324" t="s">
        <v>35</v>
      </c>
      <c r="C324">
        <v>17</v>
      </c>
      <c r="D324" t="s">
        <v>53</v>
      </c>
      <c r="E324" t="s">
        <v>48</v>
      </c>
      <c r="F324" t="s">
        <v>45</v>
      </c>
      <c r="G324">
        <f t="shared" si="80"/>
        <v>1</v>
      </c>
      <c r="H324">
        <v>2</v>
      </c>
      <c r="I324">
        <f t="shared" si="81"/>
        <v>0</v>
      </c>
      <c r="J324">
        <f t="shared" si="82"/>
        <v>0</v>
      </c>
      <c r="K324">
        <f t="shared" si="83"/>
        <v>1</v>
      </c>
      <c r="L324">
        <f t="shared" si="84"/>
        <v>0</v>
      </c>
      <c r="M324">
        <f t="shared" si="85"/>
        <v>0</v>
      </c>
      <c r="N324">
        <v>2</v>
      </c>
      <c r="O324">
        <f t="shared" si="75"/>
        <v>0</v>
      </c>
      <c r="P324">
        <f t="shared" si="76"/>
        <v>0</v>
      </c>
      <c r="Q324">
        <f t="shared" si="77"/>
        <v>1</v>
      </c>
      <c r="R324">
        <f t="shared" si="78"/>
        <v>0</v>
      </c>
      <c r="S324">
        <f t="shared" si="79"/>
        <v>0</v>
      </c>
      <c r="T324">
        <f t="shared" si="86"/>
        <v>0</v>
      </c>
      <c r="V324" t="s">
        <v>49</v>
      </c>
      <c r="W324" t="s">
        <v>49</v>
      </c>
      <c r="X324" t="s">
        <v>41</v>
      </c>
      <c r="Y324" t="s">
        <v>42</v>
      </c>
      <c r="Z324">
        <v>1</v>
      </c>
      <c r="AA324">
        <v>3</v>
      </c>
      <c r="AB324">
        <v>0</v>
      </c>
      <c r="AC324" t="s">
        <v>44</v>
      </c>
      <c r="AD324" t="s">
        <v>43</v>
      </c>
      <c r="AE324">
        <f t="shared" si="87"/>
        <v>1</v>
      </c>
      <c r="AF324" t="s">
        <v>43</v>
      </c>
      <c r="AG324">
        <f t="shared" si="88"/>
        <v>1</v>
      </c>
      <c r="AH324" t="s">
        <v>43</v>
      </c>
      <c r="AI324" t="s">
        <v>43</v>
      </c>
      <c r="AJ324" t="s">
        <v>43</v>
      </c>
      <c r="AK324" t="s">
        <v>43</v>
      </c>
      <c r="AL324">
        <f t="shared" si="89"/>
        <v>1</v>
      </c>
      <c r="AM324" t="s">
        <v>44</v>
      </c>
      <c r="AN324">
        <v>3</v>
      </c>
      <c r="AO324">
        <v>3</v>
      </c>
      <c r="AP324">
        <v>2</v>
      </c>
      <c r="AQ324">
        <v>2</v>
      </c>
      <c r="AR324">
        <v>2</v>
      </c>
      <c r="AS324">
        <v>3</v>
      </c>
      <c r="AT324">
        <v>3</v>
      </c>
      <c r="AV324">
        <v>11</v>
      </c>
      <c r="AW324">
        <v>11</v>
      </c>
      <c r="AX324">
        <v>11</v>
      </c>
    </row>
    <row r="325" spans="1:50" x14ac:dyDescent="0.2">
      <c r="A325" t="s">
        <v>34</v>
      </c>
      <c r="B325" t="s">
        <v>35</v>
      </c>
      <c r="C325">
        <v>17</v>
      </c>
      <c r="D325" t="s">
        <v>36</v>
      </c>
      <c r="E325" t="s">
        <v>37</v>
      </c>
      <c r="F325" t="s">
        <v>45</v>
      </c>
      <c r="G325">
        <f t="shared" si="80"/>
        <v>1</v>
      </c>
      <c r="H325">
        <v>3</v>
      </c>
      <c r="I325">
        <f t="shared" si="81"/>
        <v>0</v>
      </c>
      <c r="J325">
        <f t="shared" si="82"/>
        <v>0</v>
      </c>
      <c r="K325">
        <f t="shared" si="83"/>
        <v>0</v>
      </c>
      <c r="L325">
        <f t="shared" si="84"/>
        <v>1</v>
      </c>
      <c r="M325">
        <f t="shared" si="85"/>
        <v>0</v>
      </c>
      <c r="N325">
        <v>1</v>
      </c>
      <c r="O325">
        <f t="shared" si="75"/>
        <v>0</v>
      </c>
      <c r="P325">
        <f t="shared" si="76"/>
        <v>1</v>
      </c>
      <c r="Q325">
        <f t="shared" si="77"/>
        <v>0</v>
      </c>
      <c r="R325">
        <f t="shared" si="78"/>
        <v>0</v>
      </c>
      <c r="S325">
        <f t="shared" si="79"/>
        <v>0</v>
      </c>
      <c r="T325">
        <f t="shared" si="86"/>
        <v>0</v>
      </c>
      <c r="V325" t="s">
        <v>49</v>
      </c>
      <c r="W325" t="s">
        <v>49</v>
      </c>
      <c r="X325" t="s">
        <v>41</v>
      </c>
      <c r="Y325" t="s">
        <v>47</v>
      </c>
      <c r="Z325">
        <v>1</v>
      </c>
      <c r="AA325">
        <v>3</v>
      </c>
      <c r="AB325">
        <v>0</v>
      </c>
      <c r="AC325" t="s">
        <v>44</v>
      </c>
      <c r="AD325" t="s">
        <v>43</v>
      </c>
      <c r="AE325">
        <f t="shared" si="87"/>
        <v>1</v>
      </c>
      <c r="AF325" t="s">
        <v>44</v>
      </c>
      <c r="AG325">
        <f t="shared" si="88"/>
        <v>0</v>
      </c>
      <c r="AH325" t="s">
        <v>44</v>
      </c>
      <c r="AI325" t="s">
        <v>44</v>
      </c>
      <c r="AJ325" t="s">
        <v>43</v>
      </c>
      <c r="AK325" t="s">
        <v>43</v>
      </c>
      <c r="AL325">
        <f t="shared" si="89"/>
        <v>1</v>
      </c>
      <c r="AM325" t="s">
        <v>44</v>
      </c>
      <c r="AN325">
        <v>3</v>
      </c>
      <c r="AO325">
        <v>4</v>
      </c>
      <c r="AP325">
        <v>3</v>
      </c>
      <c r="AQ325">
        <v>2</v>
      </c>
      <c r="AR325">
        <v>3</v>
      </c>
      <c r="AS325">
        <v>5</v>
      </c>
      <c r="AT325">
        <v>1</v>
      </c>
      <c r="AV325">
        <v>12</v>
      </c>
      <c r="AW325">
        <v>14</v>
      </c>
      <c r="AX325">
        <v>15</v>
      </c>
    </row>
    <row r="326" spans="1:50" x14ac:dyDescent="0.2">
      <c r="A326" t="s">
        <v>34</v>
      </c>
      <c r="B326" t="s">
        <v>35</v>
      </c>
      <c r="C326">
        <v>17</v>
      </c>
      <c r="D326" t="s">
        <v>36</v>
      </c>
      <c r="E326" t="s">
        <v>48</v>
      </c>
      <c r="F326" t="s">
        <v>45</v>
      </c>
      <c r="G326">
        <f t="shared" si="80"/>
        <v>1</v>
      </c>
      <c r="H326">
        <v>0</v>
      </c>
      <c r="I326">
        <f t="shared" si="81"/>
        <v>1</v>
      </c>
      <c r="J326">
        <f t="shared" si="82"/>
        <v>0</v>
      </c>
      <c r="K326">
        <f t="shared" si="83"/>
        <v>0</v>
      </c>
      <c r="L326">
        <f t="shared" si="84"/>
        <v>0</v>
      </c>
      <c r="M326">
        <f t="shared" si="85"/>
        <v>0</v>
      </c>
      <c r="N326">
        <v>2</v>
      </c>
      <c r="O326">
        <f t="shared" si="75"/>
        <v>0</v>
      </c>
      <c r="P326">
        <f t="shared" si="76"/>
        <v>0</v>
      </c>
      <c r="Q326">
        <f t="shared" si="77"/>
        <v>1</v>
      </c>
      <c r="R326">
        <f t="shared" si="78"/>
        <v>0</v>
      </c>
      <c r="S326">
        <f t="shared" si="79"/>
        <v>0</v>
      </c>
      <c r="T326">
        <f t="shared" si="86"/>
        <v>0</v>
      </c>
      <c r="V326" t="s">
        <v>39</v>
      </c>
      <c r="W326" t="s">
        <v>39</v>
      </c>
      <c r="X326" t="s">
        <v>50</v>
      </c>
      <c r="Y326" t="s">
        <v>47</v>
      </c>
      <c r="Z326">
        <v>2</v>
      </c>
      <c r="AA326">
        <v>3</v>
      </c>
      <c r="AB326">
        <v>0</v>
      </c>
      <c r="AC326" t="s">
        <v>44</v>
      </c>
      <c r="AD326" t="s">
        <v>44</v>
      </c>
      <c r="AE326">
        <f t="shared" si="87"/>
        <v>0</v>
      </c>
      <c r="AF326" t="s">
        <v>44</v>
      </c>
      <c r="AG326">
        <f t="shared" si="88"/>
        <v>0</v>
      </c>
      <c r="AH326" t="s">
        <v>44</v>
      </c>
      <c r="AI326" t="s">
        <v>43</v>
      </c>
      <c r="AJ326" t="s">
        <v>43</v>
      </c>
      <c r="AK326" t="s">
        <v>43</v>
      </c>
      <c r="AL326">
        <f t="shared" si="89"/>
        <v>1</v>
      </c>
      <c r="AM326" t="s">
        <v>44</v>
      </c>
      <c r="AN326">
        <v>3</v>
      </c>
      <c r="AO326">
        <v>3</v>
      </c>
      <c r="AP326">
        <v>3</v>
      </c>
      <c r="AQ326">
        <v>2</v>
      </c>
      <c r="AR326">
        <v>3</v>
      </c>
      <c r="AS326">
        <v>2</v>
      </c>
      <c r="AT326">
        <v>0</v>
      </c>
      <c r="AV326">
        <v>16</v>
      </c>
      <c r="AW326">
        <v>15</v>
      </c>
      <c r="AX326">
        <v>15</v>
      </c>
    </row>
    <row r="327" spans="1:50" x14ac:dyDescent="0.2">
      <c r="A327" t="s">
        <v>34</v>
      </c>
      <c r="B327" t="s">
        <v>51</v>
      </c>
      <c r="C327">
        <v>18</v>
      </c>
      <c r="D327" t="s">
        <v>36</v>
      </c>
      <c r="E327" t="s">
        <v>37</v>
      </c>
      <c r="F327" t="s">
        <v>45</v>
      </c>
      <c r="G327">
        <f t="shared" si="80"/>
        <v>1</v>
      </c>
      <c r="H327">
        <v>4</v>
      </c>
      <c r="I327">
        <f t="shared" si="81"/>
        <v>0</v>
      </c>
      <c r="J327">
        <f t="shared" si="82"/>
        <v>0</v>
      </c>
      <c r="K327">
        <f t="shared" si="83"/>
        <v>0</v>
      </c>
      <c r="L327">
        <f t="shared" si="84"/>
        <v>0</v>
      </c>
      <c r="M327">
        <f t="shared" si="85"/>
        <v>1</v>
      </c>
      <c r="N327">
        <v>4</v>
      </c>
      <c r="O327">
        <f t="shared" si="75"/>
        <v>0</v>
      </c>
      <c r="P327">
        <f t="shared" si="76"/>
        <v>0</v>
      </c>
      <c r="Q327">
        <f t="shared" si="77"/>
        <v>0</v>
      </c>
      <c r="R327">
        <f t="shared" si="78"/>
        <v>0</v>
      </c>
      <c r="S327">
        <f t="shared" si="79"/>
        <v>1</v>
      </c>
      <c r="T327">
        <f t="shared" si="86"/>
        <v>1</v>
      </c>
      <c r="V327" t="s">
        <v>46</v>
      </c>
      <c r="W327" t="s">
        <v>46</v>
      </c>
      <c r="X327" t="s">
        <v>41</v>
      </c>
      <c r="Y327" t="s">
        <v>42</v>
      </c>
      <c r="Z327">
        <v>1</v>
      </c>
      <c r="AA327">
        <v>3</v>
      </c>
      <c r="AB327">
        <v>0</v>
      </c>
      <c r="AC327" t="s">
        <v>44</v>
      </c>
      <c r="AD327" t="s">
        <v>44</v>
      </c>
      <c r="AE327">
        <f t="shared" si="87"/>
        <v>0</v>
      </c>
      <c r="AF327" t="s">
        <v>44</v>
      </c>
      <c r="AG327">
        <f t="shared" si="88"/>
        <v>0</v>
      </c>
      <c r="AH327" t="s">
        <v>43</v>
      </c>
      <c r="AI327" t="s">
        <v>43</v>
      </c>
      <c r="AJ327" t="s">
        <v>43</v>
      </c>
      <c r="AK327" t="s">
        <v>43</v>
      </c>
      <c r="AL327">
        <f t="shared" si="89"/>
        <v>1</v>
      </c>
      <c r="AM327" t="s">
        <v>44</v>
      </c>
      <c r="AN327">
        <v>4</v>
      </c>
      <c r="AO327">
        <v>3</v>
      </c>
      <c r="AP327">
        <v>3</v>
      </c>
      <c r="AQ327">
        <v>2</v>
      </c>
      <c r="AR327">
        <v>2</v>
      </c>
      <c r="AS327">
        <v>3</v>
      </c>
      <c r="AT327">
        <v>3</v>
      </c>
      <c r="AV327">
        <v>9</v>
      </c>
      <c r="AW327">
        <v>12</v>
      </c>
      <c r="AX327">
        <v>11</v>
      </c>
    </row>
    <row r="328" spans="1:50" x14ac:dyDescent="0.2">
      <c r="A328" t="s">
        <v>34</v>
      </c>
      <c r="B328" t="s">
        <v>51</v>
      </c>
      <c r="C328">
        <v>17</v>
      </c>
      <c r="D328" t="s">
        <v>36</v>
      </c>
      <c r="E328" t="s">
        <v>37</v>
      </c>
      <c r="F328" t="s">
        <v>45</v>
      </c>
      <c r="G328">
        <f t="shared" si="80"/>
        <v>1</v>
      </c>
      <c r="H328">
        <v>3</v>
      </c>
      <c r="I328">
        <f t="shared" si="81"/>
        <v>0</v>
      </c>
      <c r="J328">
        <f t="shared" si="82"/>
        <v>0</v>
      </c>
      <c r="K328">
        <f t="shared" si="83"/>
        <v>0</v>
      </c>
      <c r="L328">
        <f t="shared" si="84"/>
        <v>1</v>
      </c>
      <c r="M328">
        <f t="shared" si="85"/>
        <v>0</v>
      </c>
      <c r="N328">
        <v>3</v>
      </c>
      <c r="O328">
        <f t="shared" si="75"/>
        <v>0</v>
      </c>
      <c r="P328">
        <f t="shared" si="76"/>
        <v>0</v>
      </c>
      <c r="Q328">
        <f t="shared" si="77"/>
        <v>0</v>
      </c>
      <c r="R328">
        <f t="shared" si="78"/>
        <v>1</v>
      </c>
      <c r="S328">
        <f t="shared" si="79"/>
        <v>0</v>
      </c>
      <c r="T328">
        <f t="shared" si="86"/>
        <v>0</v>
      </c>
      <c r="V328" t="s">
        <v>46</v>
      </c>
      <c r="W328" t="s">
        <v>49</v>
      </c>
      <c r="X328" t="s">
        <v>52</v>
      </c>
      <c r="Y328" t="s">
        <v>42</v>
      </c>
      <c r="Z328">
        <v>1</v>
      </c>
      <c r="AA328">
        <v>1</v>
      </c>
      <c r="AB328">
        <v>0</v>
      </c>
      <c r="AC328" t="s">
        <v>44</v>
      </c>
      <c r="AD328" t="s">
        <v>44</v>
      </c>
      <c r="AE328">
        <f t="shared" si="87"/>
        <v>0</v>
      </c>
      <c r="AF328" t="s">
        <v>44</v>
      </c>
      <c r="AG328">
        <f t="shared" si="88"/>
        <v>0</v>
      </c>
      <c r="AH328" t="s">
        <v>43</v>
      </c>
      <c r="AI328" t="s">
        <v>44</v>
      </c>
      <c r="AJ328" t="s">
        <v>43</v>
      </c>
      <c r="AK328" t="s">
        <v>43</v>
      </c>
      <c r="AL328">
        <f t="shared" si="89"/>
        <v>1</v>
      </c>
      <c r="AM328" t="s">
        <v>44</v>
      </c>
      <c r="AN328">
        <v>4</v>
      </c>
      <c r="AO328">
        <v>3</v>
      </c>
      <c r="AP328">
        <v>5</v>
      </c>
      <c r="AQ328">
        <v>3</v>
      </c>
      <c r="AR328">
        <v>5</v>
      </c>
      <c r="AS328">
        <v>5</v>
      </c>
      <c r="AT328">
        <v>3</v>
      </c>
      <c r="AV328">
        <v>14</v>
      </c>
      <c r="AW328">
        <v>15</v>
      </c>
      <c r="AX328">
        <v>16</v>
      </c>
    </row>
    <row r="329" spans="1:50" x14ac:dyDescent="0.2">
      <c r="A329" t="s">
        <v>34</v>
      </c>
      <c r="B329" t="s">
        <v>51</v>
      </c>
      <c r="C329">
        <v>17</v>
      </c>
      <c r="D329" t="s">
        <v>53</v>
      </c>
      <c r="E329" t="s">
        <v>37</v>
      </c>
      <c r="F329" t="s">
        <v>45</v>
      </c>
      <c r="G329">
        <f t="shared" si="80"/>
        <v>1</v>
      </c>
      <c r="H329">
        <v>2</v>
      </c>
      <c r="I329">
        <f t="shared" si="81"/>
        <v>0</v>
      </c>
      <c r="J329">
        <f t="shared" si="82"/>
        <v>0</v>
      </c>
      <c r="K329">
        <f t="shared" si="83"/>
        <v>1</v>
      </c>
      <c r="L329">
        <f t="shared" si="84"/>
        <v>0</v>
      </c>
      <c r="M329">
        <f t="shared" si="85"/>
        <v>0</v>
      </c>
      <c r="N329">
        <v>2</v>
      </c>
      <c r="O329">
        <f t="shared" si="75"/>
        <v>0</v>
      </c>
      <c r="P329">
        <f t="shared" si="76"/>
        <v>0</v>
      </c>
      <c r="Q329">
        <f t="shared" si="77"/>
        <v>1</v>
      </c>
      <c r="R329">
        <f t="shared" si="78"/>
        <v>0</v>
      </c>
      <c r="S329">
        <f t="shared" si="79"/>
        <v>0</v>
      </c>
      <c r="T329">
        <f t="shared" si="86"/>
        <v>0</v>
      </c>
      <c r="V329" t="s">
        <v>49</v>
      </c>
      <c r="W329" t="s">
        <v>46</v>
      </c>
      <c r="X329" t="s">
        <v>41</v>
      </c>
      <c r="Y329" t="s">
        <v>42</v>
      </c>
      <c r="Z329">
        <v>4</v>
      </c>
      <c r="AA329">
        <v>1</v>
      </c>
      <c r="AB329">
        <v>0</v>
      </c>
      <c r="AC329" t="s">
        <v>44</v>
      </c>
      <c r="AD329" t="s">
        <v>43</v>
      </c>
      <c r="AE329">
        <f t="shared" si="87"/>
        <v>1</v>
      </c>
      <c r="AF329" t="s">
        <v>44</v>
      </c>
      <c r="AG329">
        <f t="shared" si="88"/>
        <v>0</v>
      </c>
      <c r="AH329" t="s">
        <v>44</v>
      </c>
      <c r="AI329" t="s">
        <v>43</v>
      </c>
      <c r="AJ329" t="s">
        <v>43</v>
      </c>
      <c r="AK329" t="s">
        <v>43</v>
      </c>
      <c r="AL329">
        <f t="shared" si="89"/>
        <v>1</v>
      </c>
      <c r="AM329" t="s">
        <v>44</v>
      </c>
      <c r="AN329">
        <v>4</v>
      </c>
      <c r="AO329">
        <v>4</v>
      </c>
      <c r="AP329">
        <v>5</v>
      </c>
      <c r="AQ329">
        <v>5</v>
      </c>
      <c r="AR329">
        <v>5</v>
      </c>
      <c r="AS329">
        <v>4</v>
      </c>
      <c r="AT329">
        <v>8</v>
      </c>
      <c r="AV329">
        <v>11</v>
      </c>
      <c r="AW329">
        <v>10</v>
      </c>
      <c r="AX329">
        <v>10</v>
      </c>
    </row>
    <row r="330" spans="1:50" x14ac:dyDescent="0.2">
      <c r="A330" t="s">
        <v>34</v>
      </c>
      <c r="B330" t="s">
        <v>35</v>
      </c>
      <c r="C330">
        <v>17</v>
      </c>
      <c r="D330" t="s">
        <v>36</v>
      </c>
      <c r="E330" t="s">
        <v>37</v>
      </c>
      <c r="F330" t="s">
        <v>45</v>
      </c>
      <c r="G330">
        <f t="shared" si="80"/>
        <v>1</v>
      </c>
      <c r="H330">
        <v>4</v>
      </c>
      <c r="I330">
        <f t="shared" si="81"/>
        <v>0</v>
      </c>
      <c r="J330">
        <f t="shared" si="82"/>
        <v>0</v>
      </c>
      <c r="K330">
        <f t="shared" si="83"/>
        <v>0</v>
      </c>
      <c r="L330">
        <f t="shared" si="84"/>
        <v>0</v>
      </c>
      <c r="M330">
        <f t="shared" si="85"/>
        <v>1</v>
      </c>
      <c r="N330">
        <v>4</v>
      </c>
      <c r="O330">
        <f t="shared" si="75"/>
        <v>0</v>
      </c>
      <c r="P330">
        <f t="shared" si="76"/>
        <v>0</v>
      </c>
      <c r="Q330">
        <f t="shared" si="77"/>
        <v>0</v>
      </c>
      <c r="R330">
        <f t="shared" si="78"/>
        <v>0</v>
      </c>
      <c r="S330">
        <f t="shared" si="79"/>
        <v>1</v>
      </c>
      <c r="T330">
        <f t="shared" si="86"/>
        <v>1</v>
      </c>
      <c r="V330" t="s">
        <v>40</v>
      </c>
      <c r="W330" t="s">
        <v>49</v>
      </c>
      <c r="X330" t="s">
        <v>41</v>
      </c>
      <c r="Y330" t="s">
        <v>42</v>
      </c>
      <c r="Z330">
        <v>1</v>
      </c>
      <c r="AA330">
        <v>3</v>
      </c>
      <c r="AB330">
        <v>0</v>
      </c>
      <c r="AC330" t="s">
        <v>44</v>
      </c>
      <c r="AD330" t="s">
        <v>43</v>
      </c>
      <c r="AE330">
        <f t="shared" si="87"/>
        <v>1</v>
      </c>
      <c r="AF330" t="s">
        <v>43</v>
      </c>
      <c r="AG330">
        <f t="shared" si="88"/>
        <v>1</v>
      </c>
      <c r="AH330" t="s">
        <v>43</v>
      </c>
      <c r="AI330" t="s">
        <v>43</v>
      </c>
      <c r="AJ330" t="s">
        <v>43</v>
      </c>
      <c r="AK330" t="s">
        <v>43</v>
      </c>
      <c r="AL330">
        <f t="shared" si="89"/>
        <v>1</v>
      </c>
      <c r="AM330" t="s">
        <v>44</v>
      </c>
      <c r="AN330">
        <v>5</v>
      </c>
      <c r="AO330">
        <v>4</v>
      </c>
      <c r="AP330">
        <v>4</v>
      </c>
      <c r="AQ330">
        <v>1</v>
      </c>
      <c r="AR330">
        <v>3</v>
      </c>
      <c r="AS330">
        <v>4</v>
      </c>
      <c r="AT330">
        <v>7</v>
      </c>
      <c r="AV330">
        <v>10</v>
      </c>
      <c r="AW330">
        <v>9</v>
      </c>
      <c r="AX330">
        <v>9</v>
      </c>
    </row>
    <row r="331" spans="1:50" x14ac:dyDescent="0.2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f t="shared" si="80"/>
        <v>1</v>
      </c>
      <c r="H331">
        <v>4</v>
      </c>
      <c r="I331">
        <f t="shared" si="81"/>
        <v>0</v>
      </c>
      <c r="J331">
        <f t="shared" si="82"/>
        <v>0</v>
      </c>
      <c r="K331">
        <f t="shared" si="83"/>
        <v>0</v>
      </c>
      <c r="L331">
        <f t="shared" si="84"/>
        <v>0</v>
      </c>
      <c r="M331">
        <f t="shared" si="85"/>
        <v>1</v>
      </c>
      <c r="N331">
        <v>4</v>
      </c>
      <c r="O331">
        <f t="shared" si="75"/>
        <v>0</v>
      </c>
      <c r="P331">
        <f t="shared" si="76"/>
        <v>0</v>
      </c>
      <c r="Q331">
        <f t="shared" si="77"/>
        <v>0</v>
      </c>
      <c r="R331">
        <f t="shared" si="78"/>
        <v>0</v>
      </c>
      <c r="S331">
        <f t="shared" si="79"/>
        <v>1</v>
      </c>
      <c r="T331">
        <f t="shared" si="86"/>
        <v>1</v>
      </c>
      <c r="V331" t="s">
        <v>40</v>
      </c>
      <c r="W331" t="s">
        <v>40</v>
      </c>
      <c r="X331" t="s">
        <v>41</v>
      </c>
      <c r="Y331" t="s">
        <v>42</v>
      </c>
      <c r="Z331">
        <v>2</v>
      </c>
      <c r="AA331">
        <v>3</v>
      </c>
      <c r="AB331">
        <v>0</v>
      </c>
      <c r="AC331" t="s">
        <v>44</v>
      </c>
      <c r="AD331" t="s">
        <v>43</v>
      </c>
      <c r="AE331">
        <f t="shared" si="87"/>
        <v>1</v>
      </c>
      <c r="AF331" t="s">
        <v>43</v>
      </c>
      <c r="AG331">
        <f t="shared" si="88"/>
        <v>1</v>
      </c>
      <c r="AH331" t="s">
        <v>44</v>
      </c>
      <c r="AI331" t="s">
        <v>44</v>
      </c>
      <c r="AJ331" t="s">
        <v>43</v>
      </c>
      <c r="AK331" t="s">
        <v>43</v>
      </c>
      <c r="AL331">
        <f t="shared" si="89"/>
        <v>1</v>
      </c>
      <c r="AM331" t="s">
        <v>43</v>
      </c>
      <c r="AN331">
        <v>4</v>
      </c>
      <c r="AO331">
        <v>3</v>
      </c>
      <c r="AP331">
        <v>3</v>
      </c>
      <c r="AQ331">
        <v>1</v>
      </c>
      <c r="AR331">
        <v>2</v>
      </c>
      <c r="AS331">
        <v>4</v>
      </c>
      <c r="AT331">
        <v>4</v>
      </c>
      <c r="AV331">
        <v>14</v>
      </c>
      <c r="AW331">
        <v>14</v>
      </c>
      <c r="AX331">
        <v>14</v>
      </c>
    </row>
    <row r="332" spans="1:50" x14ac:dyDescent="0.2">
      <c r="A332" t="s">
        <v>34</v>
      </c>
      <c r="B332" t="s">
        <v>51</v>
      </c>
      <c r="C332">
        <v>18</v>
      </c>
      <c r="D332" t="s">
        <v>36</v>
      </c>
      <c r="E332" t="s">
        <v>48</v>
      </c>
      <c r="F332" t="s">
        <v>45</v>
      </c>
      <c r="G332">
        <f t="shared" si="80"/>
        <v>1</v>
      </c>
      <c r="H332">
        <v>2</v>
      </c>
      <c r="I332">
        <f t="shared" si="81"/>
        <v>0</v>
      </c>
      <c r="J332">
        <f t="shared" si="82"/>
        <v>0</v>
      </c>
      <c r="K332">
        <f t="shared" si="83"/>
        <v>1</v>
      </c>
      <c r="L332">
        <f t="shared" si="84"/>
        <v>0</v>
      </c>
      <c r="M332">
        <f t="shared" si="85"/>
        <v>0</v>
      </c>
      <c r="N332">
        <v>2</v>
      </c>
      <c r="O332">
        <f t="shared" si="75"/>
        <v>0</v>
      </c>
      <c r="P332">
        <f t="shared" si="76"/>
        <v>0</v>
      </c>
      <c r="Q332">
        <f t="shared" si="77"/>
        <v>1</v>
      </c>
      <c r="R332">
        <f t="shared" si="78"/>
        <v>0</v>
      </c>
      <c r="S332">
        <f t="shared" si="79"/>
        <v>0</v>
      </c>
      <c r="T332">
        <f t="shared" si="86"/>
        <v>0</v>
      </c>
      <c r="V332" t="s">
        <v>46</v>
      </c>
      <c r="W332" t="s">
        <v>46</v>
      </c>
      <c r="X332" t="s">
        <v>41</v>
      </c>
      <c r="Y332" t="s">
        <v>42</v>
      </c>
      <c r="Z332">
        <v>1</v>
      </c>
      <c r="AA332">
        <v>4</v>
      </c>
      <c r="AB332">
        <v>0</v>
      </c>
      <c r="AC332" t="s">
        <v>44</v>
      </c>
      <c r="AD332" t="s">
        <v>43</v>
      </c>
      <c r="AE332">
        <f t="shared" si="87"/>
        <v>1</v>
      </c>
      <c r="AF332" t="s">
        <v>44</v>
      </c>
      <c r="AG332">
        <f t="shared" si="88"/>
        <v>0</v>
      </c>
      <c r="AH332" t="s">
        <v>43</v>
      </c>
      <c r="AI332" t="s">
        <v>43</v>
      </c>
      <c r="AJ332" t="s">
        <v>43</v>
      </c>
      <c r="AK332" t="s">
        <v>43</v>
      </c>
      <c r="AL332">
        <f t="shared" si="89"/>
        <v>1</v>
      </c>
      <c r="AM332" t="s">
        <v>44</v>
      </c>
      <c r="AN332">
        <v>4</v>
      </c>
      <c r="AO332">
        <v>5</v>
      </c>
      <c r="AP332">
        <v>5</v>
      </c>
      <c r="AQ332">
        <v>2</v>
      </c>
      <c r="AR332">
        <v>4</v>
      </c>
      <c r="AS332">
        <v>5</v>
      </c>
      <c r="AT332">
        <v>2</v>
      </c>
      <c r="AV332">
        <v>9</v>
      </c>
      <c r="AW332">
        <v>8</v>
      </c>
      <c r="AX332">
        <v>8</v>
      </c>
    </row>
    <row r="333" spans="1:50" x14ac:dyDescent="0.2">
      <c r="A333" t="s">
        <v>34</v>
      </c>
      <c r="B333" t="s">
        <v>35</v>
      </c>
      <c r="C333">
        <v>17</v>
      </c>
      <c r="D333" t="s">
        <v>53</v>
      </c>
      <c r="E333" t="s">
        <v>37</v>
      </c>
      <c r="F333" t="s">
        <v>45</v>
      </c>
      <c r="G333">
        <f t="shared" si="80"/>
        <v>1</v>
      </c>
      <c r="H333">
        <v>2</v>
      </c>
      <c r="I333">
        <f t="shared" si="81"/>
        <v>0</v>
      </c>
      <c r="J333">
        <f t="shared" si="82"/>
        <v>0</v>
      </c>
      <c r="K333">
        <f t="shared" si="83"/>
        <v>1</v>
      </c>
      <c r="L333">
        <f t="shared" si="84"/>
        <v>0</v>
      </c>
      <c r="M333">
        <f t="shared" si="85"/>
        <v>0</v>
      </c>
      <c r="N333">
        <v>4</v>
      </c>
      <c r="O333">
        <f t="shared" si="75"/>
        <v>0</v>
      </c>
      <c r="P333">
        <f t="shared" si="76"/>
        <v>0</v>
      </c>
      <c r="Q333">
        <f t="shared" si="77"/>
        <v>0</v>
      </c>
      <c r="R333">
        <f t="shared" si="78"/>
        <v>0</v>
      </c>
      <c r="S333">
        <f t="shared" si="79"/>
        <v>1</v>
      </c>
      <c r="T333">
        <f t="shared" si="86"/>
        <v>0</v>
      </c>
      <c r="V333" t="s">
        <v>39</v>
      </c>
      <c r="W333" t="s">
        <v>46</v>
      </c>
      <c r="X333" t="s">
        <v>41</v>
      </c>
      <c r="Y333" t="s">
        <v>47</v>
      </c>
      <c r="Z333">
        <v>1</v>
      </c>
      <c r="AA333">
        <v>3</v>
      </c>
      <c r="AB333">
        <v>0</v>
      </c>
      <c r="AC333" t="s">
        <v>44</v>
      </c>
      <c r="AD333" t="s">
        <v>43</v>
      </c>
      <c r="AE333">
        <f t="shared" si="87"/>
        <v>1</v>
      </c>
      <c r="AF333" t="s">
        <v>44</v>
      </c>
      <c r="AG333">
        <f t="shared" si="88"/>
        <v>0</v>
      </c>
      <c r="AH333" t="s">
        <v>44</v>
      </c>
      <c r="AI333" t="s">
        <v>43</v>
      </c>
      <c r="AJ333" t="s">
        <v>43</v>
      </c>
      <c r="AK333" t="s">
        <v>43</v>
      </c>
      <c r="AL333">
        <f t="shared" si="89"/>
        <v>1</v>
      </c>
      <c r="AM333" t="s">
        <v>43</v>
      </c>
      <c r="AN333">
        <v>4</v>
      </c>
      <c r="AO333">
        <v>4</v>
      </c>
      <c r="AP333">
        <v>3</v>
      </c>
      <c r="AQ333">
        <v>1</v>
      </c>
      <c r="AR333">
        <v>1</v>
      </c>
      <c r="AS333">
        <v>5</v>
      </c>
      <c r="AT333">
        <v>7</v>
      </c>
      <c r="AV333">
        <v>12</v>
      </c>
      <c r="AW333">
        <v>14</v>
      </c>
      <c r="AX333">
        <v>14</v>
      </c>
    </row>
    <row r="334" spans="1:50" x14ac:dyDescent="0.2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f t="shared" si="80"/>
        <v>1</v>
      </c>
      <c r="H334">
        <v>3</v>
      </c>
      <c r="I334">
        <f t="shared" si="81"/>
        <v>0</v>
      </c>
      <c r="J334">
        <f t="shared" si="82"/>
        <v>0</v>
      </c>
      <c r="K334">
        <f t="shared" si="83"/>
        <v>0</v>
      </c>
      <c r="L334">
        <f t="shared" si="84"/>
        <v>1</v>
      </c>
      <c r="M334">
        <f t="shared" si="85"/>
        <v>0</v>
      </c>
      <c r="N334">
        <v>3</v>
      </c>
      <c r="O334">
        <f t="shared" si="75"/>
        <v>0</v>
      </c>
      <c r="P334">
        <f t="shared" si="76"/>
        <v>0</v>
      </c>
      <c r="Q334">
        <f t="shared" si="77"/>
        <v>0</v>
      </c>
      <c r="R334">
        <f t="shared" si="78"/>
        <v>1</v>
      </c>
      <c r="S334">
        <f t="shared" si="79"/>
        <v>0</v>
      </c>
      <c r="T334">
        <f t="shared" si="86"/>
        <v>0</v>
      </c>
      <c r="V334" t="s">
        <v>49</v>
      </c>
      <c r="W334" t="s">
        <v>49</v>
      </c>
      <c r="X334" t="s">
        <v>50</v>
      </c>
      <c r="Y334" t="s">
        <v>42</v>
      </c>
      <c r="Z334">
        <v>1</v>
      </c>
      <c r="AA334">
        <v>2</v>
      </c>
      <c r="AB334">
        <v>0</v>
      </c>
      <c r="AC334" t="s">
        <v>44</v>
      </c>
      <c r="AD334" t="s">
        <v>44</v>
      </c>
      <c r="AE334">
        <f t="shared" si="87"/>
        <v>0</v>
      </c>
      <c r="AF334" t="s">
        <v>44</v>
      </c>
      <c r="AG334">
        <f t="shared" si="88"/>
        <v>0</v>
      </c>
      <c r="AH334" t="s">
        <v>43</v>
      </c>
      <c r="AI334" t="s">
        <v>43</v>
      </c>
      <c r="AJ334" t="s">
        <v>43</v>
      </c>
      <c r="AK334" t="s">
        <v>43</v>
      </c>
      <c r="AL334">
        <f t="shared" si="89"/>
        <v>1</v>
      </c>
      <c r="AM334" t="s">
        <v>44</v>
      </c>
      <c r="AN334">
        <v>5</v>
      </c>
      <c r="AO334">
        <v>3</v>
      </c>
      <c r="AP334">
        <v>4</v>
      </c>
      <c r="AQ334">
        <v>1</v>
      </c>
      <c r="AR334">
        <v>1</v>
      </c>
      <c r="AS334">
        <v>4</v>
      </c>
      <c r="AT334">
        <v>0</v>
      </c>
      <c r="AV334">
        <v>7</v>
      </c>
      <c r="AW334">
        <v>0</v>
      </c>
      <c r="AX334">
        <v>0</v>
      </c>
    </row>
    <row r="335" spans="1:50" x14ac:dyDescent="0.2">
      <c r="A335" t="s">
        <v>34</v>
      </c>
      <c r="B335" t="s">
        <v>35</v>
      </c>
      <c r="C335">
        <v>18</v>
      </c>
      <c r="D335" t="s">
        <v>36</v>
      </c>
      <c r="E335" t="s">
        <v>48</v>
      </c>
      <c r="F335" t="s">
        <v>45</v>
      </c>
      <c r="G335">
        <f t="shared" si="80"/>
        <v>1</v>
      </c>
      <c r="H335">
        <v>2</v>
      </c>
      <c r="I335">
        <f t="shared" si="81"/>
        <v>0</v>
      </c>
      <c r="J335">
        <f t="shared" si="82"/>
        <v>0</v>
      </c>
      <c r="K335">
        <f t="shared" si="83"/>
        <v>1</v>
      </c>
      <c r="L335">
        <f t="shared" si="84"/>
        <v>0</v>
      </c>
      <c r="M335">
        <f t="shared" si="85"/>
        <v>0</v>
      </c>
      <c r="N335">
        <v>2</v>
      </c>
      <c r="O335">
        <f t="shared" si="75"/>
        <v>0</v>
      </c>
      <c r="P335">
        <f t="shared" si="76"/>
        <v>0</v>
      </c>
      <c r="Q335">
        <f t="shared" si="77"/>
        <v>1</v>
      </c>
      <c r="R335">
        <f t="shared" si="78"/>
        <v>0</v>
      </c>
      <c r="S335">
        <f t="shared" si="79"/>
        <v>0</v>
      </c>
      <c r="T335">
        <f t="shared" si="86"/>
        <v>0</v>
      </c>
      <c r="V335" t="s">
        <v>46</v>
      </c>
      <c r="W335" t="s">
        <v>46</v>
      </c>
      <c r="X335" t="s">
        <v>50</v>
      </c>
      <c r="Y335" t="s">
        <v>46</v>
      </c>
      <c r="Z335">
        <v>1</v>
      </c>
      <c r="AA335">
        <v>2</v>
      </c>
      <c r="AB335">
        <v>0</v>
      </c>
      <c r="AC335" t="s">
        <v>44</v>
      </c>
      <c r="AD335" t="s">
        <v>44</v>
      </c>
      <c r="AE335">
        <f t="shared" si="87"/>
        <v>0</v>
      </c>
      <c r="AF335" t="s">
        <v>44</v>
      </c>
      <c r="AG335">
        <f t="shared" si="88"/>
        <v>0</v>
      </c>
      <c r="AH335" t="s">
        <v>43</v>
      </c>
      <c r="AI335" t="s">
        <v>44</v>
      </c>
      <c r="AJ335" t="s">
        <v>43</v>
      </c>
      <c r="AK335" t="s">
        <v>43</v>
      </c>
      <c r="AL335">
        <f t="shared" si="89"/>
        <v>1</v>
      </c>
      <c r="AM335" t="s">
        <v>43</v>
      </c>
      <c r="AN335">
        <v>4</v>
      </c>
      <c r="AO335">
        <v>3</v>
      </c>
      <c r="AP335">
        <v>3</v>
      </c>
      <c r="AQ335">
        <v>1</v>
      </c>
      <c r="AR335">
        <v>1</v>
      </c>
      <c r="AS335">
        <v>2</v>
      </c>
      <c r="AT335">
        <v>0</v>
      </c>
      <c r="AV335">
        <v>8</v>
      </c>
      <c r="AW335">
        <v>8</v>
      </c>
      <c r="AX335">
        <v>0</v>
      </c>
    </row>
    <row r="336" spans="1:50" x14ac:dyDescent="0.2">
      <c r="A336" t="s">
        <v>34</v>
      </c>
      <c r="B336" t="s">
        <v>35</v>
      </c>
      <c r="C336">
        <v>18</v>
      </c>
      <c r="D336" t="s">
        <v>53</v>
      </c>
      <c r="E336" t="s">
        <v>37</v>
      </c>
      <c r="F336" t="s">
        <v>45</v>
      </c>
      <c r="G336">
        <f t="shared" si="80"/>
        <v>1</v>
      </c>
      <c r="H336">
        <v>2</v>
      </c>
      <c r="I336">
        <f t="shared" si="81"/>
        <v>0</v>
      </c>
      <c r="J336">
        <f t="shared" si="82"/>
        <v>0</v>
      </c>
      <c r="K336">
        <f t="shared" si="83"/>
        <v>1</v>
      </c>
      <c r="L336">
        <f t="shared" si="84"/>
        <v>0</v>
      </c>
      <c r="M336">
        <f t="shared" si="85"/>
        <v>0</v>
      </c>
      <c r="N336">
        <v>2</v>
      </c>
      <c r="O336">
        <f t="shared" si="75"/>
        <v>0</v>
      </c>
      <c r="P336">
        <f t="shared" si="76"/>
        <v>0</v>
      </c>
      <c r="Q336">
        <f t="shared" si="77"/>
        <v>1</v>
      </c>
      <c r="R336">
        <f t="shared" si="78"/>
        <v>0</v>
      </c>
      <c r="S336">
        <f t="shared" si="79"/>
        <v>0</v>
      </c>
      <c r="T336">
        <f t="shared" si="86"/>
        <v>0</v>
      </c>
      <c r="V336" t="s">
        <v>39</v>
      </c>
      <c r="W336" t="s">
        <v>46</v>
      </c>
      <c r="X336" t="s">
        <v>41</v>
      </c>
      <c r="Y336" t="s">
        <v>42</v>
      </c>
      <c r="Z336">
        <v>2</v>
      </c>
      <c r="AA336">
        <v>4</v>
      </c>
      <c r="AB336">
        <v>0</v>
      </c>
      <c r="AC336" t="s">
        <v>44</v>
      </c>
      <c r="AD336" t="s">
        <v>44</v>
      </c>
      <c r="AE336">
        <f t="shared" si="87"/>
        <v>0</v>
      </c>
      <c r="AF336" t="s">
        <v>44</v>
      </c>
      <c r="AG336">
        <f t="shared" si="88"/>
        <v>0</v>
      </c>
      <c r="AH336" t="s">
        <v>43</v>
      </c>
      <c r="AI336" t="s">
        <v>43</v>
      </c>
      <c r="AJ336" t="s">
        <v>43</v>
      </c>
      <c r="AK336" t="s">
        <v>44</v>
      </c>
      <c r="AL336">
        <f t="shared" si="89"/>
        <v>0</v>
      </c>
      <c r="AM336" t="s">
        <v>44</v>
      </c>
      <c r="AN336">
        <v>4</v>
      </c>
      <c r="AO336">
        <v>4</v>
      </c>
      <c r="AP336">
        <v>4</v>
      </c>
      <c r="AQ336">
        <v>1</v>
      </c>
      <c r="AR336">
        <v>1</v>
      </c>
      <c r="AS336">
        <v>4</v>
      </c>
      <c r="AT336">
        <v>0</v>
      </c>
      <c r="AV336">
        <v>10</v>
      </c>
      <c r="AW336">
        <v>9</v>
      </c>
      <c r="AX336">
        <v>0</v>
      </c>
    </row>
    <row r="337" spans="1:50" x14ac:dyDescent="0.2">
      <c r="A337" t="s">
        <v>34</v>
      </c>
      <c r="B337" t="s">
        <v>35</v>
      </c>
      <c r="C337">
        <v>17</v>
      </c>
      <c r="D337" t="s">
        <v>36</v>
      </c>
      <c r="E337" t="s">
        <v>37</v>
      </c>
      <c r="F337" t="s">
        <v>45</v>
      </c>
      <c r="G337">
        <f t="shared" si="80"/>
        <v>1</v>
      </c>
      <c r="H337">
        <v>3</v>
      </c>
      <c r="I337">
        <f t="shared" si="81"/>
        <v>0</v>
      </c>
      <c r="J337">
        <f t="shared" si="82"/>
        <v>0</v>
      </c>
      <c r="K337">
        <f t="shared" si="83"/>
        <v>0</v>
      </c>
      <c r="L337">
        <f t="shared" si="84"/>
        <v>1</v>
      </c>
      <c r="M337">
        <f t="shared" si="85"/>
        <v>0</v>
      </c>
      <c r="N337">
        <v>4</v>
      </c>
      <c r="O337">
        <f t="shared" si="75"/>
        <v>0</v>
      </c>
      <c r="P337">
        <f t="shared" si="76"/>
        <v>0</v>
      </c>
      <c r="Q337">
        <f t="shared" si="77"/>
        <v>0</v>
      </c>
      <c r="R337">
        <f t="shared" si="78"/>
        <v>0</v>
      </c>
      <c r="S337">
        <f t="shared" si="79"/>
        <v>1</v>
      </c>
      <c r="T337">
        <f t="shared" si="86"/>
        <v>0</v>
      </c>
      <c r="V337" t="s">
        <v>49</v>
      </c>
      <c r="W337" t="s">
        <v>46</v>
      </c>
      <c r="X337" t="s">
        <v>41</v>
      </c>
      <c r="Y337" t="s">
        <v>42</v>
      </c>
      <c r="Z337">
        <v>1</v>
      </c>
      <c r="AA337">
        <v>3</v>
      </c>
      <c r="AB337">
        <v>0</v>
      </c>
      <c r="AC337" t="s">
        <v>44</v>
      </c>
      <c r="AD337" t="s">
        <v>44</v>
      </c>
      <c r="AE337">
        <f t="shared" si="87"/>
        <v>0</v>
      </c>
      <c r="AF337" t="s">
        <v>44</v>
      </c>
      <c r="AG337">
        <f t="shared" si="88"/>
        <v>0</v>
      </c>
      <c r="AH337" t="s">
        <v>44</v>
      </c>
      <c r="AI337" t="s">
        <v>43</v>
      </c>
      <c r="AJ337" t="s">
        <v>43</v>
      </c>
      <c r="AK337" t="s">
        <v>43</v>
      </c>
      <c r="AL337">
        <f t="shared" si="89"/>
        <v>1</v>
      </c>
      <c r="AM337" t="s">
        <v>44</v>
      </c>
      <c r="AN337">
        <v>4</v>
      </c>
      <c r="AO337">
        <v>4</v>
      </c>
      <c r="AP337">
        <v>5</v>
      </c>
      <c r="AQ337">
        <v>1</v>
      </c>
      <c r="AR337">
        <v>3</v>
      </c>
      <c r="AS337">
        <v>5</v>
      </c>
      <c r="AT337">
        <v>16</v>
      </c>
      <c r="AV337">
        <v>16</v>
      </c>
      <c r="AW337">
        <v>15</v>
      </c>
      <c r="AX337">
        <v>15</v>
      </c>
    </row>
    <row r="338" spans="1:50" x14ac:dyDescent="0.2">
      <c r="A338" t="s">
        <v>34</v>
      </c>
      <c r="B338" t="s">
        <v>35</v>
      </c>
      <c r="C338">
        <v>19</v>
      </c>
      <c r="D338" t="s">
        <v>53</v>
      </c>
      <c r="E338" t="s">
        <v>37</v>
      </c>
      <c r="F338" t="s">
        <v>38</v>
      </c>
      <c r="G338">
        <f t="shared" si="80"/>
        <v>0</v>
      </c>
      <c r="H338">
        <v>3</v>
      </c>
      <c r="I338">
        <f t="shared" si="81"/>
        <v>0</v>
      </c>
      <c r="J338">
        <f t="shared" si="82"/>
        <v>0</v>
      </c>
      <c r="K338">
        <f t="shared" si="83"/>
        <v>0</v>
      </c>
      <c r="L338">
        <f t="shared" si="84"/>
        <v>1</v>
      </c>
      <c r="M338">
        <f t="shared" si="85"/>
        <v>0</v>
      </c>
      <c r="N338">
        <v>1</v>
      </c>
      <c r="O338">
        <f t="shared" si="75"/>
        <v>0</v>
      </c>
      <c r="P338">
        <f t="shared" si="76"/>
        <v>1</v>
      </c>
      <c r="Q338">
        <f t="shared" si="77"/>
        <v>0</v>
      </c>
      <c r="R338">
        <f t="shared" si="78"/>
        <v>0</v>
      </c>
      <c r="S338">
        <f t="shared" si="79"/>
        <v>0</v>
      </c>
      <c r="T338">
        <f t="shared" si="86"/>
        <v>0</v>
      </c>
      <c r="V338" t="s">
        <v>49</v>
      </c>
      <c r="W338" t="s">
        <v>39</v>
      </c>
      <c r="X338" t="s">
        <v>50</v>
      </c>
      <c r="Y338" t="s">
        <v>46</v>
      </c>
      <c r="Z338">
        <v>1</v>
      </c>
      <c r="AA338">
        <v>3</v>
      </c>
      <c r="AB338">
        <v>1</v>
      </c>
      <c r="AC338" t="s">
        <v>44</v>
      </c>
      <c r="AD338" t="s">
        <v>44</v>
      </c>
      <c r="AE338">
        <f t="shared" si="87"/>
        <v>0</v>
      </c>
      <c r="AF338" t="s">
        <v>43</v>
      </c>
      <c r="AG338">
        <f t="shared" si="88"/>
        <v>1</v>
      </c>
      <c r="AH338" t="s">
        <v>44</v>
      </c>
      <c r="AI338" t="s">
        <v>43</v>
      </c>
      <c r="AJ338" t="s">
        <v>43</v>
      </c>
      <c r="AK338" t="s">
        <v>44</v>
      </c>
      <c r="AL338">
        <f t="shared" si="89"/>
        <v>0</v>
      </c>
      <c r="AM338" t="s">
        <v>44</v>
      </c>
      <c r="AN338">
        <v>5</v>
      </c>
      <c r="AO338">
        <v>4</v>
      </c>
      <c r="AP338">
        <v>3</v>
      </c>
      <c r="AQ338">
        <v>1</v>
      </c>
      <c r="AR338">
        <v>2</v>
      </c>
      <c r="AS338">
        <v>5</v>
      </c>
      <c r="AT338">
        <v>12</v>
      </c>
      <c r="AV338">
        <v>14</v>
      </c>
      <c r="AW338">
        <v>13</v>
      </c>
      <c r="AX338">
        <v>13</v>
      </c>
    </row>
    <row r="339" spans="1:50" x14ac:dyDescent="0.2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f t="shared" si="80"/>
        <v>1</v>
      </c>
      <c r="H339">
        <v>3</v>
      </c>
      <c r="I339">
        <f t="shared" si="81"/>
        <v>0</v>
      </c>
      <c r="J339">
        <f t="shared" si="82"/>
        <v>0</v>
      </c>
      <c r="K339">
        <f t="shared" si="83"/>
        <v>0</v>
      </c>
      <c r="L339">
        <f t="shared" si="84"/>
        <v>1</v>
      </c>
      <c r="M339">
        <f t="shared" si="85"/>
        <v>0</v>
      </c>
      <c r="N339">
        <v>2</v>
      </c>
      <c r="O339">
        <f t="shared" si="75"/>
        <v>0</v>
      </c>
      <c r="P339">
        <f t="shared" si="76"/>
        <v>0</v>
      </c>
      <c r="Q339">
        <f t="shared" si="77"/>
        <v>1</v>
      </c>
      <c r="R339">
        <f t="shared" si="78"/>
        <v>0</v>
      </c>
      <c r="S339">
        <f t="shared" si="79"/>
        <v>0</v>
      </c>
      <c r="T339">
        <f t="shared" si="86"/>
        <v>0</v>
      </c>
      <c r="V339" t="s">
        <v>46</v>
      </c>
      <c r="W339" t="s">
        <v>46</v>
      </c>
      <c r="X339" t="s">
        <v>50</v>
      </c>
      <c r="Y339" t="s">
        <v>42</v>
      </c>
      <c r="Z339">
        <v>1</v>
      </c>
      <c r="AA339">
        <v>2</v>
      </c>
      <c r="AB339">
        <v>0</v>
      </c>
      <c r="AC339" t="s">
        <v>44</v>
      </c>
      <c r="AD339" t="s">
        <v>43</v>
      </c>
      <c r="AE339">
        <f t="shared" si="87"/>
        <v>1</v>
      </c>
      <c r="AF339" t="s">
        <v>43</v>
      </c>
      <c r="AG339">
        <f t="shared" si="88"/>
        <v>1</v>
      </c>
      <c r="AH339" t="s">
        <v>44</v>
      </c>
      <c r="AI339" t="s">
        <v>43</v>
      </c>
      <c r="AJ339" t="s">
        <v>43</v>
      </c>
      <c r="AK339" t="s">
        <v>43</v>
      </c>
      <c r="AL339">
        <f t="shared" si="89"/>
        <v>1</v>
      </c>
      <c r="AM339" t="s">
        <v>43</v>
      </c>
      <c r="AN339">
        <v>4</v>
      </c>
      <c r="AO339">
        <v>3</v>
      </c>
      <c r="AP339">
        <v>2</v>
      </c>
      <c r="AQ339">
        <v>2</v>
      </c>
      <c r="AR339">
        <v>3</v>
      </c>
      <c r="AS339">
        <v>2</v>
      </c>
      <c r="AT339">
        <v>0</v>
      </c>
      <c r="AV339">
        <v>7</v>
      </c>
      <c r="AW339">
        <v>8</v>
      </c>
      <c r="AX339">
        <v>0</v>
      </c>
    </row>
    <row r="340" spans="1:50" x14ac:dyDescent="0.2">
      <c r="A340" t="s">
        <v>34</v>
      </c>
      <c r="B340" t="s">
        <v>35</v>
      </c>
      <c r="C340">
        <v>18</v>
      </c>
      <c r="D340" t="s">
        <v>36</v>
      </c>
      <c r="E340" t="s">
        <v>48</v>
      </c>
      <c r="F340" t="s">
        <v>45</v>
      </c>
      <c r="G340">
        <f t="shared" si="80"/>
        <v>1</v>
      </c>
      <c r="H340">
        <v>3</v>
      </c>
      <c r="I340">
        <f t="shared" si="81"/>
        <v>0</v>
      </c>
      <c r="J340">
        <f t="shared" si="82"/>
        <v>0</v>
      </c>
      <c r="K340">
        <f t="shared" si="83"/>
        <v>0</v>
      </c>
      <c r="L340">
        <f t="shared" si="84"/>
        <v>1</v>
      </c>
      <c r="M340">
        <f t="shared" si="85"/>
        <v>0</v>
      </c>
      <c r="N340">
        <v>3</v>
      </c>
      <c r="O340">
        <f t="shared" si="75"/>
        <v>0</v>
      </c>
      <c r="P340">
        <f t="shared" si="76"/>
        <v>0</v>
      </c>
      <c r="Q340">
        <f t="shared" si="77"/>
        <v>0</v>
      </c>
      <c r="R340">
        <f t="shared" si="78"/>
        <v>1</v>
      </c>
      <c r="S340">
        <f t="shared" si="79"/>
        <v>0</v>
      </c>
      <c r="T340">
        <f t="shared" si="86"/>
        <v>0</v>
      </c>
      <c r="V340" t="s">
        <v>49</v>
      </c>
      <c r="W340" t="s">
        <v>49</v>
      </c>
      <c r="X340" t="s">
        <v>50</v>
      </c>
      <c r="Y340" t="s">
        <v>42</v>
      </c>
      <c r="Z340">
        <v>1</v>
      </c>
      <c r="AA340">
        <v>4</v>
      </c>
      <c r="AB340">
        <v>0</v>
      </c>
      <c r="AC340" t="s">
        <v>44</v>
      </c>
      <c r="AD340" t="s">
        <v>43</v>
      </c>
      <c r="AE340">
        <f t="shared" si="87"/>
        <v>1</v>
      </c>
      <c r="AF340" t="s">
        <v>44</v>
      </c>
      <c r="AG340">
        <f t="shared" si="88"/>
        <v>0</v>
      </c>
      <c r="AH340" t="s">
        <v>44</v>
      </c>
      <c r="AI340" t="s">
        <v>43</v>
      </c>
      <c r="AJ340" t="s">
        <v>43</v>
      </c>
      <c r="AK340" t="s">
        <v>43</v>
      </c>
      <c r="AL340">
        <f t="shared" si="89"/>
        <v>1</v>
      </c>
      <c r="AM340" t="s">
        <v>44</v>
      </c>
      <c r="AN340">
        <v>5</v>
      </c>
      <c r="AO340">
        <v>3</v>
      </c>
      <c r="AP340">
        <v>3</v>
      </c>
      <c r="AQ340">
        <v>1</v>
      </c>
      <c r="AR340">
        <v>1</v>
      </c>
      <c r="AS340">
        <v>1</v>
      </c>
      <c r="AT340">
        <v>7</v>
      </c>
      <c r="AV340">
        <v>16</v>
      </c>
      <c r="AW340">
        <v>15</v>
      </c>
      <c r="AX340">
        <v>17</v>
      </c>
    </row>
    <row r="341" spans="1:50" x14ac:dyDescent="0.2">
      <c r="A341" t="s">
        <v>34</v>
      </c>
      <c r="B341" t="s">
        <v>35</v>
      </c>
      <c r="C341">
        <v>17</v>
      </c>
      <c r="D341" t="s">
        <v>53</v>
      </c>
      <c r="E341" t="s">
        <v>37</v>
      </c>
      <c r="F341" t="s">
        <v>38</v>
      </c>
      <c r="G341">
        <f t="shared" si="80"/>
        <v>0</v>
      </c>
      <c r="H341">
        <v>3</v>
      </c>
      <c r="I341">
        <f t="shared" si="81"/>
        <v>0</v>
      </c>
      <c r="J341">
        <f t="shared" si="82"/>
        <v>0</v>
      </c>
      <c r="K341">
        <f t="shared" si="83"/>
        <v>0</v>
      </c>
      <c r="L341">
        <f t="shared" si="84"/>
        <v>1</v>
      </c>
      <c r="M341">
        <f t="shared" si="85"/>
        <v>0</v>
      </c>
      <c r="N341">
        <v>2</v>
      </c>
      <c r="O341">
        <f t="shared" si="75"/>
        <v>0</v>
      </c>
      <c r="P341">
        <f t="shared" si="76"/>
        <v>0</v>
      </c>
      <c r="Q341">
        <f t="shared" si="77"/>
        <v>1</v>
      </c>
      <c r="R341">
        <f t="shared" si="78"/>
        <v>0</v>
      </c>
      <c r="S341">
        <f t="shared" si="79"/>
        <v>0</v>
      </c>
      <c r="T341">
        <f t="shared" si="86"/>
        <v>0</v>
      </c>
      <c r="V341" t="s">
        <v>46</v>
      </c>
      <c r="W341" t="s">
        <v>46</v>
      </c>
      <c r="X341" t="s">
        <v>50</v>
      </c>
      <c r="Y341" t="s">
        <v>42</v>
      </c>
      <c r="Z341">
        <v>1</v>
      </c>
      <c r="AA341">
        <v>2</v>
      </c>
      <c r="AB341">
        <v>0</v>
      </c>
      <c r="AC341" t="s">
        <v>44</v>
      </c>
      <c r="AD341" t="s">
        <v>43</v>
      </c>
      <c r="AE341">
        <f t="shared" si="87"/>
        <v>1</v>
      </c>
      <c r="AF341" t="s">
        <v>43</v>
      </c>
      <c r="AG341">
        <f t="shared" si="88"/>
        <v>1</v>
      </c>
      <c r="AH341" t="s">
        <v>44</v>
      </c>
      <c r="AI341" t="s">
        <v>43</v>
      </c>
      <c r="AJ341" t="s">
        <v>43</v>
      </c>
      <c r="AK341" t="s">
        <v>43</v>
      </c>
      <c r="AL341">
        <f t="shared" si="89"/>
        <v>1</v>
      </c>
      <c r="AM341" t="s">
        <v>44</v>
      </c>
      <c r="AN341">
        <v>4</v>
      </c>
      <c r="AO341">
        <v>3</v>
      </c>
      <c r="AP341">
        <v>3</v>
      </c>
      <c r="AQ341">
        <v>2</v>
      </c>
      <c r="AR341">
        <v>3</v>
      </c>
      <c r="AS341">
        <v>2</v>
      </c>
      <c r="AT341">
        <v>4</v>
      </c>
      <c r="AV341">
        <v>9</v>
      </c>
      <c r="AW341">
        <v>10</v>
      </c>
      <c r="AX341">
        <v>10</v>
      </c>
    </row>
    <row r="342" spans="1:50" x14ac:dyDescent="0.2">
      <c r="A342" t="s">
        <v>34</v>
      </c>
      <c r="B342" t="s">
        <v>35</v>
      </c>
      <c r="C342">
        <v>19</v>
      </c>
      <c r="D342" t="s">
        <v>36</v>
      </c>
      <c r="E342" t="s">
        <v>37</v>
      </c>
      <c r="F342" t="s">
        <v>45</v>
      </c>
      <c r="G342">
        <f t="shared" si="80"/>
        <v>1</v>
      </c>
      <c r="H342">
        <v>2</v>
      </c>
      <c r="I342">
        <f t="shared" si="81"/>
        <v>0</v>
      </c>
      <c r="J342">
        <f t="shared" si="82"/>
        <v>0</v>
      </c>
      <c r="K342">
        <f t="shared" si="83"/>
        <v>1</v>
      </c>
      <c r="L342">
        <f t="shared" si="84"/>
        <v>0</v>
      </c>
      <c r="M342">
        <f t="shared" si="85"/>
        <v>0</v>
      </c>
      <c r="N342">
        <v>1</v>
      </c>
      <c r="O342">
        <f t="shared" si="75"/>
        <v>0</v>
      </c>
      <c r="P342">
        <f t="shared" si="76"/>
        <v>1</v>
      </c>
      <c r="Q342">
        <f t="shared" si="77"/>
        <v>0</v>
      </c>
      <c r="R342">
        <f t="shared" si="78"/>
        <v>0</v>
      </c>
      <c r="S342">
        <f t="shared" si="79"/>
        <v>0</v>
      </c>
      <c r="T342">
        <f t="shared" si="86"/>
        <v>0</v>
      </c>
      <c r="V342" t="s">
        <v>49</v>
      </c>
      <c r="W342" t="s">
        <v>49</v>
      </c>
      <c r="X342" t="s">
        <v>50</v>
      </c>
      <c r="Y342" t="s">
        <v>46</v>
      </c>
      <c r="Z342">
        <v>1</v>
      </c>
      <c r="AA342">
        <v>3</v>
      </c>
      <c r="AB342">
        <v>1</v>
      </c>
      <c r="AC342" t="s">
        <v>44</v>
      </c>
      <c r="AD342" t="s">
        <v>44</v>
      </c>
      <c r="AE342">
        <f t="shared" si="87"/>
        <v>0</v>
      </c>
      <c r="AF342" t="s">
        <v>43</v>
      </c>
      <c r="AG342">
        <f t="shared" si="88"/>
        <v>1</v>
      </c>
      <c r="AH342" t="s">
        <v>43</v>
      </c>
      <c r="AI342" t="s">
        <v>43</v>
      </c>
      <c r="AJ342" t="s">
        <v>43</v>
      </c>
      <c r="AK342" t="s">
        <v>43</v>
      </c>
      <c r="AL342">
        <f t="shared" si="89"/>
        <v>1</v>
      </c>
      <c r="AM342" t="s">
        <v>43</v>
      </c>
      <c r="AN342">
        <v>4</v>
      </c>
      <c r="AO342">
        <v>3</v>
      </c>
      <c r="AP342">
        <v>4</v>
      </c>
      <c r="AQ342">
        <v>1</v>
      </c>
      <c r="AR342">
        <v>3</v>
      </c>
      <c r="AS342">
        <v>3</v>
      </c>
      <c r="AT342">
        <v>4</v>
      </c>
      <c r="AV342">
        <v>11</v>
      </c>
      <c r="AW342">
        <v>12</v>
      </c>
      <c r="AX342">
        <v>11</v>
      </c>
    </row>
    <row r="343" spans="1:50" x14ac:dyDescent="0.2">
      <c r="A343" t="s">
        <v>34</v>
      </c>
      <c r="B343" t="s">
        <v>51</v>
      </c>
      <c r="C343">
        <v>18</v>
      </c>
      <c r="D343" t="s">
        <v>36</v>
      </c>
      <c r="E343" t="s">
        <v>37</v>
      </c>
      <c r="F343" t="s">
        <v>45</v>
      </c>
      <c r="G343">
        <f t="shared" si="80"/>
        <v>1</v>
      </c>
      <c r="H343">
        <v>4</v>
      </c>
      <c r="I343">
        <f t="shared" si="81"/>
        <v>0</v>
      </c>
      <c r="J343">
        <f t="shared" si="82"/>
        <v>0</v>
      </c>
      <c r="K343">
        <f t="shared" si="83"/>
        <v>0</v>
      </c>
      <c r="L343">
        <f t="shared" si="84"/>
        <v>0</v>
      </c>
      <c r="M343">
        <f t="shared" si="85"/>
        <v>1</v>
      </c>
      <c r="N343">
        <v>4</v>
      </c>
      <c r="O343">
        <f t="shared" si="75"/>
        <v>0</v>
      </c>
      <c r="P343">
        <f t="shared" si="76"/>
        <v>0</v>
      </c>
      <c r="Q343">
        <f t="shared" si="77"/>
        <v>0</v>
      </c>
      <c r="R343">
        <f t="shared" si="78"/>
        <v>0</v>
      </c>
      <c r="S343">
        <f t="shared" si="79"/>
        <v>1</v>
      </c>
      <c r="T343">
        <f t="shared" si="86"/>
        <v>1</v>
      </c>
      <c r="V343" t="s">
        <v>40</v>
      </c>
      <c r="W343" t="s">
        <v>49</v>
      </c>
      <c r="X343" t="s">
        <v>50</v>
      </c>
      <c r="Y343" t="s">
        <v>47</v>
      </c>
      <c r="Z343">
        <v>1</v>
      </c>
      <c r="AA343">
        <v>2</v>
      </c>
      <c r="AB343">
        <v>1</v>
      </c>
      <c r="AC343" t="s">
        <v>44</v>
      </c>
      <c r="AD343" t="s">
        <v>43</v>
      </c>
      <c r="AE343">
        <f t="shared" si="87"/>
        <v>1</v>
      </c>
      <c r="AF343" t="s">
        <v>44</v>
      </c>
      <c r="AG343">
        <f t="shared" si="88"/>
        <v>0</v>
      </c>
      <c r="AH343" t="s">
        <v>43</v>
      </c>
      <c r="AI343" t="s">
        <v>43</v>
      </c>
      <c r="AJ343" t="s">
        <v>43</v>
      </c>
      <c r="AK343" t="s">
        <v>43</v>
      </c>
      <c r="AL343">
        <f t="shared" si="89"/>
        <v>1</v>
      </c>
      <c r="AM343" t="s">
        <v>44</v>
      </c>
      <c r="AN343">
        <v>4</v>
      </c>
      <c r="AO343">
        <v>3</v>
      </c>
      <c r="AP343">
        <v>3</v>
      </c>
      <c r="AQ343">
        <v>2</v>
      </c>
      <c r="AR343">
        <v>2</v>
      </c>
      <c r="AS343">
        <v>2</v>
      </c>
      <c r="AT343">
        <v>0</v>
      </c>
      <c r="AV343">
        <v>10</v>
      </c>
      <c r="AW343">
        <v>10</v>
      </c>
      <c r="AX343">
        <v>0</v>
      </c>
    </row>
    <row r="344" spans="1:50" x14ac:dyDescent="0.2">
      <c r="A344" t="s">
        <v>34</v>
      </c>
      <c r="B344" t="s">
        <v>51</v>
      </c>
      <c r="C344">
        <v>18</v>
      </c>
      <c r="D344" t="s">
        <v>36</v>
      </c>
      <c r="E344" t="s">
        <v>48</v>
      </c>
      <c r="F344" t="s">
        <v>45</v>
      </c>
      <c r="G344">
        <f t="shared" si="80"/>
        <v>1</v>
      </c>
      <c r="H344">
        <v>3</v>
      </c>
      <c r="I344">
        <f t="shared" si="81"/>
        <v>0</v>
      </c>
      <c r="J344">
        <f t="shared" si="82"/>
        <v>0</v>
      </c>
      <c r="K344">
        <f t="shared" si="83"/>
        <v>0</v>
      </c>
      <c r="L344">
        <f t="shared" si="84"/>
        <v>1</v>
      </c>
      <c r="M344">
        <f t="shared" si="85"/>
        <v>0</v>
      </c>
      <c r="N344">
        <v>4</v>
      </c>
      <c r="O344">
        <f t="shared" si="75"/>
        <v>0</v>
      </c>
      <c r="P344">
        <f t="shared" si="76"/>
        <v>0</v>
      </c>
      <c r="Q344">
        <f t="shared" si="77"/>
        <v>0</v>
      </c>
      <c r="R344">
        <f t="shared" si="78"/>
        <v>0</v>
      </c>
      <c r="S344">
        <f t="shared" si="79"/>
        <v>1</v>
      </c>
      <c r="T344">
        <f t="shared" si="86"/>
        <v>0</v>
      </c>
      <c r="V344" t="s">
        <v>49</v>
      </c>
      <c r="W344" t="s">
        <v>46</v>
      </c>
      <c r="X344" t="s">
        <v>50</v>
      </c>
      <c r="Y344" t="s">
        <v>42</v>
      </c>
      <c r="Z344">
        <v>1</v>
      </c>
      <c r="AA344">
        <v>2</v>
      </c>
      <c r="AB344">
        <v>0</v>
      </c>
      <c r="AC344" t="s">
        <v>44</v>
      </c>
      <c r="AD344" t="s">
        <v>44</v>
      </c>
      <c r="AE344">
        <f t="shared" si="87"/>
        <v>0</v>
      </c>
      <c r="AF344" t="s">
        <v>44</v>
      </c>
      <c r="AG344">
        <f t="shared" si="88"/>
        <v>0</v>
      </c>
      <c r="AH344" t="s">
        <v>43</v>
      </c>
      <c r="AI344" t="s">
        <v>43</v>
      </c>
      <c r="AJ344" t="s">
        <v>43</v>
      </c>
      <c r="AK344" t="s">
        <v>43</v>
      </c>
      <c r="AL344">
        <f t="shared" si="89"/>
        <v>1</v>
      </c>
      <c r="AM344" t="s">
        <v>43</v>
      </c>
      <c r="AN344">
        <v>4</v>
      </c>
      <c r="AO344">
        <v>3</v>
      </c>
      <c r="AP344">
        <v>3</v>
      </c>
      <c r="AQ344">
        <v>1</v>
      </c>
      <c r="AR344">
        <v>3</v>
      </c>
      <c r="AS344">
        <v>5</v>
      </c>
      <c r="AT344">
        <v>11</v>
      </c>
      <c r="AV344">
        <v>16</v>
      </c>
      <c r="AW344">
        <v>15</v>
      </c>
      <c r="AX344">
        <v>15</v>
      </c>
    </row>
    <row r="345" spans="1:50" x14ac:dyDescent="0.2">
      <c r="A345" t="s">
        <v>34</v>
      </c>
      <c r="B345" t="s">
        <v>35</v>
      </c>
      <c r="C345">
        <v>17</v>
      </c>
      <c r="D345" t="s">
        <v>36</v>
      </c>
      <c r="E345" t="s">
        <v>37</v>
      </c>
      <c r="F345" t="s">
        <v>38</v>
      </c>
      <c r="G345">
        <f t="shared" si="80"/>
        <v>0</v>
      </c>
      <c r="H345">
        <v>2</v>
      </c>
      <c r="I345">
        <f t="shared" si="81"/>
        <v>0</v>
      </c>
      <c r="J345">
        <f t="shared" si="82"/>
        <v>0</v>
      </c>
      <c r="K345">
        <f t="shared" si="83"/>
        <v>1</v>
      </c>
      <c r="L345">
        <f t="shared" si="84"/>
        <v>0</v>
      </c>
      <c r="M345">
        <f t="shared" si="85"/>
        <v>0</v>
      </c>
      <c r="N345">
        <v>2</v>
      </c>
      <c r="O345">
        <f t="shared" si="75"/>
        <v>0</v>
      </c>
      <c r="P345">
        <f t="shared" si="76"/>
        <v>0</v>
      </c>
      <c r="Q345">
        <f t="shared" si="77"/>
        <v>1</v>
      </c>
      <c r="R345">
        <f t="shared" si="78"/>
        <v>0</v>
      </c>
      <c r="S345">
        <f t="shared" si="79"/>
        <v>0</v>
      </c>
      <c r="T345">
        <f t="shared" si="86"/>
        <v>0</v>
      </c>
      <c r="V345" t="s">
        <v>39</v>
      </c>
      <c r="W345" t="s">
        <v>39</v>
      </c>
      <c r="X345" t="s">
        <v>50</v>
      </c>
      <c r="Y345" t="s">
        <v>47</v>
      </c>
      <c r="Z345">
        <v>1</v>
      </c>
      <c r="AA345">
        <v>2</v>
      </c>
      <c r="AB345">
        <v>1</v>
      </c>
      <c r="AC345" t="s">
        <v>44</v>
      </c>
      <c r="AD345" t="s">
        <v>43</v>
      </c>
      <c r="AE345">
        <f t="shared" si="87"/>
        <v>1</v>
      </c>
      <c r="AF345" t="s">
        <v>44</v>
      </c>
      <c r="AG345">
        <f t="shared" si="88"/>
        <v>0</v>
      </c>
      <c r="AH345" t="s">
        <v>44</v>
      </c>
      <c r="AI345" t="s">
        <v>43</v>
      </c>
      <c r="AJ345" t="s">
        <v>43</v>
      </c>
      <c r="AK345" t="s">
        <v>43</v>
      </c>
      <c r="AL345">
        <f t="shared" si="89"/>
        <v>1</v>
      </c>
      <c r="AM345" t="s">
        <v>43</v>
      </c>
      <c r="AN345">
        <v>3</v>
      </c>
      <c r="AO345">
        <v>3</v>
      </c>
      <c r="AP345">
        <v>1</v>
      </c>
      <c r="AQ345">
        <v>1</v>
      </c>
      <c r="AR345">
        <v>2</v>
      </c>
      <c r="AS345">
        <v>4</v>
      </c>
      <c r="AT345">
        <v>0</v>
      </c>
      <c r="AV345">
        <v>9</v>
      </c>
      <c r="AW345">
        <v>8</v>
      </c>
      <c r="AX345">
        <v>0</v>
      </c>
    </row>
    <row r="346" spans="1:50" x14ac:dyDescent="0.2">
      <c r="A346" t="s">
        <v>34</v>
      </c>
      <c r="B346" t="s">
        <v>35</v>
      </c>
      <c r="C346">
        <v>18</v>
      </c>
      <c r="D346" t="s">
        <v>36</v>
      </c>
      <c r="E346" t="s">
        <v>37</v>
      </c>
      <c r="F346" t="s">
        <v>45</v>
      </c>
      <c r="G346">
        <f t="shared" si="80"/>
        <v>1</v>
      </c>
      <c r="H346">
        <v>2</v>
      </c>
      <c r="I346">
        <f t="shared" si="81"/>
        <v>0</v>
      </c>
      <c r="J346">
        <f t="shared" si="82"/>
        <v>0</v>
      </c>
      <c r="K346">
        <f t="shared" si="83"/>
        <v>1</v>
      </c>
      <c r="L346">
        <f t="shared" si="84"/>
        <v>0</v>
      </c>
      <c r="M346">
        <f t="shared" si="85"/>
        <v>0</v>
      </c>
      <c r="N346">
        <v>3</v>
      </c>
      <c r="O346">
        <f t="shared" si="75"/>
        <v>0</v>
      </c>
      <c r="P346">
        <f t="shared" si="76"/>
        <v>0</v>
      </c>
      <c r="Q346">
        <f t="shared" si="77"/>
        <v>0</v>
      </c>
      <c r="R346">
        <f t="shared" si="78"/>
        <v>1</v>
      </c>
      <c r="S346">
        <f t="shared" si="79"/>
        <v>0</v>
      </c>
      <c r="T346">
        <f t="shared" si="86"/>
        <v>0</v>
      </c>
      <c r="V346" t="s">
        <v>39</v>
      </c>
      <c r="W346" t="s">
        <v>46</v>
      </c>
      <c r="X346" t="s">
        <v>41</v>
      </c>
      <c r="Y346" t="s">
        <v>42</v>
      </c>
      <c r="Z346">
        <v>1</v>
      </c>
      <c r="AA346">
        <v>3</v>
      </c>
      <c r="AB346">
        <v>0</v>
      </c>
      <c r="AC346" t="s">
        <v>44</v>
      </c>
      <c r="AD346" t="s">
        <v>43</v>
      </c>
      <c r="AE346">
        <f t="shared" si="87"/>
        <v>1</v>
      </c>
      <c r="AF346" t="s">
        <v>44</v>
      </c>
      <c r="AG346">
        <f t="shared" si="88"/>
        <v>0</v>
      </c>
      <c r="AH346" t="s">
        <v>44</v>
      </c>
      <c r="AI346" t="s">
        <v>43</v>
      </c>
      <c r="AJ346" t="s">
        <v>43</v>
      </c>
      <c r="AK346" t="s">
        <v>43</v>
      </c>
      <c r="AL346">
        <f t="shared" si="89"/>
        <v>1</v>
      </c>
      <c r="AM346" t="s">
        <v>44</v>
      </c>
      <c r="AN346">
        <v>4</v>
      </c>
      <c r="AO346">
        <v>3</v>
      </c>
      <c r="AP346">
        <v>3</v>
      </c>
      <c r="AQ346">
        <v>1</v>
      </c>
      <c r="AR346">
        <v>2</v>
      </c>
      <c r="AS346">
        <v>3</v>
      </c>
      <c r="AT346">
        <v>4</v>
      </c>
      <c r="AV346">
        <v>11</v>
      </c>
      <c r="AW346">
        <v>10</v>
      </c>
      <c r="AX346">
        <v>10</v>
      </c>
    </row>
    <row r="347" spans="1:50" x14ac:dyDescent="0.2">
      <c r="A347" t="s">
        <v>34</v>
      </c>
      <c r="B347" t="s">
        <v>35</v>
      </c>
      <c r="C347">
        <v>18</v>
      </c>
      <c r="D347" t="s">
        <v>36</v>
      </c>
      <c r="E347" t="s">
        <v>37</v>
      </c>
      <c r="F347" t="s">
        <v>45</v>
      </c>
      <c r="G347">
        <f t="shared" si="80"/>
        <v>1</v>
      </c>
      <c r="H347">
        <v>3</v>
      </c>
      <c r="I347">
        <f t="shared" si="81"/>
        <v>0</v>
      </c>
      <c r="J347">
        <f t="shared" si="82"/>
        <v>0</v>
      </c>
      <c r="K347">
        <f t="shared" si="83"/>
        <v>0</v>
      </c>
      <c r="L347">
        <f t="shared" si="84"/>
        <v>1</v>
      </c>
      <c r="M347">
        <f t="shared" si="85"/>
        <v>0</v>
      </c>
      <c r="N347">
        <v>2</v>
      </c>
      <c r="O347">
        <f t="shared" si="75"/>
        <v>0</v>
      </c>
      <c r="P347">
        <f t="shared" si="76"/>
        <v>0</v>
      </c>
      <c r="Q347">
        <f t="shared" si="77"/>
        <v>1</v>
      </c>
      <c r="R347">
        <f t="shared" si="78"/>
        <v>0</v>
      </c>
      <c r="S347">
        <f t="shared" si="79"/>
        <v>0</v>
      </c>
      <c r="T347">
        <f t="shared" si="86"/>
        <v>0</v>
      </c>
      <c r="V347" t="s">
        <v>46</v>
      </c>
      <c r="W347" t="s">
        <v>49</v>
      </c>
      <c r="X347" t="s">
        <v>46</v>
      </c>
      <c r="Y347" t="s">
        <v>42</v>
      </c>
      <c r="Z347">
        <v>1</v>
      </c>
      <c r="AA347">
        <v>3</v>
      </c>
      <c r="AB347">
        <v>0</v>
      </c>
      <c r="AC347" t="s">
        <v>44</v>
      </c>
      <c r="AD347" t="s">
        <v>44</v>
      </c>
      <c r="AE347">
        <f t="shared" si="87"/>
        <v>0</v>
      </c>
      <c r="AF347" t="s">
        <v>44</v>
      </c>
      <c r="AG347">
        <f t="shared" si="88"/>
        <v>0</v>
      </c>
      <c r="AH347" t="s">
        <v>44</v>
      </c>
      <c r="AI347" t="s">
        <v>43</v>
      </c>
      <c r="AJ347" t="s">
        <v>43</v>
      </c>
      <c r="AK347" t="s">
        <v>43</v>
      </c>
      <c r="AL347">
        <f t="shared" si="89"/>
        <v>1</v>
      </c>
      <c r="AM347" t="s">
        <v>43</v>
      </c>
      <c r="AN347">
        <v>5</v>
      </c>
      <c r="AO347">
        <v>4</v>
      </c>
      <c r="AP347">
        <v>3</v>
      </c>
      <c r="AQ347">
        <v>2</v>
      </c>
      <c r="AR347">
        <v>3</v>
      </c>
      <c r="AS347">
        <v>1</v>
      </c>
      <c r="AT347">
        <v>7</v>
      </c>
      <c r="AV347">
        <v>13</v>
      </c>
      <c r="AW347">
        <v>13</v>
      </c>
      <c r="AX347">
        <v>14</v>
      </c>
    </row>
    <row r="348" spans="1:50" x14ac:dyDescent="0.2">
      <c r="A348" t="s">
        <v>34</v>
      </c>
      <c r="B348" t="s">
        <v>51</v>
      </c>
      <c r="C348">
        <v>18</v>
      </c>
      <c r="D348" t="s">
        <v>53</v>
      </c>
      <c r="E348" t="s">
        <v>37</v>
      </c>
      <c r="F348" t="s">
        <v>45</v>
      </c>
      <c r="G348">
        <f t="shared" si="80"/>
        <v>1</v>
      </c>
      <c r="H348">
        <v>4</v>
      </c>
      <c r="I348">
        <f t="shared" si="81"/>
        <v>0</v>
      </c>
      <c r="J348">
        <f t="shared" si="82"/>
        <v>0</v>
      </c>
      <c r="K348">
        <f t="shared" si="83"/>
        <v>0</v>
      </c>
      <c r="L348">
        <f t="shared" si="84"/>
        <v>0</v>
      </c>
      <c r="M348">
        <f t="shared" si="85"/>
        <v>1</v>
      </c>
      <c r="N348">
        <v>3</v>
      </c>
      <c r="O348">
        <f t="shared" si="75"/>
        <v>0</v>
      </c>
      <c r="P348">
        <f t="shared" si="76"/>
        <v>0</v>
      </c>
      <c r="Q348">
        <f t="shared" si="77"/>
        <v>0</v>
      </c>
      <c r="R348">
        <f t="shared" si="78"/>
        <v>1</v>
      </c>
      <c r="S348">
        <f t="shared" si="79"/>
        <v>0</v>
      </c>
      <c r="T348">
        <f t="shared" si="86"/>
        <v>0</v>
      </c>
      <c r="V348" t="s">
        <v>40</v>
      </c>
      <c r="W348" t="s">
        <v>49</v>
      </c>
      <c r="X348" t="s">
        <v>41</v>
      </c>
      <c r="Y348" t="s">
        <v>42</v>
      </c>
      <c r="Z348">
        <v>1</v>
      </c>
      <c r="AA348">
        <v>3</v>
      </c>
      <c r="AB348">
        <v>0</v>
      </c>
      <c r="AC348" t="s">
        <v>44</v>
      </c>
      <c r="AD348" t="s">
        <v>44</v>
      </c>
      <c r="AE348">
        <f t="shared" si="87"/>
        <v>0</v>
      </c>
      <c r="AF348" t="s">
        <v>44</v>
      </c>
      <c r="AG348">
        <f t="shared" si="88"/>
        <v>0</v>
      </c>
      <c r="AH348" t="s">
        <v>44</v>
      </c>
      <c r="AI348" t="s">
        <v>43</v>
      </c>
      <c r="AJ348" t="s">
        <v>43</v>
      </c>
      <c r="AK348" t="s">
        <v>43</v>
      </c>
      <c r="AL348">
        <f t="shared" si="89"/>
        <v>1</v>
      </c>
      <c r="AM348" t="s">
        <v>43</v>
      </c>
      <c r="AN348">
        <v>5</v>
      </c>
      <c r="AO348">
        <v>3</v>
      </c>
      <c r="AP348">
        <v>2</v>
      </c>
      <c r="AQ348">
        <v>1</v>
      </c>
      <c r="AR348">
        <v>2</v>
      </c>
      <c r="AS348">
        <v>4</v>
      </c>
      <c r="AT348">
        <v>9</v>
      </c>
      <c r="AV348">
        <v>16</v>
      </c>
      <c r="AW348">
        <v>15</v>
      </c>
      <c r="AX348">
        <v>16</v>
      </c>
    </row>
    <row r="349" spans="1:50" x14ac:dyDescent="0.2">
      <c r="A349" t="s">
        <v>34</v>
      </c>
      <c r="B349" t="s">
        <v>51</v>
      </c>
      <c r="C349">
        <v>18</v>
      </c>
      <c r="D349" t="s">
        <v>36</v>
      </c>
      <c r="E349" t="s">
        <v>37</v>
      </c>
      <c r="F349" t="s">
        <v>45</v>
      </c>
      <c r="G349">
        <f t="shared" si="80"/>
        <v>1</v>
      </c>
      <c r="H349">
        <v>4</v>
      </c>
      <c r="I349">
        <f t="shared" si="81"/>
        <v>0</v>
      </c>
      <c r="J349">
        <f t="shared" si="82"/>
        <v>0</v>
      </c>
      <c r="K349">
        <f t="shared" si="83"/>
        <v>0</v>
      </c>
      <c r="L349">
        <f t="shared" si="84"/>
        <v>0</v>
      </c>
      <c r="M349">
        <f t="shared" si="85"/>
        <v>1</v>
      </c>
      <c r="N349">
        <v>3</v>
      </c>
      <c r="O349">
        <f t="shared" si="75"/>
        <v>0</v>
      </c>
      <c r="P349">
        <f t="shared" si="76"/>
        <v>0</v>
      </c>
      <c r="Q349">
        <f t="shared" si="77"/>
        <v>0</v>
      </c>
      <c r="R349">
        <f t="shared" si="78"/>
        <v>1</v>
      </c>
      <c r="S349">
        <f t="shared" si="79"/>
        <v>0</v>
      </c>
      <c r="T349">
        <f t="shared" si="86"/>
        <v>0</v>
      </c>
      <c r="V349" t="s">
        <v>40</v>
      </c>
      <c r="W349" t="s">
        <v>46</v>
      </c>
      <c r="X349" t="s">
        <v>41</v>
      </c>
      <c r="Y349" t="s">
        <v>42</v>
      </c>
      <c r="Z349">
        <v>1</v>
      </c>
      <c r="AA349">
        <v>3</v>
      </c>
      <c r="AB349">
        <v>0</v>
      </c>
      <c r="AC349" t="s">
        <v>44</v>
      </c>
      <c r="AD349" t="s">
        <v>43</v>
      </c>
      <c r="AE349">
        <f t="shared" si="87"/>
        <v>1</v>
      </c>
      <c r="AF349" t="s">
        <v>43</v>
      </c>
      <c r="AG349">
        <f t="shared" si="88"/>
        <v>1</v>
      </c>
      <c r="AH349" t="s">
        <v>44</v>
      </c>
      <c r="AI349" t="s">
        <v>43</v>
      </c>
      <c r="AJ349" t="s">
        <v>43</v>
      </c>
      <c r="AK349" t="s">
        <v>43</v>
      </c>
      <c r="AL349">
        <f t="shared" si="89"/>
        <v>1</v>
      </c>
      <c r="AM349" t="s">
        <v>43</v>
      </c>
      <c r="AN349">
        <v>5</v>
      </c>
      <c r="AO349">
        <v>4</v>
      </c>
      <c r="AP349">
        <v>5</v>
      </c>
      <c r="AQ349">
        <v>2</v>
      </c>
      <c r="AR349">
        <v>3</v>
      </c>
      <c r="AS349">
        <v>5</v>
      </c>
      <c r="AT349">
        <v>0</v>
      </c>
      <c r="AV349">
        <v>10</v>
      </c>
      <c r="AW349">
        <v>10</v>
      </c>
      <c r="AX349">
        <v>9</v>
      </c>
    </row>
    <row r="350" spans="1:50" x14ac:dyDescent="0.2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f t="shared" si="80"/>
        <v>1</v>
      </c>
      <c r="H350">
        <v>4</v>
      </c>
      <c r="I350">
        <f t="shared" si="81"/>
        <v>0</v>
      </c>
      <c r="J350">
        <f t="shared" si="82"/>
        <v>0</v>
      </c>
      <c r="K350">
        <f t="shared" si="83"/>
        <v>0</v>
      </c>
      <c r="L350">
        <f t="shared" si="84"/>
        <v>0</v>
      </c>
      <c r="M350">
        <f t="shared" si="85"/>
        <v>1</v>
      </c>
      <c r="N350">
        <v>3</v>
      </c>
      <c r="O350">
        <f t="shared" si="75"/>
        <v>0</v>
      </c>
      <c r="P350">
        <f t="shared" si="76"/>
        <v>0</v>
      </c>
      <c r="Q350">
        <f t="shared" si="77"/>
        <v>0</v>
      </c>
      <c r="R350">
        <f t="shared" si="78"/>
        <v>1</v>
      </c>
      <c r="S350">
        <f t="shared" si="79"/>
        <v>0</v>
      </c>
      <c r="T350">
        <f t="shared" si="86"/>
        <v>0</v>
      </c>
      <c r="V350" t="s">
        <v>29</v>
      </c>
      <c r="W350" t="s">
        <v>46</v>
      </c>
      <c r="X350" t="s">
        <v>52</v>
      </c>
      <c r="Y350" t="s">
        <v>42</v>
      </c>
      <c r="Z350">
        <v>1</v>
      </c>
      <c r="AA350">
        <v>3</v>
      </c>
      <c r="AB350">
        <v>0</v>
      </c>
      <c r="AC350" t="s">
        <v>44</v>
      </c>
      <c r="AD350" t="s">
        <v>43</v>
      </c>
      <c r="AE350">
        <f t="shared" si="87"/>
        <v>1</v>
      </c>
      <c r="AF350" t="s">
        <v>43</v>
      </c>
      <c r="AG350">
        <f t="shared" si="88"/>
        <v>1</v>
      </c>
      <c r="AH350" t="s">
        <v>43</v>
      </c>
      <c r="AI350" t="s">
        <v>43</v>
      </c>
      <c r="AJ350" t="s">
        <v>43</v>
      </c>
      <c r="AK350" t="s">
        <v>43</v>
      </c>
      <c r="AL350">
        <f t="shared" si="89"/>
        <v>1</v>
      </c>
      <c r="AM350" t="s">
        <v>43</v>
      </c>
      <c r="AN350">
        <v>4</v>
      </c>
      <c r="AO350">
        <v>4</v>
      </c>
      <c r="AP350">
        <v>3</v>
      </c>
      <c r="AQ350">
        <v>1</v>
      </c>
      <c r="AR350">
        <v>3</v>
      </c>
      <c r="AS350">
        <v>4</v>
      </c>
      <c r="AT350">
        <v>0</v>
      </c>
      <c r="AV350">
        <v>13</v>
      </c>
      <c r="AW350">
        <v>15</v>
      </c>
      <c r="AX350">
        <v>15</v>
      </c>
    </row>
    <row r="351" spans="1:50" x14ac:dyDescent="0.2">
      <c r="A351" t="s">
        <v>54</v>
      </c>
      <c r="B351" t="s">
        <v>51</v>
      </c>
      <c r="C351">
        <v>18</v>
      </c>
      <c r="D351" t="s">
        <v>53</v>
      </c>
      <c r="E351" t="s">
        <v>37</v>
      </c>
      <c r="F351" t="s">
        <v>45</v>
      </c>
      <c r="G351">
        <f t="shared" si="80"/>
        <v>1</v>
      </c>
      <c r="H351">
        <v>3</v>
      </c>
      <c r="I351">
        <f t="shared" si="81"/>
        <v>0</v>
      </c>
      <c r="J351">
        <f t="shared" si="82"/>
        <v>0</v>
      </c>
      <c r="K351">
        <f t="shared" si="83"/>
        <v>0</v>
      </c>
      <c r="L351">
        <f t="shared" si="84"/>
        <v>1</v>
      </c>
      <c r="M351">
        <f t="shared" si="85"/>
        <v>0</v>
      </c>
      <c r="N351">
        <v>2</v>
      </c>
      <c r="O351">
        <f t="shared" si="75"/>
        <v>0</v>
      </c>
      <c r="P351">
        <f t="shared" si="76"/>
        <v>0</v>
      </c>
      <c r="Q351">
        <f t="shared" si="77"/>
        <v>1</v>
      </c>
      <c r="R351">
        <f t="shared" si="78"/>
        <v>0</v>
      </c>
      <c r="S351">
        <f t="shared" si="79"/>
        <v>0</v>
      </c>
      <c r="T351">
        <f t="shared" si="86"/>
        <v>0</v>
      </c>
      <c r="V351" t="s">
        <v>46</v>
      </c>
      <c r="W351" t="s">
        <v>46</v>
      </c>
      <c r="X351" t="s">
        <v>41</v>
      </c>
      <c r="Y351" t="s">
        <v>42</v>
      </c>
      <c r="Z351">
        <v>2</v>
      </c>
      <c r="AA351">
        <v>1</v>
      </c>
      <c r="AB351">
        <v>1</v>
      </c>
      <c r="AC351" t="s">
        <v>44</v>
      </c>
      <c r="AD351" t="s">
        <v>43</v>
      </c>
      <c r="AE351">
        <f t="shared" si="87"/>
        <v>1</v>
      </c>
      <c r="AF351" t="s">
        <v>44</v>
      </c>
      <c r="AG351">
        <f t="shared" si="88"/>
        <v>0</v>
      </c>
      <c r="AH351" t="s">
        <v>44</v>
      </c>
      <c r="AI351" t="s">
        <v>44</v>
      </c>
      <c r="AJ351" t="s">
        <v>43</v>
      </c>
      <c r="AK351" t="s">
        <v>43</v>
      </c>
      <c r="AL351">
        <f t="shared" si="89"/>
        <v>1</v>
      </c>
      <c r="AM351" t="s">
        <v>44</v>
      </c>
      <c r="AN351">
        <v>2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10</v>
      </c>
      <c r="AV351">
        <v>11</v>
      </c>
      <c r="AW351">
        <v>13</v>
      </c>
      <c r="AX351">
        <v>13</v>
      </c>
    </row>
    <row r="352" spans="1:50" x14ac:dyDescent="0.2">
      <c r="A352" t="s">
        <v>54</v>
      </c>
      <c r="B352" t="s">
        <v>51</v>
      </c>
      <c r="C352">
        <v>19</v>
      </c>
      <c r="D352" t="s">
        <v>53</v>
      </c>
      <c r="E352" t="s">
        <v>37</v>
      </c>
      <c r="F352" t="s">
        <v>45</v>
      </c>
      <c r="G352">
        <f t="shared" si="80"/>
        <v>1</v>
      </c>
      <c r="H352">
        <v>1</v>
      </c>
      <c r="I352">
        <f t="shared" si="81"/>
        <v>0</v>
      </c>
      <c r="J352">
        <f t="shared" si="82"/>
        <v>1</v>
      </c>
      <c r="K352">
        <f t="shared" si="83"/>
        <v>0</v>
      </c>
      <c r="L352">
        <f t="shared" si="84"/>
        <v>0</v>
      </c>
      <c r="M352">
        <f t="shared" si="85"/>
        <v>0</v>
      </c>
      <c r="N352">
        <v>1</v>
      </c>
      <c r="O352">
        <f t="shared" si="75"/>
        <v>0</v>
      </c>
      <c r="P352">
        <f t="shared" si="76"/>
        <v>1</v>
      </c>
      <c r="Q352">
        <f t="shared" si="77"/>
        <v>0</v>
      </c>
      <c r="R352">
        <f t="shared" si="78"/>
        <v>0</v>
      </c>
      <c r="S352">
        <f t="shared" si="79"/>
        <v>0</v>
      </c>
      <c r="T352">
        <f t="shared" si="86"/>
        <v>0</v>
      </c>
      <c r="V352" t="s">
        <v>46</v>
      </c>
      <c r="W352" t="s">
        <v>49</v>
      </c>
      <c r="X352" t="s">
        <v>50</v>
      </c>
      <c r="Y352" t="s">
        <v>46</v>
      </c>
      <c r="Z352">
        <v>3</v>
      </c>
      <c r="AA352">
        <v>2</v>
      </c>
      <c r="AB352">
        <v>3</v>
      </c>
      <c r="AC352" t="s">
        <v>44</v>
      </c>
      <c r="AD352" t="s">
        <v>44</v>
      </c>
      <c r="AE352">
        <f t="shared" si="87"/>
        <v>0</v>
      </c>
      <c r="AF352" t="s">
        <v>44</v>
      </c>
      <c r="AG352">
        <f t="shared" si="88"/>
        <v>0</v>
      </c>
      <c r="AH352" t="s">
        <v>44</v>
      </c>
      <c r="AI352" t="s">
        <v>43</v>
      </c>
      <c r="AJ352" t="s">
        <v>43</v>
      </c>
      <c r="AK352" t="s">
        <v>43</v>
      </c>
      <c r="AL352">
        <f t="shared" si="89"/>
        <v>1</v>
      </c>
      <c r="AM352" t="s">
        <v>44</v>
      </c>
      <c r="AN352">
        <v>5</v>
      </c>
      <c r="AO352">
        <v>4</v>
      </c>
      <c r="AP352">
        <v>4</v>
      </c>
      <c r="AQ352">
        <v>3</v>
      </c>
      <c r="AR352">
        <v>3</v>
      </c>
      <c r="AS352">
        <v>2</v>
      </c>
      <c r="AT352">
        <v>8</v>
      </c>
      <c r="AV352">
        <v>8</v>
      </c>
      <c r="AW352">
        <v>7</v>
      </c>
      <c r="AX352">
        <v>8</v>
      </c>
    </row>
    <row r="353" spans="1:50" x14ac:dyDescent="0.2">
      <c r="A353" t="s">
        <v>54</v>
      </c>
      <c r="B353" t="s">
        <v>51</v>
      </c>
      <c r="C353">
        <v>17</v>
      </c>
      <c r="D353" t="s">
        <v>36</v>
      </c>
      <c r="E353" t="s">
        <v>37</v>
      </c>
      <c r="F353" t="s">
        <v>45</v>
      </c>
      <c r="G353">
        <f t="shared" si="80"/>
        <v>1</v>
      </c>
      <c r="H353">
        <v>3</v>
      </c>
      <c r="I353">
        <f t="shared" si="81"/>
        <v>0</v>
      </c>
      <c r="J353">
        <f t="shared" si="82"/>
        <v>0</v>
      </c>
      <c r="K353">
        <f t="shared" si="83"/>
        <v>0</v>
      </c>
      <c r="L353">
        <f t="shared" si="84"/>
        <v>1</v>
      </c>
      <c r="M353">
        <f t="shared" si="85"/>
        <v>0</v>
      </c>
      <c r="N353">
        <v>3</v>
      </c>
      <c r="O353">
        <f t="shared" si="75"/>
        <v>0</v>
      </c>
      <c r="P353">
        <f t="shared" si="76"/>
        <v>0</v>
      </c>
      <c r="Q353">
        <f t="shared" si="77"/>
        <v>0</v>
      </c>
      <c r="R353">
        <f t="shared" si="78"/>
        <v>1</v>
      </c>
      <c r="S353">
        <f t="shared" si="79"/>
        <v>0</v>
      </c>
      <c r="T353">
        <f t="shared" si="86"/>
        <v>0</v>
      </c>
      <c r="V353" t="s">
        <v>29</v>
      </c>
      <c r="W353" t="s">
        <v>46</v>
      </c>
      <c r="X353" t="s">
        <v>41</v>
      </c>
      <c r="Y353" t="s">
        <v>42</v>
      </c>
      <c r="Z353">
        <v>2</v>
      </c>
      <c r="AA353">
        <v>2</v>
      </c>
      <c r="AB353">
        <v>0</v>
      </c>
      <c r="AC353" t="s">
        <v>44</v>
      </c>
      <c r="AD353" t="s">
        <v>43</v>
      </c>
      <c r="AE353">
        <f t="shared" si="87"/>
        <v>1</v>
      </c>
      <c r="AF353" t="s">
        <v>43</v>
      </c>
      <c r="AG353">
        <f t="shared" si="88"/>
        <v>1</v>
      </c>
      <c r="AH353" t="s">
        <v>44</v>
      </c>
      <c r="AI353" t="s">
        <v>43</v>
      </c>
      <c r="AJ353" t="s">
        <v>43</v>
      </c>
      <c r="AK353" t="s">
        <v>43</v>
      </c>
      <c r="AL353">
        <f t="shared" si="89"/>
        <v>1</v>
      </c>
      <c r="AM353" t="s">
        <v>44</v>
      </c>
      <c r="AN353">
        <v>4</v>
      </c>
      <c r="AO353">
        <v>5</v>
      </c>
      <c r="AP353">
        <v>4</v>
      </c>
      <c r="AQ353">
        <v>2</v>
      </c>
      <c r="AR353">
        <v>3</v>
      </c>
      <c r="AS353">
        <v>3</v>
      </c>
      <c r="AT353">
        <v>2</v>
      </c>
      <c r="AV353">
        <v>13</v>
      </c>
      <c r="AW353">
        <v>13</v>
      </c>
      <c r="AX353">
        <v>13</v>
      </c>
    </row>
    <row r="354" spans="1:50" x14ac:dyDescent="0.2">
      <c r="A354" t="s">
        <v>54</v>
      </c>
      <c r="B354" t="s">
        <v>51</v>
      </c>
      <c r="C354">
        <v>18</v>
      </c>
      <c r="D354" t="s">
        <v>36</v>
      </c>
      <c r="E354" t="s">
        <v>48</v>
      </c>
      <c r="F354" t="s">
        <v>45</v>
      </c>
      <c r="G354">
        <f t="shared" si="80"/>
        <v>1</v>
      </c>
      <c r="H354">
        <v>1</v>
      </c>
      <c r="I354">
        <f t="shared" si="81"/>
        <v>0</v>
      </c>
      <c r="J354">
        <f t="shared" si="82"/>
        <v>1</v>
      </c>
      <c r="K354">
        <f t="shared" si="83"/>
        <v>0</v>
      </c>
      <c r="L354">
        <f t="shared" si="84"/>
        <v>0</v>
      </c>
      <c r="M354">
        <f t="shared" si="85"/>
        <v>0</v>
      </c>
      <c r="N354">
        <v>3</v>
      </c>
      <c r="O354">
        <f t="shared" si="75"/>
        <v>0</v>
      </c>
      <c r="P354">
        <f t="shared" si="76"/>
        <v>0</v>
      </c>
      <c r="Q354">
        <f t="shared" si="77"/>
        <v>0</v>
      </c>
      <c r="R354">
        <f t="shared" si="78"/>
        <v>1</v>
      </c>
      <c r="S354">
        <f t="shared" si="79"/>
        <v>0</v>
      </c>
      <c r="T354">
        <f t="shared" si="86"/>
        <v>0</v>
      </c>
      <c r="V354" t="s">
        <v>39</v>
      </c>
      <c r="W354" t="s">
        <v>49</v>
      </c>
      <c r="X354" t="s">
        <v>41</v>
      </c>
      <c r="Y354" t="s">
        <v>42</v>
      </c>
      <c r="Z354">
        <v>1</v>
      </c>
      <c r="AA354">
        <v>1</v>
      </c>
      <c r="AB354">
        <v>1</v>
      </c>
      <c r="AC354" t="s">
        <v>44</v>
      </c>
      <c r="AD354" t="s">
        <v>44</v>
      </c>
      <c r="AE354">
        <f t="shared" si="87"/>
        <v>0</v>
      </c>
      <c r="AF354" t="s">
        <v>44</v>
      </c>
      <c r="AG354">
        <f t="shared" si="88"/>
        <v>0</v>
      </c>
      <c r="AH354" t="s">
        <v>44</v>
      </c>
      <c r="AI354" t="s">
        <v>43</v>
      </c>
      <c r="AJ354" t="s">
        <v>44</v>
      </c>
      <c r="AK354" t="s">
        <v>43</v>
      </c>
      <c r="AL354">
        <f t="shared" si="89"/>
        <v>1</v>
      </c>
      <c r="AM354" t="s">
        <v>43</v>
      </c>
      <c r="AN354">
        <v>4</v>
      </c>
      <c r="AO354">
        <v>3</v>
      </c>
      <c r="AP354">
        <v>3</v>
      </c>
      <c r="AQ354">
        <v>2</v>
      </c>
      <c r="AR354">
        <v>3</v>
      </c>
      <c r="AS354">
        <v>3</v>
      </c>
      <c r="AT354">
        <v>7</v>
      </c>
      <c r="AV354">
        <v>8</v>
      </c>
      <c r="AW354">
        <v>7</v>
      </c>
      <c r="AX354">
        <v>8</v>
      </c>
    </row>
    <row r="355" spans="1:50" x14ac:dyDescent="0.2">
      <c r="A355" t="s">
        <v>54</v>
      </c>
      <c r="B355" t="s">
        <v>51</v>
      </c>
      <c r="C355">
        <v>19</v>
      </c>
      <c r="D355" t="s">
        <v>53</v>
      </c>
      <c r="E355" t="s">
        <v>37</v>
      </c>
      <c r="F355" t="s">
        <v>45</v>
      </c>
      <c r="G355">
        <f t="shared" si="80"/>
        <v>1</v>
      </c>
      <c r="H355">
        <v>1</v>
      </c>
      <c r="I355">
        <f t="shared" si="81"/>
        <v>0</v>
      </c>
      <c r="J355">
        <f t="shared" si="82"/>
        <v>1</v>
      </c>
      <c r="K355">
        <f t="shared" si="83"/>
        <v>0</v>
      </c>
      <c r="L355">
        <f t="shared" si="84"/>
        <v>0</v>
      </c>
      <c r="M355">
        <f t="shared" si="85"/>
        <v>0</v>
      </c>
      <c r="N355">
        <v>1</v>
      </c>
      <c r="O355">
        <f t="shared" si="75"/>
        <v>0</v>
      </c>
      <c r="P355">
        <f t="shared" si="76"/>
        <v>1</v>
      </c>
      <c r="Q355">
        <f t="shared" si="77"/>
        <v>0</v>
      </c>
      <c r="R355">
        <f t="shared" si="78"/>
        <v>0</v>
      </c>
      <c r="S355">
        <f t="shared" si="79"/>
        <v>0</v>
      </c>
      <c r="T355">
        <f t="shared" si="86"/>
        <v>0</v>
      </c>
      <c r="V355" t="s">
        <v>46</v>
      </c>
      <c r="W355" t="s">
        <v>46</v>
      </c>
      <c r="X355" t="s">
        <v>50</v>
      </c>
      <c r="Y355" t="s">
        <v>46</v>
      </c>
      <c r="Z355">
        <v>3</v>
      </c>
      <c r="AA355">
        <v>1</v>
      </c>
      <c r="AB355">
        <v>1</v>
      </c>
      <c r="AC355" t="s">
        <v>44</v>
      </c>
      <c r="AD355" t="s">
        <v>43</v>
      </c>
      <c r="AE355">
        <f t="shared" si="87"/>
        <v>1</v>
      </c>
      <c r="AF355" t="s">
        <v>44</v>
      </c>
      <c r="AG355">
        <f t="shared" si="88"/>
        <v>0</v>
      </c>
      <c r="AH355" t="s">
        <v>44</v>
      </c>
      <c r="AI355" t="s">
        <v>43</v>
      </c>
      <c r="AJ355" t="s">
        <v>43</v>
      </c>
      <c r="AK355" t="s">
        <v>43</v>
      </c>
      <c r="AL355">
        <f t="shared" si="89"/>
        <v>1</v>
      </c>
      <c r="AM355" t="s">
        <v>44</v>
      </c>
      <c r="AN355">
        <v>4</v>
      </c>
      <c r="AO355">
        <v>4</v>
      </c>
      <c r="AP355">
        <v>4</v>
      </c>
      <c r="AQ355">
        <v>3</v>
      </c>
      <c r="AR355">
        <v>3</v>
      </c>
      <c r="AS355">
        <v>5</v>
      </c>
      <c r="AT355">
        <v>4</v>
      </c>
      <c r="AV355">
        <v>8</v>
      </c>
      <c r="AW355">
        <v>8</v>
      </c>
      <c r="AX355">
        <v>8</v>
      </c>
    </row>
    <row r="356" spans="1:50" x14ac:dyDescent="0.2">
      <c r="A356" t="s">
        <v>54</v>
      </c>
      <c r="B356" t="s">
        <v>51</v>
      </c>
      <c r="C356">
        <v>17</v>
      </c>
      <c r="D356" t="s">
        <v>53</v>
      </c>
      <c r="E356" t="s">
        <v>37</v>
      </c>
      <c r="F356" t="s">
        <v>45</v>
      </c>
      <c r="G356">
        <f t="shared" si="80"/>
        <v>1</v>
      </c>
      <c r="H356">
        <v>4</v>
      </c>
      <c r="I356">
        <f t="shared" si="81"/>
        <v>0</v>
      </c>
      <c r="J356">
        <f t="shared" si="82"/>
        <v>0</v>
      </c>
      <c r="K356">
        <f t="shared" si="83"/>
        <v>0</v>
      </c>
      <c r="L356">
        <f t="shared" si="84"/>
        <v>0</v>
      </c>
      <c r="M356">
        <f t="shared" si="85"/>
        <v>1</v>
      </c>
      <c r="N356">
        <v>3</v>
      </c>
      <c r="O356">
        <f t="shared" si="75"/>
        <v>0</v>
      </c>
      <c r="P356">
        <f t="shared" si="76"/>
        <v>0</v>
      </c>
      <c r="Q356">
        <f t="shared" si="77"/>
        <v>0</v>
      </c>
      <c r="R356">
        <f t="shared" si="78"/>
        <v>1</v>
      </c>
      <c r="S356">
        <f t="shared" si="79"/>
        <v>0</v>
      </c>
      <c r="T356">
        <f t="shared" si="86"/>
        <v>0</v>
      </c>
      <c r="V356" t="s">
        <v>49</v>
      </c>
      <c r="W356" t="s">
        <v>46</v>
      </c>
      <c r="X356" t="s">
        <v>50</v>
      </c>
      <c r="Y356" t="s">
        <v>42</v>
      </c>
      <c r="Z356">
        <v>2</v>
      </c>
      <c r="AA356">
        <v>2</v>
      </c>
      <c r="AB356">
        <v>0</v>
      </c>
      <c r="AC356" t="s">
        <v>44</v>
      </c>
      <c r="AD356" t="s">
        <v>43</v>
      </c>
      <c r="AE356">
        <f t="shared" si="87"/>
        <v>1</v>
      </c>
      <c r="AF356" t="s">
        <v>43</v>
      </c>
      <c r="AG356">
        <f t="shared" si="88"/>
        <v>1</v>
      </c>
      <c r="AH356" t="s">
        <v>43</v>
      </c>
      <c r="AI356" t="s">
        <v>44</v>
      </c>
      <c r="AJ356" t="s">
        <v>43</v>
      </c>
      <c r="AK356" t="s">
        <v>43</v>
      </c>
      <c r="AL356">
        <f t="shared" si="89"/>
        <v>1</v>
      </c>
      <c r="AM356" t="s">
        <v>43</v>
      </c>
      <c r="AN356">
        <v>4</v>
      </c>
      <c r="AO356">
        <v>5</v>
      </c>
      <c r="AP356">
        <v>5</v>
      </c>
      <c r="AQ356">
        <v>1</v>
      </c>
      <c r="AR356">
        <v>3</v>
      </c>
      <c r="AS356">
        <v>2</v>
      </c>
      <c r="AT356">
        <v>4</v>
      </c>
      <c r="AV356">
        <v>13</v>
      </c>
      <c r="AW356">
        <v>11</v>
      </c>
      <c r="AX356">
        <v>11</v>
      </c>
    </row>
    <row r="357" spans="1:50" x14ac:dyDescent="0.2">
      <c r="A357" t="s">
        <v>54</v>
      </c>
      <c r="B357" t="s">
        <v>35</v>
      </c>
      <c r="C357">
        <v>18</v>
      </c>
      <c r="D357" t="s">
        <v>36</v>
      </c>
      <c r="E357" t="s">
        <v>37</v>
      </c>
      <c r="F357" t="s">
        <v>45</v>
      </c>
      <c r="G357">
        <f t="shared" si="80"/>
        <v>1</v>
      </c>
      <c r="H357">
        <v>3</v>
      </c>
      <c r="I357">
        <f t="shared" si="81"/>
        <v>0</v>
      </c>
      <c r="J357">
        <f t="shared" si="82"/>
        <v>0</v>
      </c>
      <c r="K357">
        <f t="shared" si="83"/>
        <v>0</v>
      </c>
      <c r="L357">
        <f t="shared" si="84"/>
        <v>1</v>
      </c>
      <c r="M357">
        <f t="shared" si="85"/>
        <v>0</v>
      </c>
      <c r="N357">
        <v>3</v>
      </c>
      <c r="O357">
        <f t="shared" si="75"/>
        <v>0</v>
      </c>
      <c r="P357">
        <f t="shared" si="76"/>
        <v>0</v>
      </c>
      <c r="Q357">
        <f t="shared" si="77"/>
        <v>0</v>
      </c>
      <c r="R357">
        <f t="shared" si="78"/>
        <v>1</v>
      </c>
      <c r="S357">
        <f t="shared" si="79"/>
        <v>0</v>
      </c>
      <c r="T357">
        <f t="shared" si="86"/>
        <v>0</v>
      </c>
      <c r="V357" t="s">
        <v>49</v>
      </c>
      <c r="W357" t="s">
        <v>49</v>
      </c>
      <c r="X357" t="s">
        <v>41</v>
      </c>
      <c r="Y357" t="s">
        <v>47</v>
      </c>
      <c r="Z357">
        <v>1</v>
      </c>
      <c r="AA357">
        <v>2</v>
      </c>
      <c r="AB357">
        <v>0</v>
      </c>
      <c r="AC357" t="s">
        <v>44</v>
      </c>
      <c r="AD357" t="s">
        <v>43</v>
      </c>
      <c r="AE357">
        <f t="shared" si="87"/>
        <v>1</v>
      </c>
      <c r="AF357" t="s">
        <v>44</v>
      </c>
      <c r="AG357">
        <f t="shared" si="88"/>
        <v>0</v>
      </c>
      <c r="AH357" t="s">
        <v>44</v>
      </c>
      <c r="AI357" t="s">
        <v>43</v>
      </c>
      <c r="AJ357" t="s">
        <v>43</v>
      </c>
      <c r="AK357" t="s">
        <v>44</v>
      </c>
      <c r="AL357">
        <f t="shared" si="89"/>
        <v>0</v>
      </c>
      <c r="AM357" t="s">
        <v>43</v>
      </c>
      <c r="AN357">
        <v>5</v>
      </c>
      <c r="AO357">
        <v>3</v>
      </c>
      <c r="AP357">
        <v>4</v>
      </c>
      <c r="AQ357">
        <v>1</v>
      </c>
      <c r="AR357">
        <v>1</v>
      </c>
      <c r="AS357">
        <v>5</v>
      </c>
      <c r="AT357">
        <v>0</v>
      </c>
      <c r="AV357">
        <v>10</v>
      </c>
      <c r="AW357">
        <v>9</v>
      </c>
      <c r="AX357">
        <v>9</v>
      </c>
    </row>
    <row r="358" spans="1:50" x14ac:dyDescent="0.2">
      <c r="A358" t="s">
        <v>54</v>
      </c>
      <c r="B358" t="s">
        <v>35</v>
      </c>
      <c r="C358">
        <v>17</v>
      </c>
      <c r="D358" t="s">
        <v>53</v>
      </c>
      <c r="E358" t="s">
        <v>37</v>
      </c>
      <c r="F358" t="s">
        <v>45</v>
      </c>
      <c r="G358">
        <f t="shared" si="80"/>
        <v>1</v>
      </c>
      <c r="H358">
        <v>4</v>
      </c>
      <c r="I358">
        <f t="shared" si="81"/>
        <v>0</v>
      </c>
      <c r="J358">
        <f t="shared" si="82"/>
        <v>0</v>
      </c>
      <c r="K358">
        <f t="shared" si="83"/>
        <v>0</v>
      </c>
      <c r="L358">
        <f t="shared" si="84"/>
        <v>0</v>
      </c>
      <c r="M358">
        <f t="shared" si="85"/>
        <v>1</v>
      </c>
      <c r="N358">
        <v>4</v>
      </c>
      <c r="O358">
        <f t="shared" si="75"/>
        <v>0</v>
      </c>
      <c r="P358">
        <f t="shared" si="76"/>
        <v>0</v>
      </c>
      <c r="Q358">
        <f t="shared" si="77"/>
        <v>0</v>
      </c>
      <c r="R358">
        <f t="shared" si="78"/>
        <v>0</v>
      </c>
      <c r="S358">
        <f t="shared" si="79"/>
        <v>1</v>
      </c>
      <c r="T358">
        <f t="shared" si="86"/>
        <v>1</v>
      </c>
      <c r="V358" t="s">
        <v>40</v>
      </c>
      <c r="W358" t="s">
        <v>49</v>
      </c>
      <c r="X358" t="s">
        <v>46</v>
      </c>
      <c r="Y358" t="s">
        <v>47</v>
      </c>
      <c r="Z358">
        <v>2</v>
      </c>
      <c r="AA358">
        <v>2</v>
      </c>
      <c r="AB358">
        <v>0</v>
      </c>
      <c r="AC358" t="s">
        <v>44</v>
      </c>
      <c r="AD358" t="s">
        <v>43</v>
      </c>
      <c r="AE358">
        <f t="shared" si="87"/>
        <v>1</v>
      </c>
      <c r="AF358" t="s">
        <v>43</v>
      </c>
      <c r="AG358">
        <f t="shared" si="88"/>
        <v>1</v>
      </c>
      <c r="AH358" t="s">
        <v>43</v>
      </c>
      <c r="AI358" t="s">
        <v>43</v>
      </c>
      <c r="AJ358" t="s">
        <v>43</v>
      </c>
      <c r="AK358" t="s">
        <v>43</v>
      </c>
      <c r="AL358">
        <f t="shared" si="89"/>
        <v>1</v>
      </c>
      <c r="AM358" t="s">
        <v>44</v>
      </c>
      <c r="AN358">
        <v>4</v>
      </c>
      <c r="AO358">
        <v>3</v>
      </c>
      <c r="AP358">
        <v>3</v>
      </c>
      <c r="AQ358">
        <v>1</v>
      </c>
      <c r="AR358">
        <v>2</v>
      </c>
      <c r="AS358">
        <v>5</v>
      </c>
      <c r="AT358">
        <v>4</v>
      </c>
      <c r="AV358">
        <v>12</v>
      </c>
      <c r="AW358">
        <v>13</v>
      </c>
      <c r="AX358">
        <v>13</v>
      </c>
    </row>
    <row r="359" spans="1:50" x14ac:dyDescent="0.2">
      <c r="A359" t="s">
        <v>54</v>
      </c>
      <c r="B359" t="s">
        <v>35</v>
      </c>
      <c r="C359">
        <v>17</v>
      </c>
      <c r="D359" t="s">
        <v>36</v>
      </c>
      <c r="E359" t="s">
        <v>48</v>
      </c>
      <c r="F359" t="s">
        <v>38</v>
      </c>
      <c r="G359">
        <f t="shared" si="80"/>
        <v>0</v>
      </c>
      <c r="H359">
        <v>3</v>
      </c>
      <c r="I359">
        <f t="shared" si="81"/>
        <v>0</v>
      </c>
      <c r="J359">
        <f t="shared" si="82"/>
        <v>0</v>
      </c>
      <c r="K359">
        <f t="shared" si="83"/>
        <v>0</v>
      </c>
      <c r="L359">
        <f t="shared" si="84"/>
        <v>1</v>
      </c>
      <c r="M359">
        <f t="shared" si="85"/>
        <v>0</v>
      </c>
      <c r="N359">
        <v>2</v>
      </c>
      <c r="O359">
        <f t="shared" si="75"/>
        <v>0</v>
      </c>
      <c r="P359">
        <f t="shared" si="76"/>
        <v>0</v>
      </c>
      <c r="Q359">
        <f t="shared" si="77"/>
        <v>1</v>
      </c>
      <c r="R359">
        <f t="shared" si="78"/>
        <v>0</v>
      </c>
      <c r="S359">
        <f t="shared" si="79"/>
        <v>0</v>
      </c>
      <c r="T359">
        <f t="shared" si="86"/>
        <v>0</v>
      </c>
      <c r="V359" t="s">
        <v>49</v>
      </c>
      <c r="W359" t="s">
        <v>46</v>
      </c>
      <c r="X359" t="s">
        <v>52</v>
      </c>
      <c r="Y359" t="s">
        <v>42</v>
      </c>
      <c r="Z359">
        <v>2</v>
      </c>
      <c r="AA359">
        <v>2</v>
      </c>
      <c r="AB359">
        <v>0</v>
      </c>
      <c r="AC359" t="s">
        <v>44</v>
      </c>
      <c r="AD359" t="s">
        <v>44</v>
      </c>
      <c r="AE359">
        <f t="shared" si="87"/>
        <v>0</v>
      </c>
      <c r="AF359" t="s">
        <v>44</v>
      </c>
      <c r="AG359">
        <f t="shared" si="88"/>
        <v>0</v>
      </c>
      <c r="AH359" t="s">
        <v>44</v>
      </c>
      <c r="AI359" t="s">
        <v>43</v>
      </c>
      <c r="AJ359" t="s">
        <v>43</v>
      </c>
      <c r="AK359" t="s">
        <v>44</v>
      </c>
      <c r="AL359">
        <f t="shared" si="89"/>
        <v>0</v>
      </c>
      <c r="AM359" t="s">
        <v>43</v>
      </c>
      <c r="AN359">
        <v>1</v>
      </c>
      <c r="AO359">
        <v>2</v>
      </c>
      <c r="AP359">
        <v>3</v>
      </c>
      <c r="AQ359">
        <v>1</v>
      </c>
      <c r="AR359">
        <v>2</v>
      </c>
      <c r="AS359">
        <v>5</v>
      </c>
      <c r="AT359">
        <v>2</v>
      </c>
      <c r="AV359">
        <v>12</v>
      </c>
      <c r="AW359">
        <v>12</v>
      </c>
      <c r="AX359">
        <v>11</v>
      </c>
    </row>
    <row r="360" spans="1:50" x14ac:dyDescent="0.2">
      <c r="A360" t="s">
        <v>54</v>
      </c>
      <c r="B360" t="s">
        <v>51</v>
      </c>
      <c r="C360">
        <v>18</v>
      </c>
      <c r="D360" t="s">
        <v>36</v>
      </c>
      <c r="E360" t="s">
        <v>48</v>
      </c>
      <c r="F360" t="s">
        <v>45</v>
      </c>
      <c r="G360">
        <f t="shared" si="80"/>
        <v>1</v>
      </c>
      <c r="H360">
        <v>1</v>
      </c>
      <c r="I360">
        <f t="shared" si="81"/>
        <v>0</v>
      </c>
      <c r="J360">
        <f t="shared" si="82"/>
        <v>1</v>
      </c>
      <c r="K360">
        <f t="shared" si="83"/>
        <v>0</v>
      </c>
      <c r="L360">
        <f t="shared" si="84"/>
        <v>0</v>
      </c>
      <c r="M360">
        <f t="shared" si="85"/>
        <v>0</v>
      </c>
      <c r="N360">
        <v>1</v>
      </c>
      <c r="O360">
        <f t="shared" si="75"/>
        <v>0</v>
      </c>
      <c r="P360">
        <f t="shared" si="76"/>
        <v>1</v>
      </c>
      <c r="Q360">
        <f t="shared" si="77"/>
        <v>0</v>
      </c>
      <c r="R360">
        <f t="shared" si="78"/>
        <v>0</v>
      </c>
      <c r="S360">
        <f t="shared" si="79"/>
        <v>0</v>
      </c>
      <c r="T360">
        <f t="shared" si="86"/>
        <v>0</v>
      </c>
      <c r="V360" t="s">
        <v>46</v>
      </c>
      <c r="W360" t="s">
        <v>49</v>
      </c>
      <c r="X360" t="s">
        <v>50</v>
      </c>
      <c r="Y360" t="s">
        <v>47</v>
      </c>
      <c r="Z360">
        <v>2</v>
      </c>
      <c r="AA360">
        <v>1</v>
      </c>
      <c r="AB360">
        <v>0</v>
      </c>
      <c r="AC360" t="s">
        <v>44</v>
      </c>
      <c r="AD360" t="s">
        <v>44</v>
      </c>
      <c r="AE360">
        <f t="shared" si="87"/>
        <v>0</v>
      </c>
      <c r="AF360" t="s">
        <v>44</v>
      </c>
      <c r="AG360">
        <f t="shared" si="88"/>
        <v>0</v>
      </c>
      <c r="AH360" t="s">
        <v>44</v>
      </c>
      <c r="AI360" t="s">
        <v>44</v>
      </c>
      <c r="AJ360" t="s">
        <v>43</v>
      </c>
      <c r="AK360" t="s">
        <v>43</v>
      </c>
      <c r="AL360">
        <f t="shared" si="89"/>
        <v>1</v>
      </c>
      <c r="AM360" t="s">
        <v>43</v>
      </c>
      <c r="AN360">
        <v>3</v>
      </c>
      <c r="AO360">
        <v>3</v>
      </c>
      <c r="AP360">
        <v>2</v>
      </c>
      <c r="AQ360">
        <v>1</v>
      </c>
      <c r="AR360">
        <v>2</v>
      </c>
      <c r="AS360">
        <v>3</v>
      </c>
      <c r="AT360">
        <v>4</v>
      </c>
      <c r="AV360">
        <v>10</v>
      </c>
      <c r="AW360">
        <v>10</v>
      </c>
      <c r="AX360">
        <v>10</v>
      </c>
    </row>
    <row r="361" spans="1:50" x14ac:dyDescent="0.2">
      <c r="A361" t="s">
        <v>54</v>
      </c>
      <c r="B361" t="s">
        <v>35</v>
      </c>
      <c r="C361">
        <v>18</v>
      </c>
      <c r="D361" t="s">
        <v>36</v>
      </c>
      <c r="E361" t="s">
        <v>48</v>
      </c>
      <c r="F361" t="s">
        <v>45</v>
      </c>
      <c r="G361">
        <f t="shared" si="80"/>
        <v>1</v>
      </c>
      <c r="H361">
        <v>1</v>
      </c>
      <c r="I361">
        <f t="shared" si="81"/>
        <v>0</v>
      </c>
      <c r="J361">
        <f t="shared" si="82"/>
        <v>1</v>
      </c>
      <c r="K361">
        <f t="shared" si="83"/>
        <v>0</v>
      </c>
      <c r="L361">
        <f t="shared" si="84"/>
        <v>0</v>
      </c>
      <c r="M361">
        <f t="shared" si="85"/>
        <v>0</v>
      </c>
      <c r="N361">
        <v>1</v>
      </c>
      <c r="O361">
        <f t="shared" si="75"/>
        <v>0</v>
      </c>
      <c r="P361">
        <f t="shared" si="76"/>
        <v>1</v>
      </c>
      <c r="Q361">
        <f t="shared" si="77"/>
        <v>0</v>
      </c>
      <c r="R361">
        <f t="shared" si="78"/>
        <v>0</v>
      </c>
      <c r="S361">
        <f t="shared" si="79"/>
        <v>0</v>
      </c>
      <c r="T361">
        <f t="shared" si="86"/>
        <v>0</v>
      </c>
      <c r="V361" t="s">
        <v>39</v>
      </c>
      <c r="W361" t="s">
        <v>49</v>
      </c>
      <c r="X361" t="s">
        <v>41</v>
      </c>
      <c r="Y361" t="s">
        <v>47</v>
      </c>
      <c r="Z361">
        <v>2</v>
      </c>
      <c r="AA361">
        <v>3</v>
      </c>
      <c r="AB361">
        <v>0</v>
      </c>
      <c r="AC361" t="s">
        <v>44</v>
      </c>
      <c r="AD361" t="s">
        <v>44</v>
      </c>
      <c r="AE361">
        <f t="shared" si="87"/>
        <v>0</v>
      </c>
      <c r="AF361" t="s">
        <v>44</v>
      </c>
      <c r="AG361">
        <f t="shared" si="88"/>
        <v>0</v>
      </c>
      <c r="AH361" t="s">
        <v>44</v>
      </c>
      <c r="AI361" t="s">
        <v>43</v>
      </c>
      <c r="AJ361" t="s">
        <v>43</v>
      </c>
      <c r="AK361" t="s">
        <v>43</v>
      </c>
      <c r="AL361">
        <f t="shared" si="89"/>
        <v>1</v>
      </c>
      <c r="AM361" t="s">
        <v>44</v>
      </c>
      <c r="AN361">
        <v>5</v>
      </c>
      <c r="AO361">
        <v>3</v>
      </c>
      <c r="AP361">
        <v>2</v>
      </c>
      <c r="AQ361">
        <v>1</v>
      </c>
      <c r="AR361">
        <v>1</v>
      </c>
      <c r="AS361">
        <v>4</v>
      </c>
      <c r="AT361">
        <v>0</v>
      </c>
      <c r="AV361">
        <v>18</v>
      </c>
      <c r="AW361">
        <v>16</v>
      </c>
      <c r="AX361">
        <v>16</v>
      </c>
    </row>
    <row r="362" spans="1:50" x14ac:dyDescent="0.2">
      <c r="A362" t="s">
        <v>54</v>
      </c>
      <c r="B362" t="s">
        <v>35</v>
      </c>
      <c r="C362">
        <v>18</v>
      </c>
      <c r="D362" t="s">
        <v>53</v>
      </c>
      <c r="E362" t="s">
        <v>48</v>
      </c>
      <c r="F362" t="s">
        <v>38</v>
      </c>
      <c r="G362">
        <f t="shared" si="80"/>
        <v>0</v>
      </c>
      <c r="H362">
        <v>1</v>
      </c>
      <c r="I362">
        <f t="shared" si="81"/>
        <v>0</v>
      </c>
      <c r="J362">
        <f t="shared" si="82"/>
        <v>1</v>
      </c>
      <c r="K362">
        <f t="shared" si="83"/>
        <v>0</v>
      </c>
      <c r="L362">
        <f t="shared" si="84"/>
        <v>0</v>
      </c>
      <c r="M362">
        <f t="shared" si="85"/>
        <v>0</v>
      </c>
      <c r="N362">
        <v>4</v>
      </c>
      <c r="O362">
        <f t="shared" si="75"/>
        <v>0</v>
      </c>
      <c r="P362">
        <f t="shared" si="76"/>
        <v>0</v>
      </c>
      <c r="Q362">
        <f t="shared" si="77"/>
        <v>0</v>
      </c>
      <c r="R362">
        <f t="shared" si="78"/>
        <v>0</v>
      </c>
      <c r="S362">
        <f t="shared" si="79"/>
        <v>1</v>
      </c>
      <c r="T362">
        <f t="shared" si="86"/>
        <v>0</v>
      </c>
      <c r="V362" t="s">
        <v>39</v>
      </c>
      <c r="W362" t="s">
        <v>46</v>
      </c>
      <c r="X362" t="s">
        <v>41</v>
      </c>
      <c r="Y362" t="s">
        <v>42</v>
      </c>
      <c r="Z362">
        <v>3</v>
      </c>
      <c r="AA362">
        <v>2</v>
      </c>
      <c r="AB362">
        <v>0</v>
      </c>
      <c r="AC362" t="s">
        <v>44</v>
      </c>
      <c r="AD362" t="s">
        <v>44</v>
      </c>
      <c r="AE362">
        <f t="shared" si="87"/>
        <v>0</v>
      </c>
      <c r="AF362" t="s">
        <v>44</v>
      </c>
      <c r="AG362">
        <f t="shared" si="88"/>
        <v>0</v>
      </c>
      <c r="AH362" t="s">
        <v>44</v>
      </c>
      <c r="AI362" t="s">
        <v>43</v>
      </c>
      <c r="AJ362" t="s">
        <v>43</v>
      </c>
      <c r="AK362" t="s">
        <v>44</v>
      </c>
      <c r="AL362">
        <f t="shared" si="89"/>
        <v>0</v>
      </c>
      <c r="AM362" t="s">
        <v>43</v>
      </c>
      <c r="AN362">
        <v>4</v>
      </c>
      <c r="AO362">
        <v>3</v>
      </c>
      <c r="AP362">
        <v>4</v>
      </c>
      <c r="AQ362">
        <v>1</v>
      </c>
      <c r="AR362">
        <v>4</v>
      </c>
      <c r="AS362">
        <v>5</v>
      </c>
      <c r="AT362">
        <v>0</v>
      </c>
      <c r="AV362">
        <v>13</v>
      </c>
      <c r="AW362">
        <v>13</v>
      </c>
      <c r="AX362">
        <v>13</v>
      </c>
    </row>
    <row r="363" spans="1:50" x14ac:dyDescent="0.2">
      <c r="A363" t="s">
        <v>54</v>
      </c>
      <c r="B363" t="s">
        <v>51</v>
      </c>
      <c r="C363">
        <v>18</v>
      </c>
      <c r="D363" t="s">
        <v>53</v>
      </c>
      <c r="E363" t="s">
        <v>48</v>
      </c>
      <c r="F363" t="s">
        <v>45</v>
      </c>
      <c r="G363">
        <f t="shared" si="80"/>
        <v>1</v>
      </c>
      <c r="H363">
        <v>1</v>
      </c>
      <c r="I363">
        <f t="shared" si="81"/>
        <v>0</v>
      </c>
      <c r="J363">
        <f t="shared" si="82"/>
        <v>1</v>
      </c>
      <c r="K363">
        <f t="shared" si="83"/>
        <v>0</v>
      </c>
      <c r="L363">
        <f t="shared" si="84"/>
        <v>0</v>
      </c>
      <c r="M363">
        <f t="shared" si="85"/>
        <v>0</v>
      </c>
      <c r="N363">
        <v>1</v>
      </c>
      <c r="O363">
        <f t="shared" si="75"/>
        <v>0</v>
      </c>
      <c r="P363">
        <f t="shared" si="76"/>
        <v>1</v>
      </c>
      <c r="Q363">
        <f t="shared" si="77"/>
        <v>0</v>
      </c>
      <c r="R363">
        <f t="shared" si="78"/>
        <v>0</v>
      </c>
      <c r="S363">
        <f t="shared" si="79"/>
        <v>0</v>
      </c>
      <c r="T363">
        <f t="shared" si="86"/>
        <v>0</v>
      </c>
      <c r="V363" t="s">
        <v>39</v>
      </c>
      <c r="W363" t="s">
        <v>46</v>
      </c>
      <c r="X363" t="s">
        <v>46</v>
      </c>
      <c r="Y363" t="s">
        <v>42</v>
      </c>
      <c r="Z363">
        <v>2</v>
      </c>
      <c r="AA363">
        <v>2</v>
      </c>
      <c r="AB363">
        <v>1</v>
      </c>
      <c r="AC363" t="s">
        <v>44</v>
      </c>
      <c r="AD363" t="s">
        <v>44</v>
      </c>
      <c r="AE363">
        <f t="shared" si="87"/>
        <v>0</v>
      </c>
      <c r="AF363" t="s">
        <v>44</v>
      </c>
      <c r="AG363">
        <f t="shared" si="88"/>
        <v>0</v>
      </c>
      <c r="AH363" t="s">
        <v>43</v>
      </c>
      <c r="AI363" t="s">
        <v>44</v>
      </c>
      <c r="AJ363" t="s">
        <v>44</v>
      </c>
      <c r="AK363" t="s">
        <v>44</v>
      </c>
      <c r="AL363">
        <f t="shared" si="89"/>
        <v>0</v>
      </c>
      <c r="AM363" t="s">
        <v>44</v>
      </c>
      <c r="AN363">
        <v>4</v>
      </c>
      <c r="AO363">
        <v>4</v>
      </c>
      <c r="AP363">
        <v>3</v>
      </c>
      <c r="AQ363">
        <v>2</v>
      </c>
      <c r="AR363">
        <v>3</v>
      </c>
      <c r="AS363">
        <v>5</v>
      </c>
      <c r="AT363">
        <v>2</v>
      </c>
      <c r="AV363">
        <v>13</v>
      </c>
      <c r="AW363">
        <v>12</v>
      </c>
      <c r="AX363">
        <v>12</v>
      </c>
    </row>
    <row r="364" spans="1:50" x14ac:dyDescent="0.2">
      <c r="A364" t="s">
        <v>54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f t="shared" si="80"/>
        <v>1</v>
      </c>
      <c r="H364">
        <v>3</v>
      </c>
      <c r="I364">
        <f t="shared" si="81"/>
        <v>0</v>
      </c>
      <c r="J364">
        <f t="shared" si="82"/>
        <v>0</v>
      </c>
      <c r="K364">
        <f t="shared" si="83"/>
        <v>0</v>
      </c>
      <c r="L364">
        <f t="shared" si="84"/>
        <v>1</v>
      </c>
      <c r="M364">
        <f t="shared" si="85"/>
        <v>0</v>
      </c>
      <c r="N364">
        <v>3</v>
      </c>
      <c r="O364">
        <f t="shared" si="75"/>
        <v>0</v>
      </c>
      <c r="P364">
        <f t="shared" si="76"/>
        <v>0</v>
      </c>
      <c r="Q364">
        <f t="shared" si="77"/>
        <v>0</v>
      </c>
      <c r="R364">
        <f t="shared" si="78"/>
        <v>1</v>
      </c>
      <c r="S364">
        <f t="shared" si="79"/>
        <v>0</v>
      </c>
      <c r="T364">
        <f t="shared" si="86"/>
        <v>0</v>
      </c>
      <c r="V364" t="s">
        <v>49</v>
      </c>
      <c r="W364" t="s">
        <v>49</v>
      </c>
      <c r="X364" t="s">
        <v>46</v>
      </c>
      <c r="Y364" t="s">
        <v>42</v>
      </c>
      <c r="Z364">
        <v>2</v>
      </c>
      <c r="AA364">
        <v>2</v>
      </c>
      <c r="AB364">
        <v>0</v>
      </c>
      <c r="AC364" t="s">
        <v>44</v>
      </c>
      <c r="AD364" t="s">
        <v>43</v>
      </c>
      <c r="AE364">
        <f t="shared" si="87"/>
        <v>1</v>
      </c>
      <c r="AF364" t="s">
        <v>44</v>
      </c>
      <c r="AG364">
        <f t="shared" si="88"/>
        <v>0</v>
      </c>
      <c r="AH364" t="s">
        <v>44</v>
      </c>
      <c r="AI364" t="s">
        <v>43</v>
      </c>
      <c r="AJ364" t="s">
        <v>43</v>
      </c>
      <c r="AK364" t="s">
        <v>43</v>
      </c>
      <c r="AL364">
        <f t="shared" si="89"/>
        <v>1</v>
      </c>
      <c r="AM364" t="s">
        <v>43</v>
      </c>
      <c r="AN364">
        <v>4</v>
      </c>
      <c r="AO364">
        <v>3</v>
      </c>
      <c r="AP364">
        <v>2</v>
      </c>
      <c r="AQ364">
        <v>1</v>
      </c>
      <c r="AR364">
        <v>3</v>
      </c>
      <c r="AS364">
        <v>3</v>
      </c>
      <c r="AT364">
        <v>0</v>
      </c>
      <c r="AV364">
        <v>11</v>
      </c>
      <c r="AW364">
        <v>11</v>
      </c>
      <c r="AX364">
        <v>10</v>
      </c>
    </row>
    <row r="365" spans="1:50" x14ac:dyDescent="0.2">
      <c r="A365" t="s">
        <v>54</v>
      </c>
      <c r="B365" t="s">
        <v>35</v>
      </c>
      <c r="C365">
        <v>17</v>
      </c>
      <c r="D365" t="s">
        <v>36</v>
      </c>
      <c r="E365" t="s">
        <v>48</v>
      </c>
      <c r="F365" t="s">
        <v>45</v>
      </c>
      <c r="G365">
        <f t="shared" si="80"/>
        <v>1</v>
      </c>
      <c r="H365">
        <v>4</v>
      </c>
      <c r="I365">
        <f t="shared" si="81"/>
        <v>0</v>
      </c>
      <c r="J365">
        <f t="shared" si="82"/>
        <v>0</v>
      </c>
      <c r="K365">
        <f t="shared" si="83"/>
        <v>0</v>
      </c>
      <c r="L365">
        <f t="shared" si="84"/>
        <v>0</v>
      </c>
      <c r="M365">
        <f t="shared" si="85"/>
        <v>1</v>
      </c>
      <c r="N365">
        <v>4</v>
      </c>
      <c r="O365">
        <f t="shared" si="75"/>
        <v>0</v>
      </c>
      <c r="P365">
        <f t="shared" si="76"/>
        <v>0</v>
      </c>
      <c r="Q365">
        <f t="shared" si="77"/>
        <v>0</v>
      </c>
      <c r="R365">
        <f t="shared" si="78"/>
        <v>0</v>
      </c>
      <c r="S365">
        <f t="shared" si="79"/>
        <v>1</v>
      </c>
      <c r="T365">
        <f t="shared" si="86"/>
        <v>1</v>
      </c>
      <c r="V365" t="s">
        <v>39</v>
      </c>
      <c r="W365" t="s">
        <v>39</v>
      </c>
      <c r="X365" t="s">
        <v>41</v>
      </c>
      <c r="Y365" t="s">
        <v>42</v>
      </c>
      <c r="Z365">
        <v>1</v>
      </c>
      <c r="AA365">
        <v>2</v>
      </c>
      <c r="AB365">
        <v>0</v>
      </c>
      <c r="AC365" t="s">
        <v>44</v>
      </c>
      <c r="AD365" t="s">
        <v>43</v>
      </c>
      <c r="AE365">
        <f t="shared" si="87"/>
        <v>1</v>
      </c>
      <c r="AF365" t="s">
        <v>43</v>
      </c>
      <c r="AG365">
        <f t="shared" si="88"/>
        <v>1</v>
      </c>
      <c r="AH365" t="s">
        <v>43</v>
      </c>
      <c r="AI365" t="s">
        <v>43</v>
      </c>
      <c r="AJ365" t="s">
        <v>43</v>
      </c>
      <c r="AK365" t="s">
        <v>43</v>
      </c>
      <c r="AL365">
        <f t="shared" si="89"/>
        <v>1</v>
      </c>
      <c r="AM365" t="s">
        <v>43</v>
      </c>
      <c r="AN365">
        <v>2</v>
      </c>
      <c r="AO365">
        <v>3</v>
      </c>
      <c r="AP365">
        <v>4</v>
      </c>
      <c r="AQ365">
        <v>1</v>
      </c>
      <c r="AR365">
        <v>1</v>
      </c>
      <c r="AS365">
        <v>1</v>
      </c>
      <c r="AT365">
        <v>0</v>
      </c>
      <c r="AV365">
        <v>16</v>
      </c>
      <c r="AW365">
        <v>15</v>
      </c>
      <c r="AX365">
        <v>15</v>
      </c>
    </row>
    <row r="366" spans="1:50" x14ac:dyDescent="0.2">
      <c r="A366" t="s">
        <v>54</v>
      </c>
      <c r="B366" t="s">
        <v>35</v>
      </c>
      <c r="C366">
        <v>17</v>
      </c>
      <c r="D366" t="s">
        <v>53</v>
      </c>
      <c r="E366" t="s">
        <v>37</v>
      </c>
      <c r="F366" t="s">
        <v>45</v>
      </c>
      <c r="G366">
        <f t="shared" si="80"/>
        <v>1</v>
      </c>
      <c r="H366">
        <v>1</v>
      </c>
      <c r="I366">
        <f t="shared" si="81"/>
        <v>0</v>
      </c>
      <c r="J366">
        <f t="shared" si="82"/>
        <v>1</v>
      </c>
      <c r="K366">
        <f t="shared" si="83"/>
        <v>0</v>
      </c>
      <c r="L366">
        <f t="shared" si="84"/>
        <v>0</v>
      </c>
      <c r="M366">
        <f t="shared" si="85"/>
        <v>0</v>
      </c>
      <c r="N366">
        <v>2</v>
      </c>
      <c r="O366">
        <f t="shared" si="75"/>
        <v>0</v>
      </c>
      <c r="P366">
        <f t="shared" si="76"/>
        <v>0</v>
      </c>
      <c r="Q366">
        <f t="shared" si="77"/>
        <v>1</v>
      </c>
      <c r="R366">
        <f t="shared" si="78"/>
        <v>0</v>
      </c>
      <c r="S366">
        <f t="shared" si="79"/>
        <v>0</v>
      </c>
      <c r="T366">
        <f t="shared" si="86"/>
        <v>0</v>
      </c>
      <c r="V366" t="s">
        <v>46</v>
      </c>
      <c r="W366" t="s">
        <v>49</v>
      </c>
      <c r="X366" t="s">
        <v>41</v>
      </c>
      <c r="Y366" t="s">
        <v>47</v>
      </c>
      <c r="Z366">
        <v>2</v>
      </c>
      <c r="AA366">
        <v>2</v>
      </c>
      <c r="AB366">
        <v>0</v>
      </c>
      <c r="AC366" t="s">
        <v>44</v>
      </c>
      <c r="AD366" t="s">
        <v>44</v>
      </c>
      <c r="AE366">
        <f t="shared" si="87"/>
        <v>0</v>
      </c>
      <c r="AF366" t="s">
        <v>44</v>
      </c>
      <c r="AG366">
        <f t="shared" si="88"/>
        <v>0</v>
      </c>
      <c r="AH366" t="s">
        <v>44</v>
      </c>
      <c r="AI366" t="s">
        <v>44</v>
      </c>
      <c r="AJ366" t="s">
        <v>43</v>
      </c>
      <c r="AK366" t="s">
        <v>44</v>
      </c>
      <c r="AL366">
        <f t="shared" si="89"/>
        <v>0</v>
      </c>
      <c r="AM366" t="s">
        <v>44</v>
      </c>
      <c r="AN366">
        <v>3</v>
      </c>
      <c r="AO366">
        <v>2</v>
      </c>
      <c r="AP366">
        <v>2</v>
      </c>
      <c r="AQ366">
        <v>1</v>
      </c>
      <c r="AR366">
        <v>2</v>
      </c>
      <c r="AS366">
        <v>3</v>
      </c>
      <c r="AT366">
        <v>0</v>
      </c>
      <c r="AV366">
        <v>12</v>
      </c>
      <c r="AW366">
        <v>11</v>
      </c>
      <c r="AX366">
        <v>12</v>
      </c>
    </row>
    <row r="367" spans="1:50" x14ac:dyDescent="0.2">
      <c r="A367" t="s">
        <v>54</v>
      </c>
      <c r="B367" t="s">
        <v>51</v>
      </c>
      <c r="C367">
        <v>18</v>
      </c>
      <c r="D367" t="s">
        <v>53</v>
      </c>
      <c r="E367" t="s">
        <v>37</v>
      </c>
      <c r="F367" t="s">
        <v>45</v>
      </c>
      <c r="G367">
        <f t="shared" si="80"/>
        <v>1</v>
      </c>
      <c r="H367">
        <v>1</v>
      </c>
      <c r="I367">
        <f t="shared" si="81"/>
        <v>0</v>
      </c>
      <c r="J367">
        <f t="shared" si="82"/>
        <v>1</v>
      </c>
      <c r="K367">
        <f t="shared" si="83"/>
        <v>0</v>
      </c>
      <c r="L367">
        <f t="shared" si="84"/>
        <v>0</v>
      </c>
      <c r="M367">
        <f t="shared" si="85"/>
        <v>0</v>
      </c>
      <c r="N367">
        <v>3</v>
      </c>
      <c r="O367">
        <f t="shared" si="75"/>
        <v>0</v>
      </c>
      <c r="P367">
        <f t="shared" si="76"/>
        <v>0</v>
      </c>
      <c r="Q367">
        <f t="shared" si="77"/>
        <v>0</v>
      </c>
      <c r="R367">
        <f t="shared" si="78"/>
        <v>1</v>
      </c>
      <c r="S367">
        <f t="shared" si="79"/>
        <v>0</v>
      </c>
      <c r="T367">
        <f t="shared" si="86"/>
        <v>0</v>
      </c>
      <c r="V367" t="s">
        <v>39</v>
      </c>
      <c r="W367" t="s">
        <v>46</v>
      </c>
      <c r="X367" t="s">
        <v>41</v>
      </c>
      <c r="Y367" t="s">
        <v>42</v>
      </c>
      <c r="Z367">
        <v>2</v>
      </c>
      <c r="AA367">
        <v>2</v>
      </c>
      <c r="AB367">
        <v>0</v>
      </c>
      <c r="AC367" t="s">
        <v>44</v>
      </c>
      <c r="AD367" t="s">
        <v>43</v>
      </c>
      <c r="AE367">
        <f t="shared" si="87"/>
        <v>1</v>
      </c>
      <c r="AF367" t="s">
        <v>43</v>
      </c>
      <c r="AG367">
        <f t="shared" si="88"/>
        <v>1</v>
      </c>
      <c r="AH367" t="s">
        <v>44</v>
      </c>
      <c r="AI367" t="s">
        <v>43</v>
      </c>
      <c r="AJ367" t="s">
        <v>43</v>
      </c>
      <c r="AK367" t="s">
        <v>44</v>
      </c>
      <c r="AL367">
        <f t="shared" si="89"/>
        <v>0</v>
      </c>
      <c r="AM367" t="s">
        <v>44</v>
      </c>
      <c r="AN367">
        <v>3</v>
      </c>
      <c r="AO367">
        <v>3</v>
      </c>
      <c r="AP367">
        <v>4</v>
      </c>
      <c r="AQ367">
        <v>2</v>
      </c>
      <c r="AR367">
        <v>4</v>
      </c>
      <c r="AS367">
        <v>3</v>
      </c>
      <c r="AT367">
        <v>4</v>
      </c>
      <c r="AV367">
        <v>10</v>
      </c>
      <c r="AW367">
        <v>10</v>
      </c>
      <c r="AX367">
        <v>10</v>
      </c>
    </row>
    <row r="368" spans="1:50" x14ac:dyDescent="0.2">
      <c r="A368" t="s">
        <v>54</v>
      </c>
      <c r="B368" t="s">
        <v>51</v>
      </c>
      <c r="C368">
        <v>18</v>
      </c>
      <c r="D368" t="s">
        <v>36</v>
      </c>
      <c r="E368" t="s">
        <v>48</v>
      </c>
      <c r="F368" t="s">
        <v>45</v>
      </c>
      <c r="G368">
        <f t="shared" si="80"/>
        <v>1</v>
      </c>
      <c r="H368">
        <v>4</v>
      </c>
      <c r="I368">
        <f t="shared" si="81"/>
        <v>0</v>
      </c>
      <c r="J368">
        <f t="shared" si="82"/>
        <v>0</v>
      </c>
      <c r="K368">
        <f t="shared" si="83"/>
        <v>0</v>
      </c>
      <c r="L368">
        <f t="shared" si="84"/>
        <v>0</v>
      </c>
      <c r="M368">
        <f t="shared" si="85"/>
        <v>1</v>
      </c>
      <c r="N368">
        <v>4</v>
      </c>
      <c r="O368">
        <f t="shared" si="75"/>
        <v>0</v>
      </c>
      <c r="P368">
        <f t="shared" si="76"/>
        <v>0</v>
      </c>
      <c r="Q368">
        <f t="shared" si="77"/>
        <v>0</v>
      </c>
      <c r="R368">
        <f t="shared" si="78"/>
        <v>0</v>
      </c>
      <c r="S368">
        <f t="shared" si="79"/>
        <v>1</v>
      </c>
      <c r="T368">
        <f t="shared" si="86"/>
        <v>1</v>
      </c>
      <c r="V368" t="s">
        <v>40</v>
      </c>
      <c r="W368" t="s">
        <v>49</v>
      </c>
      <c r="X368" t="s">
        <v>46</v>
      </c>
      <c r="Y368" t="s">
        <v>42</v>
      </c>
      <c r="Z368">
        <v>2</v>
      </c>
      <c r="AA368">
        <v>3</v>
      </c>
      <c r="AB368">
        <v>0</v>
      </c>
      <c r="AC368" t="s">
        <v>44</v>
      </c>
      <c r="AD368" t="s">
        <v>44</v>
      </c>
      <c r="AE368">
        <f t="shared" si="87"/>
        <v>0</v>
      </c>
      <c r="AF368" t="s">
        <v>43</v>
      </c>
      <c r="AG368">
        <f t="shared" si="88"/>
        <v>1</v>
      </c>
      <c r="AH368" t="s">
        <v>44</v>
      </c>
      <c r="AI368" t="s">
        <v>43</v>
      </c>
      <c r="AJ368" t="s">
        <v>43</v>
      </c>
      <c r="AK368" t="s">
        <v>43</v>
      </c>
      <c r="AL368">
        <f t="shared" si="89"/>
        <v>1</v>
      </c>
      <c r="AM368" t="s">
        <v>43</v>
      </c>
      <c r="AN368">
        <v>4</v>
      </c>
      <c r="AO368">
        <v>2</v>
      </c>
      <c r="AP368">
        <v>2</v>
      </c>
      <c r="AQ368">
        <v>2</v>
      </c>
      <c r="AR368">
        <v>2</v>
      </c>
      <c r="AS368">
        <v>5</v>
      </c>
      <c r="AT368">
        <v>0</v>
      </c>
      <c r="AV368">
        <v>13</v>
      </c>
      <c r="AW368">
        <v>13</v>
      </c>
      <c r="AX368">
        <v>13</v>
      </c>
    </row>
    <row r="369" spans="1:50" x14ac:dyDescent="0.2">
      <c r="A369" t="s">
        <v>54</v>
      </c>
      <c r="B369" t="s">
        <v>35</v>
      </c>
      <c r="C369">
        <v>17</v>
      </c>
      <c r="D369" t="s">
        <v>53</v>
      </c>
      <c r="E369" t="s">
        <v>37</v>
      </c>
      <c r="F369" t="s">
        <v>45</v>
      </c>
      <c r="G369">
        <f t="shared" si="80"/>
        <v>1</v>
      </c>
      <c r="H369">
        <v>1</v>
      </c>
      <c r="I369">
        <f t="shared" si="81"/>
        <v>0</v>
      </c>
      <c r="J369">
        <f t="shared" si="82"/>
        <v>1</v>
      </c>
      <c r="K369">
        <f t="shared" si="83"/>
        <v>0</v>
      </c>
      <c r="L369">
        <f t="shared" si="84"/>
        <v>0</v>
      </c>
      <c r="M369">
        <f t="shared" si="85"/>
        <v>0</v>
      </c>
      <c r="N369">
        <v>1</v>
      </c>
      <c r="O369">
        <f t="shared" si="75"/>
        <v>0</v>
      </c>
      <c r="P369">
        <f t="shared" si="76"/>
        <v>1</v>
      </c>
      <c r="Q369">
        <f t="shared" si="77"/>
        <v>0</v>
      </c>
      <c r="R369">
        <f t="shared" si="78"/>
        <v>0</v>
      </c>
      <c r="S369">
        <f t="shared" si="79"/>
        <v>0</v>
      </c>
      <c r="T369">
        <f t="shared" si="86"/>
        <v>0</v>
      </c>
      <c r="V369" t="s">
        <v>46</v>
      </c>
      <c r="W369" t="s">
        <v>49</v>
      </c>
      <c r="X369" t="s">
        <v>52</v>
      </c>
      <c r="Y369" t="s">
        <v>42</v>
      </c>
      <c r="Z369">
        <v>3</v>
      </c>
      <c r="AA369">
        <v>1</v>
      </c>
      <c r="AB369">
        <v>1</v>
      </c>
      <c r="AC369" t="s">
        <v>44</v>
      </c>
      <c r="AD369" t="s">
        <v>43</v>
      </c>
      <c r="AE369">
        <f t="shared" si="87"/>
        <v>1</v>
      </c>
      <c r="AF369" t="s">
        <v>43</v>
      </c>
      <c r="AG369">
        <f t="shared" si="88"/>
        <v>1</v>
      </c>
      <c r="AH369" t="s">
        <v>44</v>
      </c>
      <c r="AI369" t="s">
        <v>43</v>
      </c>
      <c r="AJ369" t="s">
        <v>43</v>
      </c>
      <c r="AK369" t="s">
        <v>43</v>
      </c>
      <c r="AL369">
        <f t="shared" si="89"/>
        <v>1</v>
      </c>
      <c r="AM369" t="s">
        <v>43</v>
      </c>
      <c r="AN369">
        <v>5</v>
      </c>
      <c r="AO369">
        <v>2</v>
      </c>
      <c r="AP369">
        <v>1</v>
      </c>
      <c r="AQ369">
        <v>1</v>
      </c>
      <c r="AR369">
        <v>2</v>
      </c>
      <c r="AS369">
        <v>1</v>
      </c>
      <c r="AT369">
        <v>0</v>
      </c>
      <c r="AV369">
        <v>7</v>
      </c>
      <c r="AW369">
        <v>6</v>
      </c>
      <c r="AX369">
        <v>0</v>
      </c>
    </row>
    <row r="370" spans="1:50" x14ac:dyDescent="0.2">
      <c r="A370" t="s">
        <v>54</v>
      </c>
      <c r="B370" t="s">
        <v>35</v>
      </c>
      <c r="C370">
        <v>18</v>
      </c>
      <c r="D370" t="s">
        <v>36</v>
      </c>
      <c r="E370" t="s">
        <v>37</v>
      </c>
      <c r="F370" t="s">
        <v>45</v>
      </c>
      <c r="G370">
        <f t="shared" si="80"/>
        <v>1</v>
      </c>
      <c r="H370">
        <v>2</v>
      </c>
      <c r="I370">
        <f t="shared" si="81"/>
        <v>0</v>
      </c>
      <c r="J370">
        <f t="shared" si="82"/>
        <v>0</v>
      </c>
      <c r="K370">
        <f t="shared" si="83"/>
        <v>1</v>
      </c>
      <c r="L370">
        <f t="shared" si="84"/>
        <v>0</v>
      </c>
      <c r="M370">
        <f t="shared" si="85"/>
        <v>0</v>
      </c>
      <c r="N370">
        <v>3</v>
      </c>
      <c r="O370">
        <f t="shared" si="75"/>
        <v>0</v>
      </c>
      <c r="P370">
        <f t="shared" si="76"/>
        <v>0</v>
      </c>
      <c r="Q370">
        <f t="shared" si="77"/>
        <v>0</v>
      </c>
      <c r="R370">
        <f t="shared" si="78"/>
        <v>1</v>
      </c>
      <c r="S370">
        <f t="shared" si="79"/>
        <v>0</v>
      </c>
      <c r="T370">
        <f t="shared" si="86"/>
        <v>0</v>
      </c>
      <c r="V370" t="s">
        <v>39</v>
      </c>
      <c r="W370" t="s">
        <v>49</v>
      </c>
      <c r="X370" t="s">
        <v>41</v>
      </c>
      <c r="Y370" t="s">
        <v>47</v>
      </c>
      <c r="Z370">
        <v>2</v>
      </c>
      <c r="AA370">
        <v>1</v>
      </c>
      <c r="AB370">
        <v>0</v>
      </c>
      <c r="AC370" t="s">
        <v>44</v>
      </c>
      <c r="AD370" t="s">
        <v>43</v>
      </c>
      <c r="AE370">
        <f t="shared" si="87"/>
        <v>1</v>
      </c>
      <c r="AF370" t="s">
        <v>43</v>
      </c>
      <c r="AG370">
        <f t="shared" si="88"/>
        <v>1</v>
      </c>
      <c r="AH370" t="s">
        <v>44</v>
      </c>
      <c r="AI370" t="s">
        <v>43</v>
      </c>
      <c r="AJ370" t="s">
        <v>43</v>
      </c>
      <c r="AK370" t="s">
        <v>43</v>
      </c>
      <c r="AL370">
        <f t="shared" si="89"/>
        <v>1</v>
      </c>
      <c r="AM370" t="s">
        <v>43</v>
      </c>
      <c r="AN370">
        <v>5</v>
      </c>
      <c r="AO370">
        <v>2</v>
      </c>
      <c r="AP370">
        <v>3</v>
      </c>
      <c r="AQ370">
        <v>1</v>
      </c>
      <c r="AR370">
        <v>2</v>
      </c>
      <c r="AS370">
        <v>4</v>
      </c>
      <c r="AT370">
        <v>0</v>
      </c>
      <c r="AV370">
        <v>11</v>
      </c>
      <c r="AW370">
        <v>10</v>
      </c>
      <c r="AX370">
        <v>10</v>
      </c>
    </row>
    <row r="371" spans="1:50" x14ac:dyDescent="0.2">
      <c r="A371" t="s">
        <v>54</v>
      </c>
      <c r="B371" t="s">
        <v>35</v>
      </c>
      <c r="C371">
        <v>18</v>
      </c>
      <c r="D371" t="s">
        <v>53</v>
      </c>
      <c r="E371" t="s">
        <v>37</v>
      </c>
      <c r="F371" t="s">
        <v>45</v>
      </c>
      <c r="G371">
        <f t="shared" si="80"/>
        <v>1</v>
      </c>
      <c r="H371">
        <v>4</v>
      </c>
      <c r="I371">
        <f t="shared" si="81"/>
        <v>0</v>
      </c>
      <c r="J371">
        <f t="shared" si="82"/>
        <v>0</v>
      </c>
      <c r="K371">
        <f t="shared" si="83"/>
        <v>0</v>
      </c>
      <c r="L371">
        <f t="shared" si="84"/>
        <v>0</v>
      </c>
      <c r="M371">
        <f t="shared" si="85"/>
        <v>1</v>
      </c>
      <c r="N371">
        <v>4</v>
      </c>
      <c r="O371">
        <f t="shared" si="75"/>
        <v>0</v>
      </c>
      <c r="P371">
        <f t="shared" si="76"/>
        <v>0</v>
      </c>
      <c r="Q371">
        <f t="shared" si="77"/>
        <v>0</v>
      </c>
      <c r="R371">
        <f t="shared" si="78"/>
        <v>0</v>
      </c>
      <c r="S371">
        <f t="shared" si="79"/>
        <v>1</v>
      </c>
      <c r="T371">
        <f t="shared" si="86"/>
        <v>1</v>
      </c>
      <c r="V371" t="s">
        <v>46</v>
      </c>
      <c r="W371" t="s">
        <v>40</v>
      </c>
      <c r="X371" t="s">
        <v>46</v>
      </c>
      <c r="Y371" t="s">
        <v>47</v>
      </c>
      <c r="Z371">
        <v>3</v>
      </c>
      <c r="AA371">
        <v>2</v>
      </c>
      <c r="AB371">
        <v>0</v>
      </c>
      <c r="AC371" t="s">
        <v>44</v>
      </c>
      <c r="AD371" t="s">
        <v>43</v>
      </c>
      <c r="AE371">
        <f t="shared" si="87"/>
        <v>1</v>
      </c>
      <c r="AF371" t="s">
        <v>43</v>
      </c>
      <c r="AG371">
        <f t="shared" si="88"/>
        <v>1</v>
      </c>
      <c r="AH371" t="s">
        <v>44</v>
      </c>
      <c r="AI371" t="s">
        <v>44</v>
      </c>
      <c r="AJ371" t="s">
        <v>43</v>
      </c>
      <c r="AK371" t="s">
        <v>43</v>
      </c>
      <c r="AL371">
        <f t="shared" si="89"/>
        <v>1</v>
      </c>
      <c r="AM371" t="s">
        <v>43</v>
      </c>
      <c r="AN371">
        <v>3</v>
      </c>
      <c r="AO371">
        <v>2</v>
      </c>
      <c r="AP371">
        <v>2</v>
      </c>
      <c r="AQ371">
        <v>4</v>
      </c>
      <c r="AR371">
        <v>2</v>
      </c>
      <c r="AS371">
        <v>5</v>
      </c>
      <c r="AT371">
        <v>10</v>
      </c>
      <c r="AV371">
        <v>14</v>
      </c>
      <c r="AW371">
        <v>12</v>
      </c>
      <c r="AX371">
        <v>11</v>
      </c>
    </row>
    <row r="372" spans="1:50" x14ac:dyDescent="0.2">
      <c r="A372" t="s">
        <v>54</v>
      </c>
      <c r="B372" t="s">
        <v>35</v>
      </c>
      <c r="C372">
        <v>19</v>
      </c>
      <c r="D372" t="s">
        <v>36</v>
      </c>
      <c r="E372" t="s">
        <v>48</v>
      </c>
      <c r="F372" t="s">
        <v>45</v>
      </c>
      <c r="G372">
        <f t="shared" si="80"/>
        <v>1</v>
      </c>
      <c r="H372">
        <v>3</v>
      </c>
      <c r="I372">
        <f t="shared" si="81"/>
        <v>0</v>
      </c>
      <c r="J372">
        <f t="shared" si="82"/>
        <v>0</v>
      </c>
      <c r="K372">
        <f t="shared" si="83"/>
        <v>0</v>
      </c>
      <c r="L372">
        <f t="shared" si="84"/>
        <v>1</v>
      </c>
      <c r="M372">
        <f t="shared" si="85"/>
        <v>0</v>
      </c>
      <c r="N372">
        <v>2</v>
      </c>
      <c r="O372">
        <f t="shared" si="75"/>
        <v>0</v>
      </c>
      <c r="P372">
        <f t="shared" si="76"/>
        <v>0</v>
      </c>
      <c r="Q372">
        <f t="shared" si="77"/>
        <v>1</v>
      </c>
      <c r="R372">
        <f t="shared" si="78"/>
        <v>0</v>
      </c>
      <c r="S372">
        <f t="shared" si="79"/>
        <v>0</v>
      </c>
      <c r="T372">
        <f t="shared" si="86"/>
        <v>0</v>
      </c>
      <c r="V372" t="s">
        <v>49</v>
      </c>
      <c r="W372" t="s">
        <v>49</v>
      </c>
      <c r="X372" t="s">
        <v>50</v>
      </c>
      <c r="Y372" t="s">
        <v>46</v>
      </c>
      <c r="Z372">
        <v>2</v>
      </c>
      <c r="AA372">
        <v>2</v>
      </c>
      <c r="AB372">
        <v>2</v>
      </c>
      <c r="AC372" t="s">
        <v>44</v>
      </c>
      <c r="AD372" t="s">
        <v>44</v>
      </c>
      <c r="AE372">
        <f t="shared" si="87"/>
        <v>0</v>
      </c>
      <c r="AF372" t="s">
        <v>44</v>
      </c>
      <c r="AG372">
        <f t="shared" si="88"/>
        <v>0</v>
      </c>
      <c r="AH372" t="s">
        <v>43</v>
      </c>
      <c r="AI372" t="s">
        <v>43</v>
      </c>
      <c r="AJ372" t="s">
        <v>43</v>
      </c>
      <c r="AK372" t="s">
        <v>44</v>
      </c>
      <c r="AL372">
        <f t="shared" si="89"/>
        <v>0</v>
      </c>
      <c r="AM372" t="s">
        <v>43</v>
      </c>
      <c r="AN372">
        <v>3</v>
      </c>
      <c r="AO372">
        <v>2</v>
      </c>
      <c r="AP372">
        <v>2</v>
      </c>
      <c r="AQ372">
        <v>1</v>
      </c>
      <c r="AR372">
        <v>1</v>
      </c>
      <c r="AS372">
        <v>3</v>
      </c>
      <c r="AT372">
        <v>4</v>
      </c>
      <c r="AV372">
        <v>7</v>
      </c>
      <c r="AW372">
        <v>7</v>
      </c>
      <c r="AX372">
        <v>9</v>
      </c>
    </row>
    <row r="373" spans="1:50" x14ac:dyDescent="0.2">
      <c r="A373" t="s">
        <v>54</v>
      </c>
      <c r="B373" t="s">
        <v>51</v>
      </c>
      <c r="C373">
        <v>18</v>
      </c>
      <c r="D373" t="s">
        <v>53</v>
      </c>
      <c r="E373" t="s">
        <v>48</v>
      </c>
      <c r="F373" t="s">
        <v>45</v>
      </c>
      <c r="G373">
        <f t="shared" si="80"/>
        <v>1</v>
      </c>
      <c r="H373">
        <v>1</v>
      </c>
      <c r="I373">
        <f t="shared" si="81"/>
        <v>0</v>
      </c>
      <c r="J373">
        <f t="shared" si="82"/>
        <v>1</v>
      </c>
      <c r="K373">
        <f t="shared" si="83"/>
        <v>0</v>
      </c>
      <c r="L373">
        <f t="shared" si="84"/>
        <v>0</v>
      </c>
      <c r="M373">
        <f t="shared" si="85"/>
        <v>0</v>
      </c>
      <c r="N373">
        <v>2</v>
      </c>
      <c r="O373">
        <f t="shared" si="75"/>
        <v>0</v>
      </c>
      <c r="P373">
        <f t="shared" si="76"/>
        <v>0</v>
      </c>
      <c r="Q373">
        <f t="shared" si="77"/>
        <v>1</v>
      </c>
      <c r="R373">
        <f t="shared" si="78"/>
        <v>0</v>
      </c>
      <c r="S373">
        <f t="shared" si="79"/>
        <v>0</v>
      </c>
      <c r="T373">
        <f t="shared" si="86"/>
        <v>0</v>
      </c>
      <c r="V373" t="s">
        <v>39</v>
      </c>
      <c r="W373" t="s">
        <v>49</v>
      </c>
      <c r="X373" t="s">
        <v>46</v>
      </c>
      <c r="Y373" t="s">
        <v>47</v>
      </c>
      <c r="Z373">
        <v>3</v>
      </c>
      <c r="AA373">
        <v>1</v>
      </c>
      <c r="AB373">
        <v>0</v>
      </c>
      <c r="AC373" t="s">
        <v>44</v>
      </c>
      <c r="AD373" t="s">
        <v>43</v>
      </c>
      <c r="AE373">
        <f t="shared" si="87"/>
        <v>1</v>
      </c>
      <c r="AF373" t="s">
        <v>43</v>
      </c>
      <c r="AG373">
        <f t="shared" si="88"/>
        <v>1</v>
      </c>
      <c r="AH373" t="s">
        <v>43</v>
      </c>
      <c r="AI373" t="s">
        <v>43</v>
      </c>
      <c r="AJ373" t="s">
        <v>44</v>
      </c>
      <c r="AK373" t="s">
        <v>43</v>
      </c>
      <c r="AL373">
        <f t="shared" si="89"/>
        <v>1</v>
      </c>
      <c r="AM373" t="s">
        <v>43</v>
      </c>
      <c r="AN373">
        <v>4</v>
      </c>
      <c r="AO373">
        <v>3</v>
      </c>
      <c r="AP373">
        <v>3</v>
      </c>
      <c r="AQ373">
        <v>2</v>
      </c>
      <c r="AR373">
        <v>3</v>
      </c>
      <c r="AS373">
        <v>3</v>
      </c>
      <c r="AT373">
        <v>3</v>
      </c>
      <c r="AV373">
        <v>14</v>
      </c>
      <c r="AW373">
        <v>12</v>
      </c>
      <c r="AX373">
        <v>12</v>
      </c>
    </row>
    <row r="374" spans="1:50" x14ac:dyDescent="0.2">
      <c r="A374" t="s">
        <v>54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f t="shared" si="80"/>
        <v>1</v>
      </c>
      <c r="H374">
        <v>2</v>
      </c>
      <c r="I374">
        <f t="shared" si="81"/>
        <v>0</v>
      </c>
      <c r="J374">
        <f t="shared" si="82"/>
        <v>0</v>
      </c>
      <c r="K374">
        <f t="shared" si="83"/>
        <v>1</v>
      </c>
      <c r="L374">
        <f t="shared" si="84"/>
        <v>0</v>
      </c>
      <c r="M374">
        <f t="shared" si="85"/>
        <v>0</v>
      </c>
      <c r="N374">
        <v>2</v>
      </c>
      <c r="O374">
        <f t="shared" si="75"/>
        <v>0</v>
      </c>
      <c r="P374">
        <f t="shared" si="76"/>
        <v>0</v>
      </c>
      <c r="Q374">
        <f t="shared" si="77"/>
        <v>1</v>
      </c>
      <c r="R374">
        <f t="shared" si="78"/>
        <v>0</v>
      </c>
      <c r="S374">
        <f t="shared" si="79"/>
        <v>0</v>
      </c>
      <c r="T374">
        <f t="shared" si="86"/>
        <v>0</v>
      </c>
      <c r="V374" t="s">
        <v>46</v>
      </c>
      <c r="W374" t="s">
        <v>39</v>
      </c>
      <c r="X374" t="s">
        <v>50</v>
      </c>
      <c r="Y374" t="s">
        <v>42</v>
      </c>
      <c r="Z374">
        <v>1</v>
      </c>
      <c r="AA374">
        <v>3</v>
      </c>
      <c r="AB374">
        <v>0</v>
      </c>
      <c r="AC374" t="s">
        <v>44</v>
      </c>
      <c r="AD374" t="s">
        <v>44</v>
      </c>
      <c r="AE374">
        <f t="shared" si="87"/>
        <v>0</v>
      </c>
      <c r="AF374" t="s">
        <v>44</v>
      </c>
      <c r="AG374">
        <f t="shared" si="88"/>
        <v>0</v>
      </c>
      <c r="AH374" t="s">
        <v>43</v>
      </c>
      <c r="AI374" t="s">
        <v>43</v>
      </c>
      <c r="AJ374" t="s">
        <v>43</v>
      </c>
      <c r="AK374" t="s">
        <v>44</v>
      </c>
      <c r="AL374">
        <f t="shared" si="89"/>
        <v>0</v>
      </c>
      <c r="AM374" t="s">
        <v>43</v>
      </c>
      <c r="AN374">
        <v>3</v>
      </c>
      <c r="AO374">
        <v>4</v>
      </c>
      <c r="AP374">
        <v>3</v>
      </c>
      <c r="AQ374">
        <v>1</v>
      </c>
      <c r="AR374">
        <v>1</v>
      </c>
      <c r="AS374">
        <v>3</v>
      </c>
      <c r="AT374">
        <v>8</v>
      </c>
      <c r="AV374">
        <v>13</v>
      </c>
      <c r="AW374">
        <v>11</v>
      </c>
      <c r="AX374">
        <v>11</v>
      </c>
    </row>
    <row r="375" spans="1:50" x14ac:dyDescent="0.2">
      <c r="A375" t="s">
        <v>54</v>
      </c>
      <c r="B375" t="s">
        <v>35</v>
      </c>
      <c r="C375">
        <v>17</v>
      </c>
      <c r="D375" t="s">
        <v>53</v>
      </c>
      <c r="E375" t="s">
        <v>37</v>
      </c>
      <c r="F375" t="s">
        <v>45</v>
      </c>
      <c r="G375">
        <f t="shared" si="80"/>
        <v>1</v>
      </c>
      <c r="H375">
        <v>1</v>
      </c>
      <c r="I375">
        <f t="shared" si="81"/>
        <v>0</v>
      </c>
      <c r="J375">
        <f t="shared" si="82"/>
        <v>1</v>
      </c>
      <c r="K375">
        <f t="shared" si="83"/>
        <v>0</v>
      </c>
      <c r="L375">
        <f t="shared" si="84"/>
        <v>0</v>
      </c>
      <c r="M375">
        <f t="shared" si="85"/>
        <v>0</v>
      </c>
      <c r="N375">
        <v>2</v>
      </c>
      <c r="O375">
        <f t="shared" si="75"/>
        <v>0</v>
      </c>
      <c r="P375">
        <f t="shared" si="76"/>
        <v>0</v>
      </c>
      <c r="Q375">
        <f t="shared" si="77"/>
        <v>1</v>
      </c>
      <c r="R375">
        <f t="shared" si="78"/>
        <v>0</v>
      </c>
      <c r="S375">
        <f t="shared" si="79"/>
        <v>0</v>
      </c>
      <c r="T375">
        <f t="shared" si="86"/>
        <v>0</v>
      </c>
      <c r="V375" t="s">
        <v>46</v>
      </c>
      <c r="W375" t="s">
        <v>46</v>
      </c>
      <c r="X375" t="s">
        <v>41</v>
      </c>
      <c r="Y375" t="s">
        <v>42</v>
      </c>
      <c r="Z375">
        <v>1</v>
      </c>
      <c r="AA375">
        <v>1</v>
      </c>
      <c r="AB375">
        <v>0</v>
      </c>
      <c r="AC375" t="s">
        <v>44</v>
      </c>
      <c r="AD375" t="s">
        <v>44</v>
      </c>
      <c r="AE375">
        <f t="shared" si="87"/>
        <v>0</v>
      </c>
      <c r="AF375" t="s">
        <v>44</v>
      </c>
      <c r="AG375">
        <f t="shared" si="88"/>
        <v>0</v>
      </c>
      <c r="AH375" t="s">
        <v>43</v>
      </c>
      <c r="AI375" t="s">
        <v>43</v>
      </c>
      <c r="AJ375" t="s">
        <v>43</v>
      </c>
      <c r="AK375" t="s">
        <v>43</v>
      </c>
      <c r="AL375">
        <f t="shared" si="89"/>
        <v>1</v>
      </c>
      <c r="AM375" t="s">
        <v>44</v>
      </c>
      <c r="AN375">
        <v>3</v>
      </c>
      <c r="AO375">
        <v>5</v>
      </c>
      <c r="AP375">
        <v>5</v>
      </c>
      <c r="AQ375">
        <v>1</v>
      </c>
      <c r="AR375">
        <v>3</v>
      </c>
      <c r="AS375">
        <v>1</v>
      </c>
      <c r="AT375">
        <v>14</v>
      </c>
      <c r="AV375">
        <v>6</v>
      </c>
      <c r="AW375">
        <v>5</v>
      </c>
      <c r="AX375">
        <v>5</v>
      </c>
    </row>
    <row r="376" spans="1:50" x14ac:dyDescent="0.2">
      <c r="A376" t="s">
        <v>54</v>
      </c>
      <c r="B376" t="s">
        <v>35</v>
      </c>
      <c r="C376">
        <v>18</v>
      </c>
      <c r="D376" t="s">
        <v>53</v>
      </c>
      <c r="E376" t="s">
        <v>48</v>
      </c>
      <c r="F376" t="s">
        <v>45</v>
      </c>
      <c r="G376">
        <f t="shared" si="80"/>
        <v>1</v>
      </c>
      <c r="H376">
        <v>4</v>
      </c>
      <c r="I376">
        <f t="shared" si="81"/>
        <v>0</v>
      </c>
      <c r="J376">
        <f t="shared" si="82"/>
        <v>0</v>
      </c>
      <c r="K376">
        <f t="shared" si="83"/>
        <v>0</v>
      </c>
      <c r="L376">
        <f t="shared" si="84"/>
        <v>0</v>
      </c>
      <c r="M376">
        <f t="shared" si="85"/>
        <v>1</v>
      </c>
      <c r="N376">
        <v>4</v>
      </c>
      <c r="O376">
        <f t="shared" si="75"/>
        <v>0</v>
      </c>
      <c r="P376">
        <f t="shared" si="76"/>
        <v>0</v>
      </c>
      <c r="Q376">
        <f t="shared" si="77"/>
        <v>0</v>
      </c>
      <c r="R376">
        <f t="shared" si="78"/>
        <v>0</v>
      </c>
      <c r="S376">
        <f t="shared" si="79"/>
        <v>1</v>
      </c>
      <c r="T376">
        <f t="shared" si="86"/>
        <v>1</v>
      </c>
      <c r="V376" t="s">
        <v>46</v>
      </c>
      <c r="W376" t="s">
        <v>46</v>
      </c>
      <c r="X376" t="s">
        <v>52</v>
      </c>
      <c r="Y376" t="s">
        <v>42</v>
      </c>
      <c r="Z376">
        <v>2</v>
      </c>
      <c r="AA376">
        <v>3</v>
      </c>
      <c r="AB376">
        <v>0</v>
      </c>
      <c r="AC376" t="s">
        <v>44</v>
      </c>
      <c r="AD376" t="s">
        <v>44</v>
      </c>
      <c r="AE376">
        <f t="shared" si="87"/>
        <v>0</v>
      </c>
      <c r="AF376" t="s">
        <v>44</v>
      </c>
      <c r="AG376">
        <f t="shared" si="88"/>
        <v>0</v>
      </c>
      <c r="AH376" t="s">
        <v>44</v>
      </c>
      <c r="AI376" t="s">
        <v>43</v>
      </c>
      <c r="AJ376" t="s">
        <v>43</v>
      </c>
      <c r="AK376" t="s">
        <v>43</v>
      </c>
      <c r="AL376">
        <f t="shared" si="89"/>
        <v>1</v>
      </c>
      <c r="AM376" t="s">
        <v>44</v>
      </c>
      <c r="AN376">
        <v>5</v>
      </c>
      <c r="AO376">
        <v>4</v>
      </c>
      <c r="AP376">
        <v>4</v>
      </c>
      <c r="AQ376">
        <v>1</v>
      </c>
      <c r="AR376">
        <v>1</v>
      </c>
      <c r="AS376">
        <v>1</v>
      </c>
      <c r="AT376">
        <v>0</v>
      </c>
      <c r="AV376">
        <v>19</v>
      </c>
      <c r="AW376">
        <v>18</v>
      </c>
      <c r="AX376">
        <v>19</v>
      </c>
    </row>
    <row r="377" spans="1:50" x14ac:dyDescent="0.2">
      <c r="A377" t="s">
        <v>54</v>
      </c>
      <c r="B377" t="s">
        <v>35</v>
      </c>
      <c r="C377">
        <v>18</v>
      </c>
      <c r="D377" t="s">
        <v>53</v>
      </c>
      <c r="E377" t="s">
        <v>37</v>
      </c>
      <c r="F377" t="s">
        <v>45</v>
      </c>
      <c r="G377">
        <f t="shared" si="80"/>
        <v>1</v>
      </c>
      <c r="H377">
        <v>1</v>
      </c>
      <c r="I377">
        <f t="shared" si="81"/>
        <v>0</v>
      </c>
      <c r="J377">
        <f t="shared" si="82"/>
        <v>1</v>
      </c>
      <c r="K377">
        <f t="shared" si="83"/>
        <v>0</v>
      </c>
      <c r="L377">
        <f t="shared" si="84"/>
        <v>0</v>
      </c>
      <c r="M377">
        <f t="shared" si="85"/>
        <v>0</v>
      </c>
      <c r="N377">
        <v>1</v>
      </c>
      <c r="O377">
        <f t="shared" si="75"/>
        <v>0</v>
      </c>
      <c r="P377">
        <f t="shared" si="76"/>
        <v>1</v>
      </c>
      <c r="Q377">
        <f t="shared" si="77"/>
        <v>0</v>
      </c>
      <c r="R377">
        <f t="shared" si="78"/>
        <v>0</v>
      </c>
      <c r="S377">
        <f t="shared" si="79"/>
        <v>0</v>
      </c>
      <c r="T377">
        <f t="shared" si="86"/>
        <v>0</v>
      </c>
      <c r="V377" t="s">
        <v>46</v>
      </c>
      <c r="W377" t="s">
        <v>46</v>
      </c>
      <c r="X377" t="s">
        <v>50</v>
      </c>
      <c r="Y377" t="s">
        <v>42</v>
      </c>
      <c r="Z377">
        <v>4</v>
      </c>
      <c r="AA377">
        <v>3</v>
      </c>
      <c r="AB377">
        <v>0</v>
      </c>
      <c r="AC377" t="s">
        <v>44</v>
      </c>
      <c r="AD377" t="s">
        <v>44</v>
      </c>
      <c r="AE377">
        <f t="shared" si="87"/>
        <v>0</v>
      </c>
      <c r="AF377" t="s">
        <v>44</v>
      </c>
      <c r="AG377">
        <f t="shared" si="88"/>
        <v>0</v>
      </c>
      <c r="AH377" t="s">
        <v>44</v>
      </c>
      <c r="AI377" t="s">
        <v>43</v>
      </c>
      <c r="AJ377" t="s">
        <v>43</v>
      </c>
      <c r="AK377" t="s">
        <v>43</v>
      </c>
      <c r="AL377">
        <f t="shared" si="89"/>
        <v>1</v>
      </c>
      <c r="AM377" t="s">
        <v>44</v>
      </c>
      <c r="AN377">
        <v>4</v>
      </c>
      <c r="AO377">
        <v>3</v>
      </c>
      <c r="AP377">
        <v>2</v>
      </c>
      <c r="AQ377">
        <v>1</v>
      </c>
      <c r="AR377">
        <v>2</v>
      </c>
      <c r="AS377">
        <v>4</v>
      </c>
      <c r="AT377">
        <v>2</v>
      </c>
      <c r="AV377">
        <v>8</v>
      </c>
      <c r="AW377">
        <v>8</v>
      </c>
      <c r="AX377">
        <v>10</v>
      </c>
    </row>
    <row r="378" spans="1:50" x14ac:dyDescent="0.2">
      <c r="A378" t="s">
        <v>54</v>
      </c>
      <c r="B378" t="s">
        <v>35</v>
      </c>
      <c r="C378">
        <v>20</v>
      </c>
      <c r="D378" t="s">
        <v>36</v>
      </c>
      <c r="E378" t="s">
        <v>37</v>
      </c>
      <c r="F378" t="s">
        <v>45</v>
      </c>
      <c r="G378">
        <f t="shared" si="80"/>
        <v>1</v>
      </c>
      <c r="H378">
        <v>4</v>
      </c>
      <c r="I378">
        <f t="shared" si="81"/>
        <v>0</v>
      </c>
      <c r="J378">
        <f t="shared" si="82"/>
        <v>0</v>
      </c>
      <c r="K378">
        <f t="shared" si="83"/>
        <v>0</v>
      </c>
      <c r="L378">
        <f t="shared" si="84"/>
        <v>0</v>
      </c>
      <c r="M378">
        <f t="shared" si="85"/>
        <v>1</v>
      </c>
      <c r="N378">
        <v>2</v>
      </c>
      <c r="O378">
        <f t="shared" si="75"/>
        <v>0</v>
      </c>
      <c r="P378">
        <f t="shared" si="76"/>
        <v>0</v>
      </c>
      <c r="Q378">
        <f t="shared" si="77"/>
        <v>1</v>
      </c>
      <c r="R378">
        <f t="shared" si="78"/>
        <v>0</v>
      </c>
      <c r="S378">
        <f t="shared" si="79"/>
        <v>0</v>
      </c>
      <c r="T378">
        <f t="shared" si="86"/>
        <v>0</v>
      </c>
      <c r="V378" t="s">
        <v>29</v>
      </c>
      <c r="W378" t="s">
        <v>46</v>
      </c>
      <c r="X378" t="s">
        <v>41</v>
      </c>
      <c r="Y378" t="s">
        <v>46</v>
      </c>
      <c r="Z378">
        <v>2</v>
      </c>
      <c r="AA378">
        <v>3</v>
      </c>
      <c r="AB378">
        <v>2</v>
      </c>
      <c r="AC378" t="s">
        <v>44</v>
      </c>
      <c r="AD378" t="s">
        <v>43</v>
      </c>
      <c r="AE378">
        <f t="shared" si="87"/>
        <v>1</v>
      </c>
      <c r="AF378" t="s">
        <v>43</v>
      </c>
      <c r="AG378">
        <f t="shared" si="88"/>
        <v>1</v>
      </c>
      <c r="AH378" t="s">
        <v>44</v>
      </c>
      <c r="AI378" t="s">
        <v>44</v>
      </c>
      <c r="AJ378" t="s">
        <v>43</v>
      </c>
      <c r="AK378" t="s">
        <v>43</v>
      </c>
      <c r="AL378">
        <f t="shared" si="89"/>
        <v>1</v>
      </c>
      <c r="AM378" t="s">
        <v>43</v>
      </c>
      <c r="AN378">
        <v>5</v>
      </c>
      <c r="AO378">
        <v>4</v>
      </c>
      <c r="AP378">
        <v>3</v>
      </c>
      <c r="AQ378">
        <v>1</v>
      </c>
      <c r="AR378">
        <v>1</v>
      </c>
      <c r="AS378">
        <v>3</v>
      </c>
      <c r="AT378">
        <v>4</v>
      </c>
      <c r="AV378">
        <v>15</v>
      </c>
      <c r="AW378">
        <v>14</v>
      </c>
      <c r="AX378">
        <v>15</v>
      </c>
    </row>
    <row r="379" spans="1:50" x14ac:dyDescent="0.2">
      <c r="A379" t="s">
        <v>54</v>
      </c>
      <c r="B379" t="s">
        <v>35</v>
      </c>
      <c r="C379">
        <v>18</v>
      </c>
      <c r="D379" t="s">
        <v>53</v>
      </c>
      <c r="E379" t="s">
        <v>48</v>
      </c>
      <c r="F379" t="s">
        <v>45</v>
      </c>
      <c r="G379">
        <f t="shared" si="80"/>
        <v>1</v>
      </c>
      <c r="H379">
        <v>4</v>
      </c>
      <c r="I379">
        <f t="shared" si="81"/>
        <v>0</v>
      </c>
      <c r="J379">
        <f t="shared" si="82"/>
        <v>0</v>
      </c>
      <c r="K379">
        <f t="shared" si="83"/>
        <v>0</v>
      </c>
      <c r="L379">
        <f t="shared" si="84"/>
        <v>0</v>
      </c>
      <c r="M379">
        <f t="shared" si="85"/>
        <v>1</v>
      </c>
      <c r="N379">
        <v>4</v>
      </c>
      <c r="O379">
        <f t="shared" si="75"/>
        <v>0</v>
      </c>
      <c r="P379">
        <f t="shared" si="76"/>
        <v>0</v>
      </c>
      <c r="Q379">
        <f t="shared" si="77"/>
        <v>0</v>
      </c>
      <c r="R379">
        <f t="shared" si="78"/>
        <v>0</v>
      </c>
      <c r="S379">
        <f t="shared" si="79"/>
        <v>1</v>
      </c>
      <c r="T379">
        <f t="shared" si="86"/>
        <v>1</v>
      </c>
      <c r="V379" t="s">
        <v>40</v>
      </c>
      <c r="W379" t="s">
        <v>49</v>
      </c>
      <c r="X379" t="s">
        <v>41</v>
      </c>
      <c r="Y379" t="s">
        <v>42</v>
      </c>
      <c r="Z379">
        <v>1</v>
      </c>
      <c r="AA379">
        <v>2</v>
      </c>
      <c r="AB379">
        <v>0</v>
      </c>
      <c r="AC379" t="s">
        <v>44</v>
      </c>
      <c r="AD379" t="s">
        <v>44</v>
      </c>
      <c r="AE379">
        <f t="shared" si="87"/>
        <v>0</v>
      </c>
      <c r="AF379" t="s">
        <v>43</v>
      </c>
      <c r="AG379">
        <f t="shared" si="88"/>
        <v>1</v>
      </c>
      <c r="AH379" t="s">
        <v>43</v>
      </c>
      <c r="AI379" t="s">
        <v>43</v>
      </c>
      <c r="AJ379" t="s">
        <v>43</v>
      </c>
      <c r="AK379" t="s">
        <v>43</v>
      </c>
      <c r="AL379">
        <f t="shared" si="89"/>
        <v>1</v>
      </c>
      <c r="AM379" t="s">
        <v>44</v>
      </c>
      <c r="AN379">
        <v>5</v>
      </c>
      <c r="AO379">
        <v>4</v>
      </c>
      <c r="AP379">
        <v>3</v>
      </c>
      <c r="AQ379">
        <v>3</v>
      </c>
      <c r="AR379">
        <v>4</v>
      </c>
      <c r="AS379">
        <v>2</v>
      </c>
      <c r="AT379">
        <v>4</v>
      </c>
      <c r="AV379">
        <v>8</v>
      </c>
      <c r="AW379">
        <v>9</v>
      </c>
      <c r="AX379">
        <v>10</v>
      </c>
    </row>
    <row r="380" spans="1:50" x14ac:dyDescent="0.2">
      <c r="A380" t="s">
        <v>54</v>
      </c>
      <c r="B380" t="s">
        <v>35</v>
      </c>
      <c r="C380">
        <v>18</v>
      </c>
      <c r="D380" t="s">
        <v>36</v>
      </c>
      <c r="E380" t="s">
        <v>37</v>
      </c>
      <c r="F380" t="s">
        <v>45</v>
      </c>
      <c r="G380">
        <f t="shared" si="80"/>
        <v>1</v>
      </c>
      <c r="H380">
        <v>3</v>
      </c>
      <c r="I380">
        <f t="shared" si="81"/>
        <v>0</v>
      </c>
      <c r="J380">
        <f t="shared" si="82"/>
        <v>0</v>
      </c>
      <c r="K380">
        <f t="shared" si="83"/>
        <v>0</v>
      </c>
      <c r="L380">
        <f t="shared" si="84"/>
        <v>1</v>
      </c>
      <c r="M380">
        <f t="shared" si="85"/>
        <v>0</v>
      </c>
      <c r="N380">
        <v>3</v>
      </c>
      <c r="O380">
        <f t="shared" si="75"/>
        <v>0</v>
      </c>
      <c r="P380">
        <f t="shared" si="76"/>
        <v>0</v>
      </c>
      <c r="Q380">
        <f t="shared" si="77"/>
        <v>0</v>
      </c>
      <c r="R380">
        <f t="shared" si="78"/>
        <v>1</v>
      </c>
      <c r="S380">
        <f t="shared" si="79"/>
        <v>0</v>
      </c>
      <c r="T380">
        <f t="shared" si="86"/>
        <v>0</v>
      </c>
      <c r="V380" t="s">
        <v>46</v>
      </c>
      <c r="W380" t="s">
        <v>46</v>
      </c>
      <c r="X380" t="s">
        <v>50</v>
      </c>
      <c r="Y380" t="s">
        <v>42</v>
      </c>
      <c r="Z380">
        <v>1</v>
      </c>
      <c r="AA380">
        <v>2</v>
      </c>
      <c r="AB380">
        <v>0</v>
      </c>
      <c r="AC380" t="s">
        <v>44</v>
      </c>
      <c r="AD380" t="s">
        <v>44</v>
      </c>
      <c r="AE380">
        <f t="shared" si="87"/>
        <v>0</v>
      </c>
      <c r="AF380" t="s">
        <v>43</v>
      </c>
      <c r="AG380">
        <f t="shared" si="88"/>
        <v>1</v>
      </c>
      <c r="AH380" t="s">
        <v>44</v>
      </c>
      <c r="AI380" t="s">
        <v>43</v>
      </c>
      <c r="AJ380" t="s">
        <v>43</v>
      </c>
      <c r="AK380" t="s">
        <v>43</v>
      </c>
      <c r="AL380">
        <f t="shared" si="89"/>
        <v>1</v>
      </c>
      <c r="AM380" t="s">
        <v>43</v>
      </c>
      <c r="AN380">
        <v>4</v>
      </c>
      <c r="AO380">
        <v>1</v>
      </c>
      <c r="AP380">
        <v>3</v>
      </c>
      <c r="AQ380">
        <v>1</v>
      </c>
      <c r="AR380">
        <v>2</v>
      </c>
      <c r="AS380">
        <v>1</v>
      </c>
      <c r="AT380">
        <v>0</v>
      </c>
      <c r="AV380">
        <v>15</v>
      </c>
      <c r="AW380">
        <v>15</v>
      </c>
      <c r="AX380">
        <v>15</v>
      </c>
    </row>
    <row r="381" spans="1:50" x14ac:dyDescent="0.2">
      <c r="A381" t="s">
        <v>54</v>
      </c>
      <c r="B381" t="s">
        <v>35</v>
      </c>
      <c r="C381">
        <v>17</v>
      </c>
      <c r="D381" t="s">
        <v>53</v>
      </c>
      <c r="E381" t="s">
        <v>37</v>
      </c>
      <c r="F381" t="s">
        <v>45</v>
      </c>
      <c r="G381">
        <f t="shared" si="80"/>
        <v>1</v>
      </c>
      <c r="H381">
        <v>3</v>
      </c>
      <c r="I381">
        <f t="shared" si="81"/>
        <v>0</v>
      </c>
      <c r="J381">
        <f t="shared" si="82"/>
        <v>0</v>
      </c>
      <c r="K381">
        <f t="shared" si="83"/>
        <v>0</v>
      </c>
      <c r="L381">
        <f t="shared" si="84"/>
        <v>1</v>
      </c>
      <c r="M381">
        <f t="shared" si="85"/>
        <v>0</v>
      </c>
      <c r="N381">
        <v>1</v>
      </c>
      <c r="O381">
        <f t="shared" si="75"/>
        <v>0</v>
      </c>
      <c r="P381">
        <f t="shared" si="76"/>
        <v>1</v>
      </c>
      <c r="Q381">
        <f t="shared" si="77"/>
        <v>0</v>
      </c>
      <c r="R381">
        <f t="shared" si="78"/>
        <v>0</v>
      </c>
      <c r="S381">
        <f t="shared" si="79"/>
        <v>0</v>
      </c>
      <c r="T381">
        <f t="shared" si="86"/>
        <v>0</v>
      </c>
      <c r="V381" t="s">
        <v>39</v>
      </c>
      <c r="W381" t="s">
        <v>46</v>
      </c>
      <c r="X381" t="s">
        <v>52</v>
      </c>
      <c r="Y381" t="s">
        <v>42</v>
      </c>
      <c r="Z381">
        <v>1</v>
      </c>
      <c r="AA381">
        <v>2</v>
      </c>
      <c r="AB381">
        <v>0</v>
      </c>
      <c r="AC381" t="s">
        <v>44</v>
      </c>
      <c r="AD381" t="s">
        <v>43</v>
      </c>
      <c r="AE381">
        <f t="shared" si="87"/>
        <v>1</v>
      </c>
      <c r="AF381" t="s">
        <v>43</v>
      </c>
      <c r="AG381">
        <f t="shared" si="88"/>
        <v>1</v>
      </c>
      <c r="AH381" t="s">
        <v>43</v>
      </c>
      <c r="AI381" t="s">
        <v>44</v>
      </c>
      <c r="AJ381" t="s">
        <v>43</v>
      </c>
      <c r="AK381" t="s">
        <v>43</v>
      </c>
      <c r="AL381">
        <f t="shared" si="89"/>
        <v>1</v>
      </c>
      <c r="AM381" t="s">
        <v>44</v>
      </c>
      <c r="AN381">
        <v>4</v>
      </c>
      <c r="AO381">
        <v>5</v>
      </c>
      <c r="AP381">
        <v>4</v>
      </c>
      <c r="AQ381">
        <v>2</v>
      </c>
      <c r="AR381">
        <v>3</v>
      </c>
      <c r="AS381">
        <v>1</v>
      </c>
      <c r="AT381">
        <v>17</v>
      </c>
      <c r="AV381">
        <v>10</v>
      </c>
      <c r="AW381">
        <v>10</v>
      </c>
      <c r="AX381">
        <v>10</v>
      </c>
    </row>
    <row r="382" spans="1:50" x14ac:dyDescent="0.2">
      <c r="A382" t="s">
        <v>54</v>
      </c>
      <c r="B382" t="s">
        <v>51</v>
      </c>
      <c r="C382">
        <v>18</v>
      </c>
      <c r="D382" t="s">
        <v>36</v>
      </c>
      <c r="E382" t="s">
        <v>37</v>
      </c>
      <c r="F382" t="s">
        <v>45</v>
      </c>
      <c r="G382">
        <f t="shared" si="80"/>
        <v>1</v>
      </c>
      <c r="H382">
        <v>4</v>
      </c>
      <c r="I382">
        <f t="shared" si="81"/>
        <v>0</v>
      </c>
      <c r="J382">
        <f t="shared" si="82"/>
        <v>0</v>
      </c>
      <c r="K382">
        <f t="shared" si="83"/>
        <v>0</v>
      </c>
      <c r="L382">
        <f t="shared" si="84"/>
        <v>0</v>
      </c>
      <c r="M382">
        <f t="shared" si="85"/>
        <v>1</v>
      </c>
      <c r="N382">
        <v>4</v>
      </c>
      <c r="O382">
        <f t="shared" si="75"/>
        <v>0</v>
      </c>
      <c r="P382">
        <f t="shared" si="76"/>
        <v>0</v>
      </c>
      <c r="Q382">
        <f t="shared" si="77"/>
        <v>0</v>
      </c>
      <c r="R382">
        <f t="shared" si="78"/>
        <v>0</v>
      </c>
      <c r="S382">
        <f t="shared" si="79"/>
        <v>1</v>
      </c>
      <c r="T382">
        <f t="shared" si="86"/>
        <v>1</v>
      </c>
      <c r="V382" t="s">
        <v>40</v>
      </c>
      <c r="W382" t="s">
        <v>40</v>
      </c>
      <c r="X382" t="s">
        <v>50</v>
      </c>
      <c r="Y382" t="s">
        <v>47</v>
      </c>
      <c r="Z382">
        <v>1</v>
      </c>
      <c r="AA382">
        <v>2</v>
      </c>
      <c r="AB382">
        <v>0</v>
      </c>
      <c r="AC382" t="s">
        <v>44</v>
      </c>
      <c r="AD382" t="s">
        <v>44</v>
      </c>
      <c r="AE382">
        <f t="shared" si="87"/>
        <v>0</v>
      </c>
      <c r="AF382" t="s">
        <v>43</v>
      </c>
      <c r="AG382">
        <f t="shared" si="88"/>
        <v>1</v>
      </c>
      <c r="AH382" t="s">
        <v>43</v>
      </c>
      <c r="AI382" t="s">
        <v>44</v>
      </c>
      <c r="AJ382" t="s">
        <v>43</v>
      </c>
      <c r="AK382" t="s">
        <v>43</v>
      </c>
      <c r="AL382">
        <f t="shared" si="89"/>
        <v>1</v>
      </c>
      <c r="AM382" t="s">
        <v>44</v>
      </c>
      <c r="AN382">
        <v>3</v>
      </c>
      <c r="AO382">
        <v>2</v>
      </c>
      <c r="AP382">
        <v>4</v>
      </c>
      <c r="AQ382">
        <v>1</v>
      </c>
      <c r="AR382">
        <v>4</v>
      </c>
      <c r="AS382">
        <v>2</v>
      </c>
      <c r="AT382">
        <v>4</v>
      </c>
      <c r="AV382">
        <v>15</v>
      </c>
      <c r="AW382">
        <v>14</v>
      </c>
      <c r="AX382">
        <v>14</v>
      </c>
    </row>
    <row r="383" spans="1:50" x14ac:dyDescent="0.2">
      <c r="A383" t="s">
        <v>54</v>
      </c>
      <c r="B383" t="s">
        <v>51</v>
      </c>
      <c r="C383">
        <v>18</v>
      </c>
      <c r="D383" t="s">
        <v>53</v>
      </c>
      <c r="E383" t="s">
        <v>37</v>
      </c>
      <c r="F383" t="s">
        <v>45</v>
      </c>
      <c r="G383">
        <f t="shared" si="80"/>
        <v>1</v>
      </c>
      <c r="H383">
        <v>2</v>
      </c>
      <c r="I383">
        <f t="shared" si="81"/>
        <v>0</v>
      </c>
      <c r="J383">
        <f t="shared" si="82"/>
        <v>0</v>
      </c>
      <c r="K383">
        <f t="shared" si="83"/>
        <v>1</v>
      </c>
      <c r="L383">
        <f t="shared" si="84"/>
        <v>0</v>
      </c>
      <c r="M383">
        <f t="shared" si="85"/>
        <v>0</v>
      </c>
      <c r="N383">
        <v>1</v>
      </c>
      <c r="O383">
        <f t="shared" si="75"/>
        <v>0</v>
      </c>
      <c r="P383">
        <f t="shared" si="76"/>
        <v>1</v>
      </c>
      <c r="Q383">
        <f t="shared" si="77"/>
        <v>0</v>
      </c>
      <c r="R383">
        <f t="shared" si="78"/>
        <v>0</v>
      </c>
      <c r="S383">
        <f t="shared" si="79"/>
        <v>0</v>
      </c>
      <c r="T383">
        <f t="shared" si="86"/>
        <v>0</v>
      </c>
      <c r="V383" t="s">
        <v>46</v>
      </c>
      <c r="W383" t="s">
        <v>46</v>
      </c>
      <c r="X383" t="s">
        <v>46</v>
      </c>
      <c r="Y383" t="s">
        <v>42</v>
      </c>
      <c r="Z383">
        <v>2</v>
      </c>
      <c r="AA383">
        <v>1</v>
      </c>
      <c r="AB383">
        <v>0</v>
      </c>
      <c r="AC383" t="s">
        <v>44</v>
      </c>
      <c r="AD383" t="s">
        <v>44</v>
      </c>
      <c r="AE383">
        <f t="shared" si="87"/>
        <v>0</v>
      </c>
      <c r="AF383" t="s">
        <v>44</v>
      </c>
      <c r="AG383">
        <f t="shared" si="88"/>
        <v>0</v>
      </c>
      <c r="AH383" t="s">
        <v>43</v>
      </c>
      <c r="AI383" t="s">
        <v>44</v>
      </c>
      <c r="AJ383" t="s">
        <v>43</v>
      </c>
      <c r="AK383" t="s">
        <v>43</v>
      </c>
      <c r="AL383">
        <f t="shared" si="89"/>
        <v>1</v>
      </c>
      <c r="AM383" t="s">
        <v>43</v>
      </c>
      <c r="AN383">
        <v>4</v>
      </c>
      <c r="AO383">
        <v>4</v>
      </c>
      <c r="AP383">
        <v>3</v>
      </c>
      <c r="AQ383">
        <v>1</v>
      </c>
      <c r="AR383">
        <v>3</v>
      </c>
      <c r="AS383">
        <v>5</v>
      </c>
      <c r="AT383">
        <v>5</v>
      </c>
      <c r="AV383">
        <v>7</v>
      </c>
      <c r="AW383">
        <v>6</v>
      </c>
      <c r="AX383">
        <v>7</v>
      </c>
    </row>
    <row r="384" spans="1:50" x14ac:dyDescent="0.2">
      <c r="A384" t="s">
        <v>54</v>
      </c>
      <c r="B384" t="s">
        <v>51</v>
      </c>
      <c r="C384">
        <v>17</v>
      </c>
      <c r="D384" t="s">
        <v>36</v>
      </c>
      <c r="E384" t="s">
        <v>37</v>
      </c>
      <c r="F384" t="s">
        <v>45</v>
      </c>
      <c r="G384">
        <f t="shared" si="80"/>
        <v>1</v>
      </c>
      <c r="H384">
        <v>2</v>
      </c>
      <c r="I384">
        <f t="shared" si="81"/>
        <v>0</v>
      </c>
      <c r="J384">
        <f t="shared" si="82"/>
        <v>0</v>
      </c>
      <c r="K384">
        <f t="shared" si="83"/>
        <v>1</v>
      </c>
      <c r="L384">
        <f t="shared" si="84"/>
        <v>0</v>
      </c>
      <c r="M384">
        <f t="shared" si="85"/>
        <v>0</v>
      </c>
      <c r="N384">
        <v>3</v>
      </c>
      <c r="O384">
        <f t="shared" si="75"/>
        <v>0</v>
      </c>
      <c r="P384">
        <f t="shared" si="76"/>
        <v>0</v>
      </c>
      <c r="Q384">
        <f t="shared" si="77"/>
        <v>0</v>
      </c>
      <c r="R384">
        <f t="shared" si="78"/>
        <v>1</v>
      </c>
      <c r="S384">
        <f t="shared" si="79"/>
        <v>0</v>
      </c>
      <c r="T384">
        <f t="shared" si="86"/>
        <v>0</v>
      </c>
      <c r="V384" t="s">
        <v>46</v>
      </c>
      <c r="W384" t="s">
        <v>49</v>
      </c>
      <c r="X384" t="s">
        <v>50</v>
      </c>
      <c r="Y384" t="s">
        <v>47</v>
      </c>
      <c r="Z384">
        <v>2</v>
      </c>
      <c r="AA384">
        <v>2</v>
      </c>
      <c r="AB384">
        <v>0</v>
      </c>
      <c r="AC384" t="s">
        <v>44</v>
      </c>
      <c r="AD384" t="s">
        <v>44</v>
      </c>
      <c r="AE384">
        <f t="shared" si="87"/>
        <v>0</v>
      </c>
      <c r="AF384" t="s">
        <v>44</v>
      </c>
      <c r="AG384">
        <f t="shared" si="88"/>
        <v>0</v>
      </c>
      <c r="AH384" t="s">
        <v>43</v>
      </c>
      <c r="AI384" t="s">
        <v>43</v>
      </c>
      <c r="AJ384" t="s">
        <v>43</v>
      </c>
      <c r="AK384" t="s">
        <v>43</v>
      </c>
      <c r="AL384">
        <f t="shared" si="89"/>
        <v>1</v>
      </c>
      <c r="AM384" t="s">
        <v>44</v>
      </c>
      <c r="AN384">
        <v>4</v>
      </c>
      <c r="AO384">
        <v>4</v>
      </c>
      <c r="AP384">
        <v>3</v>
      </c>
      <c r="AQ384">
        <v>1</v>
      </c>
      <c r="AR384">
        <v>1</v>
      </c>
      <c r="AS384">
        <v>3</v>
      </c>
      <c r="AT384">
        <v>2</v>
      </c>
      <c r="AV384">
        <v>11</v>
      </c>
      <c r="AW384">
        <v>11</v>
      </c>
      <c r="AX384">
        <v>10</v>
      </c>
    </row>
    <row r="385" spans="1:50" x14ac:dyDescent="0.2">
      <c r="A385" t="s">
        <v>54</v>
      </c>
      <c r="B385" t="s">
        <v>51</v>
      </c>
      <c r="C385">
        <v>19</v>
      </c>
      <c r="D385" t="s">
        <v>53</v>
      </c>
      <c r="E385" t="s">
        <v>37</v>
      </c>
      <c r="F385" t="s">
        <v>45</v>
      </c>
      <c r="G385">
        <f t="shared" si="80"/>
        <v>1</v>
      </c>
      <c r="H385">
        <v>1</v>
      </c>
      <c r="I385">
        <f t="shared" si="81"/>
        <v>0</v>
      </c>
      <c r="J385">
        <f t="shared" si="82"/>
        <v>1</v>
      </c>
      <c r="K385">
        <f t="shared" si="83"/>
        <v>0</v>
      </c>
      <c r="L385">
        <f t="shared" si="84"/>
        <v>0</v>
      </c>
      <c r="M385">
        <f t="shared" si="85"/>
        <v>0</v>
      </c>
      <c r="N385">
        <v>1</v>
      </c>
      <c r="O385">
        <f t="shared" si="75"/>
        <v>0</v>
      </c>
      <c r="P385">
        <f t="shared" si="76"/>
        <v>1</v>
      </c>
      <c r="Q385">
        <f t="shared" si="77"/>
        <v>0</v>
      </c>
      <c r="R385">
        <f t="shared" si="78"/>
        <v>0</v>
      </c>
      <c r="S385">
        <f t="shared" si="79"/>
        <v>0</v>
      </c>
      <c r="T385">
        <f t="shared" si="86"/>
        <v>0</v>
      </c>
      <c r="V385" t="s">
        <v>46</v>
      </c>
      <c r="W385" t="s">
        <v>49</v>
      </c>
      <c r="X385" t="s">
        <v>46</v>
      </c>
      <c r="Y385" t="s">
        <v>42</v>
      </c>
      <c r="Z385">
        <v>2</v>
      </c>
      <c r="AA385">
        <v>1</v>
      </c>
      <c r="AB385">
        <v>1</v>
      </c>
      <c r="AC385" t="s">
        <v>44</v>
      </c>
      <c r="AD385" t="s">
        <v>44</v>
      </c>
      <c r="AE385">
        <f t="shared" si="87"/>
        <v>0</v>
      </c>
      <c r="AF385" t="s">
        <v>44</v>
      </c>
      <c r="AG385">
        <f t="shared" si="88"/>
        <v>0</v>
      </c>
      <c r="AH385" t="s">
        <v>44</v>
      </c>
      <c r="AI385" t="s">
        <v>43</v>
      </c>
      <c r="AJ385" t="s">
        <v>43</v>
      </c>
      <c r="AK385" t="s">
        <v>44</v>
      </c>
      <c r="AL385">
        <f t="shared" si="89"/>
        <v>0</v>
      </c>
      <c r="AM385" t="s">
        <v>44</v>
      </c>
      <c r="AN385">
        <v>4</v>
      </c>
      <c r="AO385">
        <v>3</v>
      </c>
      <c r="AP385">
        <v>2</v>
      </c>
      <c r="AQ385">
        <v>1</v>
      </c>
      <c r="AR385">
        <v>3</v>
      </c>
      <c r="AS385">
        <v>5</v>
      </c>
      <c r="AT385">
        <v>0</v>
      </c>
      <c r="AV385">
        <v>6</v>
      </c>
      <c r="AW385">
        <v>5</v>
      </c>
      <c r="AX385">
        <v>0</v>
      </c>
    </row>
    <row r="386" spans="1:50" x14ac:dyDescent="0.2">
      <c r="A386" t="s">
        <v>54</v>
      </c>
      <c r="B386" t="s">
        <v>51</v>
      </c>
      <c r="C386">
        <v>18</v>
      </c>
      <c r="D386" t="s">
        <v>53</v>
      </c>
      <c r="E386" t="s">
        <v>37</v>
      </c>
      <c r="F386" t="s">
        <v>45</v>
      </c>
      <c r="G386">
        <f t="shared" si="80"/>
        <v>1</v>
      </c>
      <c r="H386">
        <v>4</v>
      </c>
      <c r="I386">
        <f t="shared" si="81"/>
        <v>0</v>
      </c>
      <c r="J386">
        <f t="shared" si="82"/>
        <v>0</v>
      </c>
      <c r="K386">
        <f t="shared" si="83"/>
        <v>0</v>
      </c>
      <c r="L386">
        <f t="shared" si="84"/>
        <v>0</v>
      </c>
      <c r="M386">
        <f t="shared" si="85"/>
        <v>1</v>
      </c>
      <c r="N386">
        <v>2</v>
      </c>
      <c r="O386">
        <f t="shared" ref="O386:O396" si="90" xml:space="preserve"> IF($N386=0,1,0)</f>
        <v>0</v>
      </c>
      <c r="P386">
        <f t="shared" ref="P386:P396" si="91" xml:space="preserve"> IF($N386=1,1,0)</f>
        <v>0</v>
      </c>
      <c r="Q386">
        <f t="shared" ref="Q386:Q396" si="92" xml:space="preserve"> IF($N386=2,1,0)</f>
        <v>1</v>
      </c>
      <c r="R386">
        <f t="shared" ref="R386:R396" si="93" xml:space="preserve"> IF($N386=3,1,0)</f>
        <v>0</v>
      </c>
      <c r="S386">
        <f t="shared" ref="S386:S396" si="94" xml:space="preserve"> IF($N386=4,1,0)</f>
        <v>0</v>
      </c>
      <c r="T386">
        <f t="shared" si="86"/>
        <v>0</v>
      </c>
      <c r="V386" t="s">
        <v>46</v>
      </c>
      <c r="W386" t="s">
        <v>46</v>
      </c>
      <c r="X386" t="s">
        <v>50</v>
      </c>
      <c r="Y386" t="s">
        <v>47</v>
      </c>
      <c r="Z386">
        <v>2</v>
      </c>
      <c r="AA386">
        <v>1</v>
      </c>
      <c r="AB386">
        <v>1</v>
      </c>
      <c r="AC386" t="s">
        <v>44</v>
      </c>
      <c r="AD386" t="s">
        <v>44</v>
      </c>
      <c r="AE386">
        <f t="shared" si="87"/>
        <v>0</v>
      </c>
      <c r="AF386" t="s">
        <v>43</v>
      </c>
      <c r="AG386">
        <f t="shared" si="88"/>
        <v>1</v>
      </c>
      <c r="AH386" t="s">
        <v>44</v>
      </c>
      <c r="AI386" t="s">
        <v>43</v>
      </c>
      <c r="AJ386" t="s">
        <v>43</v>
      </c>
      <c r="AK386" t="s">
        <v>44</v>
      </c>
      <c r="AL386">
        <f t="shared" si="89"/>
        <v>0</v>
      </c>
      <c r="AM386" t="s">
        <v>44</v>
      </c>
      <c r="AN386">
        <v>5</v>
      </c>
      <c r="AO386">
        <v>4</v>
      </c>
      <c r="AP386">
        <v>3</v>
      </c>
      <c r="AQ386">
        <v>4</v>
      </c>
      <c r="AR386">
        <v>3</v>
      </c>
      <c r="AS386">
        <v>3</v>
      </c>
      <c r="AT386">
        <v>14</v>
      </c>
      <c r="AV386">
        <v>6</v>
      </c>
      <c r="AW386">
        <v>5</v>
      </c>
      <c r="AX386">
        <v>5</v>
      </c>
    </row>
    <row r="387" spans="1:50" x14ac:dyDescent="0.2">
      <c r="A387" t="s">
        <v>54</v>
      </c>
      <c r="B387" t="s">
        <v>35</v>
      </c>
      <c r="C387">
        <v>18</v>
      </c>
      <c r="D387" t="s">
        <v>53</v>
      </c>
      <c r="E387" t="s">
        <v>37</v>
      </c>
      <c r="F387" t="s">
        <v>45</v>
      </c>
      <c r="G387">
        <f t="shared" ref="G387:G396" si="95">IF(F387="T",1,0)</f>
        <v>1</v>
      </c>
      <c r="H387">
        <v>2</v>
      </c>
      <c r="I387">
        <f t="shared" ref="I387:I396" si="96" xml:space="preserve"> IF($H387=0,1,0)</f>
        <v>0</v>
      </c>
      <c r="J387">
        <f t="shared" ref="J387:J396" si="97" xml:space="preserve"> IF($H387=1,1,0)</f>
        <v>0</v>
      </c>
      <c r="K387">
        <f t="shared" ref="K387:K396" si="98" xml:space="preserve"> IF($H387=2,1,0)</f>
        <v>1</v>
      </c>
      <c r="L387">
        <f t="shared" ref="L387:L396" si="99" xml:space="preserve"> IF($H387=3,1,0)</f>
        <v>0</v>
      </c>
      <c r="M387">
        <f t="shared" ref="M387:M396" si="100" xml:space="preserve"> IF($H387=4,1,0)</f>
        <v>0</v>
      </c>
      <c r="N387">
        <v>2</v>
      </c>
      <c r="O387">
        <f t="shared" si="90"/>
        <v>0</v>
      </c>
      <c r="P387">
        <f t="shared" si="91"/>
        <v>0</v>
      </c>
      <c r="Q387">
        <f t="shared" si="92"/>
        <v>1</v>
      </c>
      <c r="R387">
        <f t="shared" si="93"/>
        <v>0</v>
      </c>
      <c r="S387">
        <f t="shared" si="94"/>
        <v>0</v>
      </c>
      <c r="T387">
        <f t="shared" ref="T387:T396" si="101">IF(AND(M387=1,S387=1),1,0)</f>
        <v>0</v>
      </c>
      <c r="V387" t="s">
        <v>39</v>
      </c>
      <c r="W387" t="s">
        <v>46</v>
      </c>
      <c r="X387" t="s">
        <v>46</v>
      </c>
      <c r="Y387" t="s">
        <v>42</v>
      </c>
      <c r="Z387">
        <v>2</v>
      </c>
      <c r="AA387">
        <v>3</v>
      </c>
      <c r="AB387">
        <v>0</v>
      </c>
      <c r="AC387" t="s">
        <v>44</v>
      </c>
      <c r="AD387" t="s">
        <v>44</v>
      </c>
      <c r="AE387">
        <f t="shared" ref="AE387:AE396" si="102">IF(AD387="yes",1,0)</f>
        <v>0</v>
      </c>
      <c r="AF387" t="s">
        <v>43</v>
      </c>
      <c r="AG387">
        <f t="shared" ref="AG387:AG396" si="103">IF(AF387="yes",1,0)</f>
        <v>1</v>
      </c>
      <c r="AH387" t="s">
        <v>44</v>
      </c>
      <c r="AI387" t="s">
        <v>43</v>
      </c>
      <c r="AJ387" t="s">
        <v>43</v>
      </c>
      <c r="AK387" t="s">
        <v>44</v>
      </c>
      <c r="AL387">
        <f t="shared" ref="AL387:AL396" si="104">IF(AK387="yes",1,0)</f>
        <v>0</v>
      </c>
      <c r="AM387" t="s">
        <v>44</v>
      </c>
      <c r="AN387">
        <v>5</v>
      </c>
      <c r="AO387">
        <v>3</v>
      </c>
      <c r="AP387">
        <v>3</v>
      </c>
      <c r="AQ387">
        <v>1</v>
      </c>
      <c r="AR387">
        <v>3</v>
      </c>
      <c r="AS387">
        <v>4</v>
      </c>
      <c r="AT387">
        <v>2</v>
      </c>
      <c r="AV387">
        <v>10</v>
      </c>
      <c r="AW387">
        <v>9</v>
      </c>
      <c r="AX387">
        <v>10</v>
      </c>
    </row>
    <row r="388" spans="1:50" x14ac:dyDescent="0.2">
      <c r="A388" t="s">
        <v>54</v>
      </c>
      <c r="B388" t="s">
        <v>35</v>
      </c>
      <c r="C388">
        <v>18</v>
      </c>
      <c r="D388" t="s">
        <v>53</v>
      </c>
      <c r="E388" t="s">
        <v>37</v>
      </c>
      <c r="F388" t="s">
        <v>45</v>
      </c>
      <c r="G388">
        <f t="shared" si="95"/>
        <v>1</v>
      </c>
      <c r="H388">
        <v>4</v>
      </c>
      <c r="I388">
        <f t="shared" si="96"/>
        <v>0</v>
      </c>
      <c r="J388">
        <f t="shared" si="97"/>
        <v>0</v>
      </c>
      <c r="K388">
        <f t="shared" si="98"/>
        <v>0</v>
      </c>
      <c r="L388">
        <f t="shared" si="99"/>
        <v>0</v>
      </c>
      <c r="M388">
        <f t="shared" si="100"/>
        <v>1</v>
      </c>
      <c r="N388">
        <v>4</v>
      </c>
      <c r="O388">
        <f t="shared" si="90"/>
        <v>0</v>
      </c>
      <c r="P388">
        <f t="shared" si="91"/>
        <v>0</v>
      </c>
      <c r="Q388">
        <f t="shared" si="92"/>
        <v>0</v>
      </c>
      <c r="R388">
        <f t="shared" si="93"/>
        <v>0</v>
      </c>
      <c r="S388">
        <f t="shared" si="94"/>
        <v>1</v>
      </c>
      <c r="T388">
        <f t="shared" si="101"/>
        <v>1</v>
      </c>
      <c r="V388" t="s">
        <v>40</v>
      </c>
      <c r="W388" t="s">
        <v>39</v>
      </c>
      <c r="X388" t="s">
        <v>52</v>
      </c>
      <c r="Y388" t="s">
        <v>42</v>
      </c>
      <c r="Z388">
        <v>3</v>
      </c>
      <c r="AA388">
        <v>1</v>
      </c>
      <c r="AB388">
        <v>0</v>
      </c>
      <c r="AC388" t="s">
        <v>44</v>
      </c>
      <c r="AD388" t="s">
        <v>43</v>
      </c>
      <c r="AE388">
        <f t="shared" si="102"/>
        <v>1</v>
      </c>
      <c r="AF388" t="s">
        <v>43</v>
      </c>
      <c r="AG388">
        <f t="shared" si="103"/>
        <v>1</v>
      </c>
      <c r="AH388" t="s">
        <v>43</v>
      </c>
      <c r="AI388" t="s">
        <v>43</v>
      </c>
      <c r="AJ388" t="s">
        <v>43</v>
      </c>
      <c r="AK388" t="s">
        <v>43</v>
      </c>
      <c r="AL388">
        <f t="shared" si="104"/>
        <v>1</v>
      </c>
      <c r="AM388" t="s">
        <v>43</v>
      </c>
      <c r="AN388">
        <v>4</v>
      </c>
      <c r="AO388">
        <v>4</v>
      </c>
      <c r="AP388">
        <v>3</v>
      </c>
      <c r="AQ388">
        <v>2</v>
      </c>
      <c r="AR388">
        <v>2</v>
      </c>
      <c r="AS388">
        <v>5</v>
      </c>
      <c r="AT388">
        <v>7</v>
      </c>
      <c r="AV388">
        <v>6</v>
      </c>
      <c r="AW388">
        <v>5</v>
      </c>
      <c r="AX388">
        <v>6</v>
      </c>
    </row>
    <row r="389" spans="1:50" x14ac:dyDescent="0.2">
      <c r="A389" t="s">
        <v>54</v>
      </c>
      <c r="B389" t="s">
        <v>35</v>
      </c>
      <c r="C389">
        <v>19</v>
      </c>
      <c r="D389" t="s">
        <v>53</v>
      </c>
      <c r="E389" t="s">
        <v>37</v>
      </c>
      <c r="F389" t="s">
        <v>45</v>
      </c>
      <c r="G389">
        <f t="shared" si="95"/>
        <v>1</v>
      </c>
      <c r="H389">
        <v>2</v>
      </c>
      <c r="I389">
        <f t="shared" si="96"/>
        <v>0</v>
      </c>
      <c r="J389">
        <f t="shared" si="97"/>
        <v>0</v>
      </c>
      <c r="K389">
        <f t="shared" si="98"/>
        <v>1</v>
      </c>
      <c r="L389">
        <f t="shared" si="99"/>
        <v>0</v>
      </c>
      <c r="M389">
        <f t="shared" si="100"/>
        <v>0</v>
      </c>
      <c r="N389">
        <v>3</v>
      </c>
      <c r="O389">
        <f t="shared" si="90"/>
        <v>0</v>
      </c>
      <c r="P389">
        <f t="shared" si="91"/>
        <v>0</v>
      </c>
      <c r="Q389">
        <f t="shared" si="92"/>
        <v>0</v>
      </c>
      <c r="R389">
        <f t="shared" si="93"/>
        <v>1</v>
      </c>
      <c r="S389">
        <f t="shared" si="94"/>
        <v>0</v>
      </c>
      <c r="T389">
        <f t="shared" si="101"/>
        <v>0</v>
      </c>
      <c r="V389" t="s">
        <v>49</v>
      </c>
      <c r="W389" t="s">
        <v>46</v>
      </c>
      <c r="X389" t="s">
        <v>41</v>
      </c>
      <c r="Y389" t="s">
        <v>42</v>
      </c>
      <c r="Z389">
        <v>1</v>
      </c>
      <c r="AA389">
        <v>3</v>
      </c>
      <c r="AB389">
        <v>1</v>
      </c>
      <c r="AC389" t="s">
        <v>44</v>
      </c>
      <c r="AD389" t="s">
        <v>44</v>
      </c>
      <c r="AE389">
        <f t="shared" si="102"/>
        <v>0</v>
      </c>
      <c r="AF389" t="s">
        <v>44</v>
      </c>
      <c r="AG389">
        <f t="shared" si="103"/>
        <v>0</v>
      </c>
      <c r="AH389" t="s">
        <v>43</v>
      </c>
      <c r="AI389" t="s">
        <v>44</v>
      </c>
      <c r="AJ389" t="s">
        <v>43</v>
      </c>
      <c r="AK389" t="s">
        <v>43</v>
      </c>
      <c r="AL389">
        <f t="shared" si="104"/>
        <v>1</v>
      </c>
      <c r="AM389" t="s">
        <v>44</v>
      </c>
      <c r="AN389">
        <v>5</v>
      </c>
      <c r="AO389">
        <v>4</v>
      </c>
      <c r="AP389">
        <v>2</v>
      </c>
      <c r="AQ389">
        <v>1</v>
      </c>
      <c r="AR389">
        <v>2</v>
      </c>
      <c r="AS389">
        <v>5</v>
      </c>
      <c r="AT389">
        <v>0</v>
      </c>
      <c r="AV389">
        <v>7</v>
      </c>
      <c r="AW389">
        <v>5</v>
      </c>
      <c r="AX389">
        <v>0</v>
      </c>
    </row>
    <row r="390" spans="1:50" x14ac:dyDescent="0.2">
      <c r="A390" t="s">
        <v>54</v>
      </c>
      <c r="B390" t="s">
        <v>35</v>
      </c>
      <c r="C390">
        <v>18</v>
      </c>
      <c r="D390" t="s">
        <v>36</v>
      </c>
      <c r="E390" t="s">
        <v>48</v>
      </c>
      <c r="F390" t="s">
        <v>45</v>
      </c>
      <c r="G390">
        <f t="shared" si="95"/>
        <v>1</v>
      </c>
      <c r="H390">
        <v>3</v>
      </c>
      <c r="I390">
        <f t="shared" si="96"/>
        <v>0</v>
      </c>
      <c r="J390">
        <f t="shared" si="97"/>
        <v>0</v>
      </c>
      <c r="K390">
        <f t="shared" si="98"/>
        <v>0</v>
      </c>
      <c r="L390">
        <f t="shared" si="99"/>
        <v>1</v>
      </c>
      <c r="M390">
        <f t="shared" si="100"/>
        <v>0</v>
      </c>
      <c r="N390">
        <v>1</v>
      </c>
      <c r="O390">
        <f t="shared" si="90"/>
        <v>0</v>
      </c>
      <c r="P390">
        <f t="shared" si="91"/>
        <v>1</v>
      </c>
      <c r="Q390">
        <f t="shared" si="92"/>
        <v>0</v>
      </c>
      <c r="R390">
        <f t="shared" si="93"/>
        <v>0</v>
      </c>
      <c r="S390">
        <f t="shared" si="94"/>
        <v>0</v>
      </c>
      <c r="T390">
        <f t="shared" si="101"/>
        <v>0</v>
      </c>
      <c r="V390" t="s">
        <v>40</v>
      </c>
      <c r="W390" t="s">
        <v>49</v>
      </c>
      <c r="X390" t="s">
        <v>41</v>
      </c>
      <c r="Y390" t="s">
        <v>42</v>
      </c>
      <c r="Z390">
        <v>1</v>
      </c>
      <c r="AA390">
        <v>2</v>
      </c>
      <c r="AB390">
        <v>0</v>
      </c>
      <c r="AC390" t="s">
        <v>44</v>
      </c>
      <c r="AD390" t="s">
        <v>43</v>
      </c>
      <c r="AE390">
        <f t="shared" si="102"/>
        <v>1</v>
      </c>
      <c r="AF390" t="s">
        <v>43</v>
      </c>
      <c r="AG390">
        <f t="shared" si="103"/>
        <v>1</v>
      </c>
      <c r="AH390" t="s">
        <v>44</v>
      </c>
      <c r="AI390" t="s">
        <v>43</v>
      </c>
      <c r="AJ390" t="s">
        <v>43</v>
      </c>
      <c r="AK390" t="s">
        <v>43</v>
      </c>
      <c r="AL390">
        <f t="shared" si="104"/>
        <v>1</v>
      </c>
      <c r="AM390" t="s">
        <v>44</v>
      </c>
      <c r="AN390">
        <v>4</v>
      </c>
      <c r="AO390">
        <v>3</v>
      </c>
      <c r="AP390">
        <v>4</v>
      </c>
      <c r="AQ390">
        <v>1</v>
      </c>
      <c r="AR390">
        <v>1</v>
      </c>
      <c r="AS390">
        <v>1</v>
      </c>
      <c r="AT390">
        <v>0</v>
      </c>
      <c r="AV390">
        <v>7</v>
      </c>
      <c r="AW390">
        <v>9</v>
      </c>
      <c r="AX390">
        <v>8</v>
      </c>
    </row>
    <row r="391" spans="1:50" x14ac:dyDescent="0.2">
      <c r="A391" t="s">
        <v>54</v>
      </c>
      <c r="B391" t="s">
        <v>35</v>
      </c>
      <c r="C391">
        <v>18</v>
      </c>
      <c r="D391" t="s">
        <v>36</v>
      </c>
      <c r="E391" t="s">
        <v>37</v>
      </c>
      <c r="F391" t="s">
        <v>45</v>
      </c>
      <c r="G391">
        <f t="shared" si="95"/>
        <v>1</v>
      </c>
      <c r="H391">
        <v>1</v>
      </c>
      <c r="I391">
        <f t="shared" si="96"/>
        <v>0</v>
      </c>
      <c r="J391">
        <f t="shared" si="97"/>
        <v>1</v>
      </c>
      <c r="K391">
        <f t="shared" si="98"/>
        <v>0</v>
      </c>
      <c r="L391">
        <f t="shared" si="99"/>
        <v>0</v>
      </c>
      <c r="M391">
        <f t="shared" si="100"/>
        <v>0</v>
      </c>
      <c r="N391">
        <v>1</v>
      </c>
      <c r="O391">
        <f t="shared" si="90"/>
        <v>0</v>
      </c>
      <c r="P391">
        <f t="shared" si="91"/>
        <v>1</v>
      </c>
      <c r="Q391">
        <f t="shared" si="92"/>
        <v>0</v>
      </c>
      <c r="R391">
        <f t="shared" si="93"/>
        <v>0</v>
      </c>
      <c r="S391">
        <f t="shared" si="94"/>
        <v>0</v>
      </c>
      <c r="T391">
        <f t="shared" si="101"/>
        <v>0</v>
      </c>
      <c r="V391" t="s">
        <v>46</v>
      </c>
      <c r="W391" t="s">
        <v>46</v>
      </c>
      <c r="X391" t="s">
        <v>41</v>
      </c>
      <c r="Y391" t="s">
        <v>42</v>
      </c>
      <c r="Z391">
        <v>2</v>
      </c>
      <c r="AA391">
        <v>2</v>
      </c>
      <c r="AB391">
        <v>1</v>
      </c>
      <c r="AC391" t="s">
        <v>44</v>
      </c>
      <c r="AD391" t="s">
        <v>44</v>
      </c>
      <c r="AE391">
        <f t="shared" si="102"/>
        <v>0</v>
      </c>
      <c r="AF391" t="s">
        <v>44</v>
      </c>
      <c r="AG391">
        <f t="shared" si="103"/>
        <v>0</v>
      </c>
      <c r="AH391" t="s">
        <v>43</v>
      </c>
      <c r="AI391" t="s">
        <v>43</v>
      </c>
      <c r="AJ391" t="s">
        <v>43</v>
      </c>
      <c r="AK391" t="s">
        <v>44</v>
      </c>
      <c r="AL391">
        <f t="shared" si="104"/>
        <v>0</v>
      </c>
      <c r="AM391" t="s">
        <v>44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5</v>
      </c>
      <c r="AT391">
        <v>0</v>
      </c>
      <c r="AV391">
        <v>6</v>
      </c>
      <c r="AW391">
        <v>5</v>
      </c>
      <c r="AX391">
        <v>0</v>
      </c>
    </row>
    <row r="392" spans="1:50" x14ac:dyDescent="0.2">
      <c r="A392" t="s">
        <v>54</v>
      </c>
      <c r="B392" t="s">
        <v>51</v>
      </c>
      <c r="C392">
        <v>20</v>
      </c>
      <c r="D392" t="s">
        <v>36</v>
      </c>
      <c r="E392" t="s">
        <v>48</v>
      </c>
      <c r="F392" t="s">
        <v>38</v>
      </c>
      <c r="G392">
        <f t="shared" si="95"/>
        <v>0</v>
      </c>
      <c r="H392">
        <v>2</v>
      </c>
      <c r="I392">
        <f t="shared" si="96"/>
        <v>0</v>
      </c>
      <c r="J392">
        <f t="shared" si="97"/>
        <v>0</v>
      </c>
      <c r="K392">
        <f t="shared" si="98"/>
        <v>1</v>
      </c>
      <c r="L392">
        <f t="shared" si="99"/>
        <v>0</v>
      </c>
      <c r="M392">
        <f t="shared" si="100"/>
        <v>0</v>
      </c>
      <c r="N392">
        <v>2</v>
      </c>
      <c r="O392">
        <f t="shared" si="90"/>
        <v>0</v>
      </c>
      <c r="P392">
        <f t="shared" si="91"/>
        <v>0</v>
      </c>
      <c r="Q392">
        <f t="shared" si="92"/>
        <v>1</v>
      </c>
      <c r="R392">
        <f t="shared" si="93"/>
        <v>0</v>
      </c>
      <c r="S392">
        <f t="shared" si="94"/>
        <v>0</v>
      </c>
      <c r="T392">
        <f t="shared" si="101"/>
        <v>0</v>
      </c>
      <c r="V392" t="s">
        <v>49</v>
      </c>
      <c r="W392" t="s">
        <v>49</v>
      </c>
      <c r="X392" t="s">
        <v>41</v>
      </c>
      <c r="Y392" t="s">
        <v>46</v>
      </c>
      <c r="Z392">
        <v>1</v>
      </c>
      <c r="AA392">
        <v>2</v>
      </c>
      <c r="AB392">
        <v>2</v>
      </c>
      <c r="AC392" t="s">
        <v>44</v>
      </c>
      <c r="AD392" t="s">
        <v>43</v>
      </c>
      <c r="AE392">
        <f t="shared" si="102"/>
        <v>1</v>
      </c>
      <c r="AF392" t="s">
        <v>43</v>
      </c>
      <c r="AG392">
        <f t="shared" si="103"/>
        <v>1</v>
      </c>
      <c r="AH392" t="s">
        <v>44</v>
      </c>
      <c r="AI392" t="s">
        <v>43</v>
      </c>
      <c r="AJ392" t="s">
        <v>43</v>
      </c>
      <c r="AK392" t="s">
        <v>44</v>
      </c>
      <c r="AL392">
        <f t="shared" si="104"/>
        <v>0</v>
      </c>
      <c r="AM392" t="s">
        <v>44</v>
      </c>
      <c r="AN392">
        <v>5</v>
      </c>
      <c r="AO392">
        <v>5</v>
      </c>
      <c r="AP392">
        <v>4</v>
      </c>
      <c r="AQ392">
        <v>4</v>
      </c>
      <c r="AR392">
        <v>5</v>
      </c>
      <c r="AS392">
        <v>4</v>
      </c>
      <c r="AT392">
        <v>11</v>
      </c>
      <c r="AV392">
        <v>9</v>
      </c>
      <c r="AW392">
        <v>9</v>
      </c>
      <c r="AX392">
        <v>9</v>
      </c>
    </row>
    <row r="393" spans="1:50" x14ac:dyDescent="0.2">
      <c r="A393" t="s">
        <v>54</v>
      </c>
      <c r="B393" t="s">
        <v>51</v>
      </c>
      <c r="C393">
        <v>17</v>
      </c>
      <c r="D393" t="s">
        <v>36</v>
      </c>
      <c r="E393" t="s">
        <v>48</v>
      </c>
      <c r="F393" t="s">
        <v>45</v>
      </c>
      <c r="G393">
        <f t="shared" si="95"/>
        <v>1</v>
      </c>
      <c r="H393">
        <v>3</v>
      </c>
      <c r="I393">
        <f t="shared" si="96"/>
        <v>0</v>
      </c>
      <c r="J393">
        <f t="shared" si="97"/>
        <v>0</v>
      </c>
      <c r="K393">
        <f t="shared" si="98"/>
        <v>0</v>
      </c>
      <c r="L393">
        <f t="shared" si="99"/>
        <v>1</v>
      </c>
      <c r="M393">
        <f t="shared" si="100"/>
        <v>0</v>
      </c>
      <c r="N393">
        <v>1</v>
      </c>
      <c r="O393">
        <f t="shared" si="90"/>
        <v>0</v>
      </c>
      <c r="P393">
        <f t="shared" si="91"/>
        <v>1</v>
      </c>
      <c r="Q393">
        <f t="shared" si="92"/>
        <v>0</v>
      </c>
      <c r="R393">
        <f t="shared" si="93"/>
        <v>0</v>
      </c>
      <c r="S393">
        <f t="shared" si="94"/>
        <v>0</v>
      </c>
      <c r="T393">
        <f t="shared" si="101"/>
        <v>0</v>
      </c>
      <c r="V393" t="s">
        <v>49</v>
      </c>
      <c r="W393" t="s">
        <v>49</v>
      </c>
      <c r="X393" t="s">
        <v>41</v>
      </c>
      <c r="Y393" t="s">
        <v>42</v>
      </c>
      <c r="Z393">
        <v>2</v>
      </c>
      <c r="AA393">
        <v>1</v>
      </c>
      <c r="AB393">
        <v>0</v>
      </c>
      <c r="AC393" t="s">
        <v>44</v>
      </c>
      <c r="AD393" t="s">
        <v>44</v>
      </c>
      <c r="AE393">
        <f t="shared" si="102"/>
        <v>0</v>
      </c>
      <c r="AF393" t="s">
        <v>44</v>
      </c>
      <c r="AG393">
        <f t="shared" si="103"/>
        <v>0</v>
      </c>
      <c r="AH393" t="s">
        <v>44</v>
      </c>
      <c r="AI393" t="s">
        <v>44</v>
      </c>
      <c r="AJ393" t="s">
        <v>43</v>
      </c>
      <c r="AK393" t="s">
        <v>43</v>
      </c>
      <c r="AL393">
        <f t="shared" si="104"/>
        <v>1</v>
      </c>
      <c r="AM393" t="s">
        <v>44</v>
      </c>
      <c r="AN393">
        <v>2</v>
      </c>
      <c r="AO393">
        <v>4</v>
      </c>
      <c r="AP393">
        <v>5</v>
      </c>
      <c r="AQ393">
        <v>3</v>
      </c>
      <c r="AR393">
        <v>4</v>
      </c>
      <c r="AS393">
        <v>2</v>
      </c>
      <c r="AT393">
        <v>3</v>
      </c>
      <c r="AV393">
        <v>14</v>
      </c>
      <c r="AW393">
        <v>16</v>
      </c>
      <c r="AX393">
        <v>16</v>
      </c>
    </row>
    <row r="394" spans="1:50" x14ac:dyDescent="0.2">
      <c r="A394" t="s">
        <v>54</v>
      </c>
      <c r="B394" t="s">
        <v>51</v>
      </c>
      <c r="C394">
        <v>21</v>
      </c>
      <c r="D394" t="s">
        <v>53</v>
      </c>
      <c r="E394" t="s">
        <v>37</v>
      </c>
      <c r="F394" t="s">
        <v>45</v>
      </c>
      <c r="G394">
        <f t="shared" si="95"/>
        <v>1</v>
      </c>
      <c r="H394">
        <v>1</v>
      </c>
      <c r="I394">
        <f t="shared" si="96"/>
        <v>0</v>
      </c>
      <c r="J394">
        <f t="shared" si="97"/>
        <v>1</v>
      </c>
      <c r="K394">
        <f t="shared" si="98"/>
        <v>0</v>
      </c>
      <c r="L394">
        <f t="shared" si="99"/>
        <v>0</v>
      </c>
      <c r="M394">
        <f t="shared" si="100"/>
        <v>0</v>
      </c>
      <c r="N394">
        <v>1</v>
      </c>
      <c r="O394">
        <f t="shared" si="90"/>
        <v>0</v>
      </c>
      <c r="P394">
        <f t="shared" si="91"/>
        <v>1</v>
      </c>
      <c r="Q394">
        <f t="shared" si="92"/>
        <v>0</v>
      </c>
      <c r="R394">
        <f t="shared" si="93"/>
        <v>0</v>
      </c>
      <c r="S394">
        <f t="shared" si="94"/>
        <v>0</v>
      </c>
      <c r="T394">
        <f t="shared" si="101"/>
        <v>0</v>
      </c>
      <c r="V394" t="s">
        <v>46</v>
      </c>
      <c r="W394" t="s">
        <v>46</v>
      </c>
      <c r="X394" t="s">
        <v>41</v>
      </c>
      <c r="Y394" t="s">
        <v>46</v>
      </c>
      <c r="Z394">
        <v>1</v>
      </c>
      <c r="AA394">
        <v>1</v>
      </c>
      <c r="AB394">
        <v>3</v>
      </c>
      <c r="AC394" t="s">
        <v>44</v>
      </c>
      <c r="AD394" t="s">
        <v>44</v>
      </c>
      <c r="AE394">
        <f t="shared" si="102"/>
        <v>0</v>
      </c>
      <c r="AF394" t="s">
        <v>44</v>
      </c>
      <c r="AG394">
        <f t="shared" si="103"/>
        <v>0</v>
      </c>
      <c r="AH394" t="s">
        <v>44</v>
      </c>
      <c r="AI394" t="s">
        <v>44</v>
      </c>
      <c r="AJ394" t="s">
        <v>43</v>
      </c>
      <c r="AK394" t="s">
        <v>44</v>
      </c>
      <c r="AL394">
        <f t="shared" si="104"/>
        <v>0</v>
      </c>
      <c r="AM394" t="s">
        <v>44</v>
      </c>
      <c r="AN394">
        <v>5</v>
      </c>
      <c r="AO394">
        <v>5</v>
      </c>
      <c r="AP394">
        <v>3</v>
      </c>
      <c r="AQ394">
        <v>3</v>
      </c>
      <c r="AR394">
        <v>3</v>
      </c>
      <c r="AS394">
        <v>3</v>
      </c>
      <c r="AT394">
        <v>3</v>
      </c>
      <c r="AV394">
        <v>10</v>
      </c>
      <c r="AW394">
        <v>8</v>
      </c>
      <c r="AX394">
        <v>7</v>
      </c>
    </row>
    <row r="395" spans="1:50" x14ac:dyDescent="0.2">
      <c r="A395" t="s">
        <v>54</v>
      </c>
      <c r="B395" t="s">
        <v>51</v>
      </c>
      <c r="C395">
        <v>18</v>
      </c>
      <c r="D395" t="s">
        <v>53</v>
      </c>
      <c r="E395" t="s">
        <v>48</v>
      </c>
      <c r="F395" t="s">
        <v>45</v>
      </c>
      <c r="G395">
        <f t="shared" si="95"/>
        <v>1</v>
      </c>
      <c r="H395">
        <v>3</v>
      </c>
      <c r="I395">
        <f t="shared" si="96"/>
        <v>0</v>
      </c>
      <c r="J395">
        <f t="shared" si="97"/>
        <v>0</v>
      </c>
      <c r="K395">
        <f t="shared" si="98"/>
        <v>0</v>
      </c>
      <c r="L395">
        <f t="shared" si="99"/>
        <v>1</v>
      </c>
      <c r="M395">
        <f t="shared" si="100"/>
        <v>0</v>
      </c>
      <c r="N395">
        <v>2</v>
      </c>
      <c r="O395">
        <f t="shared" si="90"/>
        <v>0</v>
      </c>
      <c r="P395">
        <f t="shared" si="91"/>
        <v>0</v>
      </c>
      <c r="Q395">
        <f t="shared" si="92"/>
        <v>1</v>
      </c>
      <c r="R395">
        <f t="shared" si="93"/>
        <v>0</v>
      </c>
      <c r="S395">
        <f t="shared" si="94"/>
        <v>0</v>
      </c>
      <c r="T395">
        <f t="shared" si="101"/>
        <v>0</v>
      </c>
      <c r="V395" t="s">
        <v>49</v>
      </c>
      <c r="W395" t="s">
        <v>46</v>
      </c>
      <c r="X395" t="s">
        <v>41</v>
      </c>
      <c r="Y395" t="s">
        <v>42</v>
      </c>
      <c r="Z395">
        <v>3</v>
      </c>
      <c r="AA395">
        <v>1</v>
      </c>
      <c r="AB395">
        <v>0</v>
      </c>
      <c r="AC395" t="s">
        <v>44</v>
      </c>
      <c r="AD395" t="s">
        <v>44</v>
      </c>
      <c r="AE395">
        <f t="shared" si="102"/>
        <v>0</v>
      </c>
      <c r="AF395" t="s">
        <v>44</v>
      </c>
      <c r="AG395">
        <f t="shared" si="103"/>
        <v>0</v>
      </c>
      <c r="AH395" t="s">
        <v>44</v>
      </c>
      <c r="AI395" t="s">
        <v>44</v>
      </c>
      <c r="AJ395" t="s">
        <v>43</v>
      </c>
      <c r="AK395" t="s">
        <v>43</v>
      </c>
      <c r="AL395">
        <f t="shared" si="104"/>
        <v>1</v>
      </c>
      <c r="AM395" t="s">
        <v>44</v>
      </c>
      <c r="AN395">
        <v>4</v>
      </c>
      <c r="AO395">
        <v>4</v>
      </c>
      <c r="AP395">
        <v>1</v>
      </c>
      <c r="AQ395">
        <v>3</v>
      </c>
      <c r="AR395">
        <v>4</v>
      </c>
      <c r="AS395">
        <v>5</v>
      </c>
      <c r="AT395">
        <v>0</v>
      </c>
      <c r="AV395">
        <v>11</v>
      </c>
      <c r="AW395">
        <v>12</v>
      </c>
      <c r="AX395">
        <v>10</v>
      </c>
    </row>
    <row r="396" spans="1:50" x14ac:dyDescent="0.2">
      <c r="A396" t="s">
        <v>54</v>
      </c>
      <c r="B396" t="s">
        <v>51</v>
      </c>
      <c r="C396">
        <v>19</v>
      </c>
      <c r="D396" t="s">
        <v>36</v>
      </c>
      <c r="E396" t="s">
        <v>48</v>
      </c>
      <c r="F396" t="s">
        <v>45</v>
      </c>
      <c r="G396">
        <f t="shared" si="95"/>
        <v>1</v>
      </c>
      <c r="H396">
        <v>1</v>
      </c>
      <c r="I396">
        <f t="shared" si="96"/>
        <v>0</v>
      </c>
      <c r="J396">
        <f t="shared" si="97"/>
        <v>1</v>
      </c>
      <c r="K396">
        <f t="shared" si="98"/>
        <v>0</v>
      </c>
      <c r="L396">
        <f t="shared" si="99"/>
        <v>0</v>
      </c>
      <c r="M396">
        <f t="shared" si="100"/>
        <v>0</v>
      </c>
      <c r="N396">
        <v>1</v>
      </c>
      <c r="O396">
        <f t="shared" si="90"/>
        <v>0</v>
      </c>
      <c r="P396">
        <f t="shared" si="91"/>
        <v>1</v>
      </c>
      <c r="Q396">
        <f t="shared" si="92"/>
        <v>0</v>
      </c>
      <c r="R396">
        <f t="shared" si="93"/>
        <v>0</v>
      </c>
      <c r="S396">
        <f t="shared" si="94"/>
        <v>0</v>
      </c>
      <c r="T396">
        <f t="shared" si="101"/>
        <v>0</v>
      </c>
      <c r="V396" t="s">
        <v>46</v>
      </c>
      <c r="W396" t="s">
        <v>39</v>
      </c>
      <c r="X396" t="s">
        <v>41</v>
      </c>
      <c r="Y396" t="s">
        <v>47</v>
      </c>
      <c r="Z396">
        <v>1</v>
      </c>
      <c r="AA396">
        <v>1</v>
      </c>
      <c r="AB396">
        <v>0</v>
      </c>
      <c r="AC396" t="s">
        <v>44</v>
      </c>
      <c r="AD396" t="s">
        <v>44</v>
      </c>
      <c r="AE396">
        <f t="shared" si="102"/>
        <v>0</v>
      </c>
      <c r="AF396" t="s">
        <v>44</v>
      </c>
      <c r="AG396">
        <f t="shared" si="103"/>
        <v>0</v>
      </c>
      <c r="AH396" t="s">
        <v>44</v>
      </c>
      <c r="AI396" t="s">
        <v>43</v>
      </c>
      <c r="AJ396" t="s">
        <v>43</v>
      </c>
      <c r="AK396" t="s">
        <v>43</v>
      </c>
      <c r="AL396">
        <f t="shared" si="104"/>
        <v>1</v>
      </c>
      <c r="AM396" t="s">
        <v>44</v>
      </c>
      <c r="AN396">
        <v>3</v>
      </c>
      <c r="AO396">
        <v>2</v>
      </c>
      <c r="AP396">
        <v>3</v>
      </c>
      <c r="AQ396">
        <v>3</v>
      </c>
      <c r="AR396">
        <v>3</v>
      </c>
      <c r="AS396">
        <v>5</v>
      </c>
      <c r="AT396">
        <v>5</v>
      </c>
      <c r="AV396">
        <v>8</v>
      </c>
      <c r="AW396">
        <v>9</v>
      </c>
      <c r="AX396">
        <v>9</v>
      </c>
    </row>
    <row r="398" spans="1:50" x14ac:dyDescent="0.2">
      <c r="I398">
        <f>COUNTIF(I2:I396,1)</f>
        <v>3</v>
      </c>
      <c r="J398">
        <f>COUNTIF(J2:J396,1)</f>
        <v>59</v>
      </c>
      <c r="K398">
        <f>COUNTIF(K2:K396,1)</f>
        <v>103</v>
      </c>
      <c r="L398">
        <f>COUNTIF(L2:L396,1)</f>
        <v>99</v>
      </c>
      <c r="M398">
        <f>COUNTIF(M2:M396,1)</f>
        <v>131</v>
      </c>
      <c r="O398">
        <f t="shared" ref="O398:T398" si="105">COUNTIF(O2:O396,1)</f>
        <v>2</v>
      </c>
      <c r="P398">
        <f t="shared" si="105"/>
        <v>82</v>
      </c>
      <c r="Q398">
        <f t="shared" si="105"/>
        <v>115</v>
      </c>
      <c r="R398">
        <f t="shared" si="105"/>
        <v>100</v>
      </c>
      <c r="S398">
        <f t="shared" si="105"/>
        <v>96</v>
      </c>
      <c r="T398">
        <f t="shared" si="105"/>
        <v>70</v>
      </c>
      <c r="AE398">
        <f>COUNTIF(AE2:AE396,1)</f>
        <v>242</v>
      </c>
    </row>
  </sheetData>
  <sortState xmlns:xlrd2="http://schemas.microsoft.com/office/spreadsheetml/2017/richdata2" ref="AZ2:BA11">
    <sortCondition descending="1" ref="BA2:B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1F42-401A-7947-9AD1-5A6E19EA169D}">
  <dimension ref="A1:B12"/>
  <sheetViews>
    <sheetView workbookViewId="0">
      <selection activeCell="F13" sqref="F13"/>
    </sheetView>
  </sheetViews>
  <sheetFormatPr baseColWidth="10" defaultRowHeight="16" x14ac:dyDescent="0.2"/>
  <cols>
    <col min="1" max="1" width="19.33203125" customWidth="1"/>
    <col min="2" max="2" width="26.5" customWidth="1"/>
  </cols>
  <sheetData>
    <row r="1" spans="1:2" x14ac:dyDescent="0.2">
      <c r="A1" t="s">
        <v>130</v>
      </c>
      <c r="B1" t="s">
        <v>86</v>
      </c>
    </row>
    <row r="2" spans="1:2" ht="38" customHeight="1" x14ac:dyDescent="0.2">
      <c r="A2" t="s">
        <v>80</v>
      </c>
      <c r="B2" s="3">
        <v>0.21714749613860579</v>
      </c>
    </row>
    <row r="3" spans="1:2" x14ac:dyDescent="0.2">
      <c r="A3" t="s">
        <v>81</v>
      </c>
      <c r="B3" s="3">
        <v>0.15245693890425857</v>
      </c>
    </row>
    <row r="4" spans="1:2" x14ac:dyDescent="0.2">
      <c r="A4" t="s">
        <v>79</v>
      </c>
      <c r="B4" s="3">
        <v>0.10199624071669937</v>
      </c>
    </row>
    <row r="5" spans="1:2" x14ac:dyDescent="0.2">
      <c r="A5" t="s">
        <v>123</v>
      </c>
      <c r="B5" s="3">
        <v>9.7819689653196165E-2</v>
      </c>
    </row>
    <row r="6" spans="1:2" x14ac:dyDescent="0.2">
      <c r="A6" t="s">
        <v>85</v>
      </c>
      <c r="B6" s="3">
        <v>9.8483371260729119E-2</v>
      </c>
    </row>
    <row r="7" spans="1:2" x14ac:dyDescent="0.2">
      <c r="A7" t="s">
        <v>120</v>
      </c>
      <c r="B7" s="3">
        <v>5.1363428881282126E-2</v>
      </c>
    </row>
    <row r="8" spans="1:2" x14ac:dyDescent="0.2">
      <c r="A8" t="s">
        <v>121</v>
      </c>
      <c r="B8" s="3">
        <v>3.4247316150069339E-2</v>
      </c>
    </row>
    <row r="9" spans="1:2" x14ac:dyDescent="0.2">
      <c r="A9" t="s">
        <v>129</v>
      </c>
      <c r="B9" s="3">
        <v>-5.8008984959311054E-2</v>
      </c>
    </row>
    <row r="10" spans="1:2" x14ac:dyDescent="0.2">
      <c r="A10" t="s">
        <v>122</v>
      </c>
      <c r="B10" s="3">
        <v>-0.11714205281614885</v>
      </c>
    </row>
    <row r="11" spans="1:2" x14ac:dyDescent="0.2">
      <c r="A11" t="s">
        <v>82</v>
      </c>
      <c r="B11" s="3">
        <v>-0.36041494046165007</v>
      </c>
    </row>
    <row r="12" spans="1:2" x14ac:dyDescent="0.2">
      <c r="A12" t="s">
        <v>118</v>
      </c>
      <c r="B12" s="3">
        <v>-0.13279147350332862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FCD9-E0E5-4849-9840-6C4FB2D13EA3}">
  <dimension ref="A1:BI398"/>
  <sheetViews>
    <sheetView workbookViewId="0">
      <pane xSplit="13" ySplit="20" topLeftCell="AQ372" activePane="bottomRight" state="frozen"/>
      <selection pane="topRight" activeCell="L1" sqref="L1"/>
      <selection pane="bottomLeft" activeCell="A21" sqref="A21"/>
      <selection pane="bottomRight" activeCell="AU3" sqref="AU3:AW17"/>
    </sheetView>
  </sheetViews>
  <sheetFormatPr baseColWidth="10" defaultRowHeight="16" x14ac:dyDescent="0.2"/>
  <cols>
    <col min="1" max="1" width="6.33203125" bestFit="1" customWidth="1"/>
    <col min="2" max="2" width="3.83203125" bestFit="1" customWidth="1"/>
    <col min="3" max="3" width="4.1640625" bestFit="1" customWidth="1"/>
    <col min="4" max="4" width="7.5" bestFit="1" customWidth="1"/>
    <col min="5" max="5" width="7.6640625" bestFit="1" customWidth="1"/>
    <col min="6" max="6" width="7.1640625" bestFit="1" customWidth="1"/>
    <col min="7" max="7" width="14" customWidth="1"/>
    <col min="8" max="9" width="14.83203125" customWidth="1"/>
    <col min="10" max="10" width="17" customWidth="1"/>
    <col min="11" max="11" width="18.5" customWidth="1"/>
    <col min="12" max="12" width="19.1640625" customWidth="1"/>
    <col min="13" max="13" width="18.5" customWidth="1"/>
    <col min="14" max="14" width="23.5" customWidth="1"/>
    <col min="15" max="15" width="14.83203125" customWidth="1"/>
    <col min="16" max="16" width="17" customWidth="1"/>
    <col min="17" max="17" width="18.5" customWidth="1"/>
    <col min="18" max="18" width="19.1640625" customWidth="1"/>
    <col min="19" max="23" width="18.5" customWidth="1"/>
    <col min="24" max="24" width="14.5" customWidth="1"/>
    <col min="25" max="25" width="16.5" customWidth="1"/>
    <col min="26" max="26" width="18.83203125" customWidth="1"/>
    <col min="27" max="27" width="8.33203125" bestFit="1" customWidth="1"/>
    <col min="28" max="28" width="9.6640625" bestFit="1" customWidth="1"/>
    <col min="29" max="29" width="9.33203125" bestFit="1" customWidth="1"/>
    <col min="30" max="30" width="7.33203125" bestFit="1" customWidth="1"/>
    <col min="31" max="31" width="9.1640625" bestFit="1" customWidth="1"/>
    <col min="32" max="32" width="7.33203125" bestFit="1" customWidth="1"/>
    <col min="33" max="34" width="11" customWidth="1"/>
    <col min="35" max="35" width="13" customWidth="1"/>
    <col min="36" max="36" width="7.6640625" bestFit="1" customWidth="1"/>
    <col min="37" max="37" width="11" customWidth="1"/>
    <col min="38" max="38" width="17.33203125" customWidth="1"/>
    <col min="39" max="42" width="15.1640625" customWidth="1"/>
    <col min="43" max="43" width="12.6640625" customWidth="1"/>
    <col min="44" max="44" width="8.6640625" customWidth="1"/>
    <col min="45" max="45" width="18" customWidth="1"/>
    <col min="47" max="47" width="39.6640625" customWidth="1"/>
    <col min="48" max="48" width="26.1640625" customWidth="1"/>
    <col min="49" max="49" width="30.6640625" customWidth="1"/>
    <col min="50" max="50" width="14.5" customWidth="1"/>
    <col min="52" max="52" width="12" customWidth="1"/>
  </cols>
  <sheetData>
    <row r="1" spans="1:61" s="1" customFormat="1" ht="62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77</v>
      </c>
      <c r="H1" s="1" t="s">
        <v>7</v>
      </c>
      <c r="I1" s="1" t="s">
        <v>88</v>
      </c>
      <c r="J1" s="1" t="s">
        <v>90</v>
      </c>
      <c r="K1" s="1" t="s">
        <v>89</v>
      </c>
      <c r="L1" s="1" t="s">
        <v>91</v>
      </c>
      <c r="M1" s="1" t="s">
        <v>87</v>
      </c>
      <c r="N1" s="1" t="s">
        <v>8</v>
      </c>
      <c r="O1" s="1" t="s">
        <v>92</v>
      </c>
      <c r="P1" s="1" t="s">
        <v>93</v>
      </c>
      <c r="Q1" s="1" t="s">
        <v>109</v>
      </c>
      <c r="R1" s="1" t="s">
        <v>106</v>
      </c>
      <c r="S1" s="1" t="s">
        <v>96</v>
      </c>
      <c r="T1" s="1" t="s">
        <v>97</v>
      </c>
      <c r="U1" s="1" t="s">
        <v>107</v>
      </c>
      <c r="V1" s="1" t="s">
        <v>110</v>
      </c>
      <c r="W1" s="1" t="s">
        <v>111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117</v>
      </c>
      <c r="AH1" s="1" t="s">
        <v>18</v>
      </c>
      <c r="AI1" s="1" t="s">
        <v>78</v>
      </c>
      <c r="AJ1" s="1" t="s">
        <v>22</v>
      </c>
      <c r="AK1" s="1" t="s">
        <v>84</v>
      </c>
      <c r="AL1" s="1" t="s">
        <v>116</v>
      </c>
      <c r="AM1" s="1" t="s">
        <v>30</v>
      </c>
      <c r="AN1" s="1" t="s">
        <v>124</v>
      </c>
      <c r="AO1" s="1" t="s">
        <v>128</v>
      </c>
      <c r="AP1" s="1" t="s">
        <v>131</v>
      </c>
      <c r="AQ1" s="1" t="s">
        <v>31</v>
      </c>
      <c r="AR1" s="1" t="s">
        <v>32</v>
      </c>
      <c r="AS1" s="1" t="s">
        <v>33</v>
      </c>
      <c r="AU1" s="1" t="s">
        <v>126</v>
      </c>
      <c r="AV1" s="1" t="s">
        <v>86</v>
      </c>
      <c r="AW1" s="1" t="s">
        <v>114</v>
      </c>
      <c r="BH1" s="1" t="s">
        <v>3</v>
      </c>
      <c r="BI1" s="1" t="s">
        <v>83</v>
      </c>
    </row>
    <row r="2" spans="1:61" ht="34" customHeight="1" x14ac:dyDescent="0.2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f>IF(F2="T",1,0)</f>
        <v>0</v>
      </c>
      <c r="H2">
        <v>4</v>
      </c>
      <c r="I2">
        <f xml:space="preserve"> IF($H2=0,1,0)</f>
        <v>0</v>
      </c>
      <c r="J2">
        <f xml:space="preserve"> IF($H2=1,1,0)</f>
        <v>0</v>
      </c>
      <c r="K2">
        <f xml:space="preserve"> IF($H2=2,1,0)</f>
        <v>0</v>
      </c>
      <c r="L2">
        <f xml:space="preserve"> IF($H2=3,1,0)</f>
        <v>0</v>
      </c>
      <c r="M2">
        <f xml:space="preserve"> IF($H2=4,1,0)</f>
        <v>1</v>
      </c>
      <c r="N2">
        <v>4</v>
      </c>
      <c r="O2">
        <f t="shared" ref="O2:O65" si="0" xml:space="preserve"> IF($N2=0,1,0)</f>
        <v>0</v>
      </c>
      <c r="P2">
        <f t="shared" ref="P2:P65" si="1" xml:space="preserve"> IF($N2=1,1,0)</f>
        <v>0</v>
      </c>
      <c r="Q2">
        <f t="shared" ref="Q2:Q65" si="2" xml:space="preserve"> IF($N2=2,1,0)</f>
        <v>0</v>
      </c>
      <c r="R2">
        <f t="shared" ref="R2:R65" si="3" xml:space="preserve"> IF($N2=3,1,0)</f>
        <v>0</v>
      </c>
      <c r="S2">
        <f t="shared" ref="S2:S65" si="4" xml:space="preserve"> IF($N2=4,1,0)</f>
        <v>1</v>
      </c>
      <c r="T2">
        <f>IF(AND(M2=1,S2=1),1,0)</f>
        <v>1</v>
      </c>
      <c r="U2">
        <f>IF(AND(M2=1,R2=1),1,0)</f>
        <v>0</v>
      </c>
      <c r="V2">
        <f>IF(OR(AND(M2=1,Q2=1),AND(M2=1,P2=1)),1,0)</f>
        <v>0</v>
      </c>
      <c r="W2">
        <f>IF(AND(L2=1,S2=1),1,0)</f>
        <v>0</v>
      </c>
      <c r="X2" t="s">
        <v>39</v>
      </c>
      <c r="Y2" t="s">
        <v>40</v>
      </c>
      <c r="Z2" t="s">
        <v>41</v>
      </c>
      <c r="AA2" t="s">
        <v>42</v>
      </c>
      <c r="AB2">
        <v>2</v>
      </c>
      <c r="AC2">
        <v>2</v>
      </c>
      <c r="AD2">
        <v>0</v>
      </c>
      <c r="AE2" t="s">
        <v>43</v>
      </c>
      <c r="AF2" t="s">
        <v>44</v>
      </c>
      <c r="AG2">
        <f>IF(AF2="yes",1,0)</f>
        <v>0</v>
      </c>
      <c r="AH2" t="s">
        <v>44</v>
      </c>
      <c r="AI2">
        <f>IF(AH2="yes",1,0)</f>
        <v>0</v>
      </c>
      <c r="AJ2" t="s">
        <v>44</v>
      </c>
      <c r="AK2">
        <f>IF(AJ2="yes",1,0)</f>
        <v>0</v>
      </c>
      <c r="AL2">
        <f>IF(AND(AI2=1,AK2=1),1,0)</f>
        <v>0</v>
      </c>
      <c r="AM2">
        <v>6</v>
      </c>
      <c r="AN2">
        <f>IF(AND(M2=1,G2=0),1,0)</f>
        <v>1</v>
      </c>
      <c r="AO2">
        <f>IF(AND(M2=1,AI2=1),1,0)</f>
        <v>0</v>
      </c>
      <c r="AP2">
        <f>IF(AND(L2=1,AI2=1),1,0)</f>
        <v>0</v>
      </c>
      <c r="AQ2">
        <v>5</v>
      </c>
      <c r="AR2">
        <v>6</v>
      </c>
      <c r="AS2">
        <v>6</v>
      </c>
    </row>
    <row r="3" spans="1:61" x14ac:dyDescent="0.2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f t="shared" ref="G3:G66" si="5">IF(F3="T",1,0)</f>
        <v>1</v>
      </c>
      <c r="H3">
        <v>1</v>
      </c>
      <c r="I3">
        <f t="shared" ref="I3:I66" si="6" xml:space="preserve"> IF($H3=0,1,0)</f>
        <v>0</v>
      </c>
      <c r="J3">
        <f t="shared" ref="J3:J66" si="7" xml:space="preserve"> IF($H3=1,1,0)</f>
        <v>1</v>
      </c>
      <c r="K3">
        <f t="shared" ref="K3:K66" si="8" xml:space="preserve"> IF($H3=2,1,0)</f>
        <v>0</v>
      </c>
      <c r="L3">
        <f t="shared" ref="L3:L66" si="9" xml:space="preserve"> IF($H3=3,1,0)</f>
        <v>0</v>
      </c>
      <c r="M3">
        <f t="shared" ref="M3:M66" si="10" xml:space="preserve"> IF($H3=4,1,0)</f>
        <v>0</v>
      </c>
      <c r="N3">
        <v>1</v>
      </c>
      <c r="O3">
        <f t="shared" si="0"/>
        <v>0</v>
      </c>
      <c r="P3">
        <f t="shared" si="1"/>
        <v>1</v>
      </c>
      <c r="Q3">
        <f t="shared" si="2"/>
        <v>0</v>
      </c>
      <c r="R3">
        <f t="shared" si="3"/>
        <v>0</v>
      </c>
      <c r="S3">
        <f t="shared" si="4"/>
        <v>0</v>
      </c>
      <c r="T3">
        <f t="shared" ref="T3:T66" si="11">IF(AND(M3=1,S3=1),1,0)</f>
        <v>0</v>
      </c>
      <c r="U3">
        <f t="shared" ref="U3:U66" si="12">IF(AND(M3=1,R3=1),1,0)</f>
        <v>0</v>
      </c>
      <c r="V3">
        <f t="shared" ref="V3:V66" si="13">IF(OR(AND(M3=1,Q3=1),AND(M3=1,P3=1)),1,0)</f>
        <v>0</v>
      </c>
      <c r="W3">
        <f t="shared" ref="W3:W66" si="14">IF(AND(L3=1,S3=1),1,0)</f>
        <v>0</v>
      </c>
      <c r="X3" t="s">
        <v>39</v>
      </c>
      <c r="Y3" t="s">
        <v>46</v>
      </c>
      <c r="Z3" t="s">
        <v>41</v>
      </c>
      <c r="AA3" t="s">
        <v>47</v>
      </c>
      <c r="AB3">
        <v>1</v>
      </c>
      <c r="AC3">
        <v>2</v>
      </c>
      <c r="AD3">
        <v>0</v>
      </c>
      <c r="AE3" t="s">
        <v>44</v>
      </c>
      <c r="AF3" t="s">
        <v>43</v>
      </c>
      <c r="AG3">
        <f t="shared" ref="AG3:AG66" si="15">IF(AF3="yes",1,0)</f>
        <v>1</v>
      </c>
      <c r="AH3" t="s">
        <v>44</v>
      </c>
      <c r="AI3">
        <f t="shared" ref="AI3:AI66" si="16">IF(AH3="yes",1,0)</f>
        <v>0</v>
      </c>
      <c r="AJ3" t="s">
        <v>43</v>
      </c>
      <c r="AK3">
        <f t="shared" ref="AK3:AK66" si="17">IF(AJ3="yes",1,0)</f>
        <v>1</v>
      </c>
      <c r="AL3">
        <f t="shared" ref="AL3:AL66" si="18">IF(AND(AI3=1,AK3=1),1,0)</f>
        <v>0</v>
      </c>
      <c r="AM3">
        <v>4</v>
      </c>
      <c r="AN3">
        <f t="shared" ref="AN3:AN66" si="19">IF(AND(M3=1,G3=0),1,0)</f>
        <v>0</v>
      </c>
      <c r="AO3">
        <f t="shared" ref="AO3:AO66" si="20">IF(AND(M3=1,AI3=1),1,0)</f>
        <v>0</v>
      </c>
      <c r="AP3">
        <f t="shared" ref="AP3:AP66" si="21">IF(AND(L3=1,AI3=1),1,0)</f>
        <v>0</v>
      </c>
      <c r="AQ3">
        <v>5</v>
      </c>
      <c r="AR3">
        <v>5</v>
      </c>
      <c r="AS3">
        <v>6</v>
      </c>
      <c r="AU3" t="s">
        <v>99</v>
      </c>
      <c r="AV3" s="3">
        <f>CORREL(AS2:AS396,M2:M396)</f>
        <v>0.20755164348183844</v>
      </c>
      <c r="AW3" s="3">
        <f>CORREL(AS2:AS396,AD2:AD396)</f>
        <v>-0.36041494046165007</v>
      </c>
    </row>
    <row r="4" spans="1:61" x14ac:dyDescent="0.2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f t="shared" si="5"/>
        <v>1</v>
      </c>
      <c r="H4">
        <v>1</v>
      </c>
      <c r="I4">
        <f t="shared" si="6"/>
        <v>0</v>
      </c>
      <c r="J4">
        <f t="shared" si="7"/>
        <v>1</v>
      </c>
      <c r="K4">
        <f t="shared" si="8"/>
        <v>0</v>
      </c>
      <c r="L4">
        <f t="shared" si="9"/>
        <v>0</v>
      </c>
      <c r="M4">
        <f t="shared" si="10"/>
        <v>0</v>
      </c>
      <c r="N4">
        <v>1</v>
      </c>
      <c r="O4">
        <f t="shared" si="0"/>
        <v>0</v>
      </c>
      <c r="P4">
        <f t="shared" si="1"/>
        <v>1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11"/>
        <v>0</v>
      </c>
      <c r="U4">
        <f t="shared" si="12"/>
        <v>0</v>
      </c>
      <c r="V4">
        <f t="shared" si="13"/>
        <v>0</v>
      </c>
      <c r="W4">
        <f t="shared" si="14"/>
        <v>0</v>
      </c>
      <c r="X4" t="s">
        <v>39</v>
      </c>
      <c r="Y4" t="s">
        <v>46</v>
      </c>
      <c r="Z4" t="s">
        <v>46</v>
      </c>
      <c r="AA4" t="s">
        <v>42</v>
      </c>
      <c r="AB4">
        <v>1</v>
      </c>
      <c r="AC4">
        <v>2</v>
      </c>
      <c r="AD4">
        <v>3</v>
      </c>
      <c r="AE4" t="s">
        <v>43</v>
      </c>
      <c r="AF4" t="s">
        <v>44</v>
      </c>
      <c r="AG4">
        <f t="shared" si="15"/>
        <v>0</v>
      </c>
      <c r="AH4" t="s">
        <v>43</v>
      </c>
      <c r="AI4">
        <f t="shared" si="16"/>
        <v>1</v>
      </c>
      <c r="AJ4" t="s">
        <v>43</v>
      </c>
      <c r="AK4">
        <f t="shared" si="17"/>
        <v>1</v>
      </c>
      <c r="AL4">
        <f t="shared" si="18"/>
        <v>1</v>
      </c>
      <c r="AM4">
        <v>10</v>
      </c>
      <c r="AN4">
        <f t="shared" si="19"/>
        <v>0</v>
      </c>
      <c r="AO4">
        <f t="shared" si="20"/>
        <v>0</v>
      </c>
      <c r="AP4">
        <f t="shared" si="21"/>
        <v>0</v>
      </c>
      <c r="AQ4">
        <v>7</v>
      </c>
      <c r="AR4">
        <v>8</v>
      </c>
      <c r="AS4">
        <v>10</v>
      </c>
      <c r="AU4" t="s">
        <v>101</v>
      </c>
      <c r="AV4" s="3">
        <f>CORREL(AS2:AS396,L2:L396)</f>
        <v>-1.4176083577279182E-2</v>
      </c>
      <c r="AW4" s="3">
        <f>CORREL(AD2:AD396,L2:L396)</f>
        <v>7.7996355328256314E-2</v>
      </c>
    </row>
    <row r="5" spans="1:61" x14ac:dyDescent="0.2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f t="shared" si="5"/>
        <v>1</v>
      </c>
      <c r="H5">
        <v>4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  <c r="M5">
        <f t="shared" si="10"/>
        <v>1</v>
      </c>
      <c r="N5">
        <v>2</v>
      </c>
      <c r="O5">
        <f t="shared" si="0"/>
        <v>0</v>
      </c>
      <c r="P5">
        <f t="shared" si="1"/>
        <v>0</v>
      </c>
      <c r="Q5">
        <f t="shared" si="2"/>
        <v>1</v>
      </c>
      <c r="R5">
        <f t="shared" si="3"/>
        <v>0</v>
      </c>
      <c r="S5">
        <f t="shared" si="4"/>
        <v>0</v>
      </c>
      <c r="T5">
        <f t="shared" si="11"/>
        <v>0</v>
      </c>
      <c r="U5">
        <f t="shared" si="12"/>
        <v>0</v>
      </c>
      <c r="V5">
        <f t="shared" si="13"/>
        <v>1</v>
      </c>
      <c r="W5">
        <f t="shared" si="14"/>
        <v>0</v>
      </c>
      <c r="X5" t="s">
        <v>29</v>
      </c>
      <c r="Y5" t="s">
        <v>49</v>
      </c>
      <c r="Z5" t="s">
        <v>50</v>
      </c>
      <c r="AA5" t="s">
        <v>42</v>
      </c>
      <c r="AB5">
        <v>1</v>
      </c>
      <c r="AC5">
        <v>3</v>
      </c>
      <c r="AD5">
        <v>0</v>
      </c>
      <c r="AE5" t="s">
        <v>44</v>
      </c>
      <c r="AF5" t="s">
        <v>43</v>
      </c>
      <c r="AG5">
        <f t="shared" si="15"/>
        <v>1</v>
      </c>
      <c r="AH5" t="s">
        <v>43</v>
      </c>
      <c r="AI5">
        <f t="shared" si="16"/>
        <v>1</v>
      </c>
      <c r="AJ5" t="s">
        <v>43</v>
      </c>
      <c r="AK5">
        <f t="shared" si="17"/>
        <v>1</v>
      </c>
      <c r="AL5">
        <f t="shared" si="18"/>
        <v>1</v>
      </c>
      <c r="AM5">
        <v>2</v>
      </c>
      <c r="AN5">
        <f t="shared" si="19"/>
        <v>0</v>
      </c>
      <c r="AO5">
        <f t="shared" si="20"/>
        <v>1</v>
      </c>
      <c r="AP5">
        <f t="shared" si="21"/>
        <v>0</v>
      </c>
      <c r="AQ5">
        <v>15</v>
      </c>
      <c r="AR5">
        <v>14</v>
      </c>
      <c r="AS5">
        <v>15</v>
      </c>
      <c r="AU5" t="s">
        <v>100</v>
      </c>
      <c r="AV5" s="3">
        <f>CORREL(AS2:AS396,K2:K396)</f>
        <v>-8.9177222149654733E-2</v>
      </c>
      <c r="AW5" s="3">
        <f>CORREL(AD2:AD396,K2:K396)</f>
        <v>-1.1026483034355416E-2</v>
      </c>
    </row>
    <row r="6" spans="1:61" x14ac:dyDescent="0.2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f t="shared" si="5"/>
        <v>1</v>
      </c>
      <c r="H6">
        <v>3</v>
      </c>
      <c r="I6">
        <f t="shared" si="6"/>
        <v>0</v>
      </c>
      <c r="J6">
        <f t="shared" si="7"/>
        <v>0</v>
      </c>
      <c r="K6">
        <f t="shared" si="8"/>
        <v>0</v>
      </c>
      <c r="L6">
        <f t="shared" si="9"/>
        <v>1</v>
      </c>
      <c r="M6">
        <f t="shared" si="10"/>
        <v>0</v>
      </c>
      <c r="N6">
        <v>3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1</v>
      </c>
      <c r="S6">
        <f t="shared" si="4"/>
        <v>0</v>
      </c>
      <c r="T6">
        <f t="shared" si="11"/>
        <v>0</v>
      </c>
      <c r="U6">
        <f t="shared" si="12"/>
        <v>0</v>
      </c>
      <c r="V6">
        <f t="shared" si="13"/>
        <v>0</v>
      </c>
      <c r="W6">
        <f t="shared" si="14"/>
        <v>0</v>
      </c>
      <c r="X6" t="s">
        <v>46</v>
      </c>
      <c r="Y6" t="s">
        <v>46</v>
      </c>
      <c r="Z6" t="s">
        <v>50</v>
      </c>
      <c r="AA6" t="s">
        <v>47</v>
      </c>
      <c r="AB6">
        <v>1</v>
      </c>
      <c r="AC6">
        <v>2</v>
      </c>
      <c r="AD6">
        <v>0</v>
      </c>
      <c r="AE6" t="s">
        <v>44</v>
      </c>
      <c r="AF6" t="s">
        <v>43</v>
      </c>
      <c r="AG6">
        <f t="shared" si="15"/>
        <v>1</v>
      </c>
      <c r="AH6" t="s">
        <v>43</v>
      </c>
      <c r="AI6">
        <f t="shared" si="16"/>
        <v>1</v>
      </c>
      <c r="AJ6" t="s">
        <v>44</v>
      </c>
      <c r="AK6">
        <f t="shared" si="17"/>
        <v>0</v>
      </c>
      <c r="AL6">
        <f t="shared" si="18"/>
        <v>0</v>
      </c>
      <c r="AM6">
        <v>4</v>
      </c>
      <c r="AN6">
        <f t="shared" si="19"/>
        <v>0</v>
      </c>
      <c r="AO6">
        <f t="shared" si="20"/>
        <v>0</v>
      </c>
      <c r="AP6">
        <f t="shared" si="21"/>
        <v>1</v>
      </c>
      <c r="AQ6">
        <v>6</v>
      </c>
      <c r="AR6">
        <v>10</v>
      </c>
      <c r="AS6">
        <v>10</v>
      </c>
      <c r="AU6" t="s">
        <v>102</v>
      </c>
      <c r="AV6" s="3">
        <f>CORREL(AS2:AS396,J2:J396)</f>
        <v>-0.15909638685275587</v>
      </c>
      <c r="AW6" s="3">
        <f>CORREL(AD2:AD396,J2:J396)</f>
        <v>0.19396773144131946</v>
      </c>
    </row>
    <row r="7" spans="1:61" x14ac:dyDescent="0.2">
      <c r="A7" t="s">
        <v>34</v>
      </c>
      <c r="B7" t="s">
        <v>51</v>
      </c>
      <c r="C7">
        <v>16</v>
      </c>
      <c r="D7" t="s">
        <v>36</v>
      </c>
      <c r="E7" t="s">
        <v>48</v>
      </c>
      <c r="F7" t="s">
        <v>45</v>
      </c>
      <c r="G7">
        <f t="shared" si="5"/>
        <v>1</v>
      </c>
      <c r="H7">
        <v>4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1</v>
      </c>
      <c r="N7">
        <v>3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  <c r="T7">
        <f t="shared" si="11"/>
        <v>0</v>
      </c>
      <c r="U7">
        <f t="shared" si="12"/>
        <v>1</v>
      </c>
      <c r="V7">
        <f t="shared" si="13"/>
        <v>0</v>
      </c>
      <c r="W7">
        <f t="shared" si="14"/>
        <v>0</v>
      </c>
      <c r="X7" t="s">
        <v>49</v>
      </c>
      <c r="Y7" t="s">
        <v>46</v>
      </c>
      <c r="Z7" t="s">
        <v>52</v>
      </c>
      <c r="AA7" t="s">
        <v>42</v>
      </c>
      <c r="AB7">
        <v>1</v>
      </c>
      <c r="AC7">
        <v>2</v>
      </c>
      <c r="AD7">
        <v>0</v>
      </c>
      <c r="AE7" t="s">
        <v>44</v>
      </c>
      <c r="AF7" t="s">
        <v>43</v>
      </c>
      <c r="AG7">
        <f t="shared" si="15"/>
        <v>1</v>
      </c>
      <c r="AH7" t="s">
        <v>43</v>
      </c>
      <c r="AI7">
        <f t="shared" si="16"/>
        <v>1</v>
      </c>
      <c r="AJ7" t="s">
        <v>43</v>
      </c>
      <c r="AK7">
        <f t="shared" si="17"/>
        <v>1</v>
      </c>
      <c r="AL7">
        <f t="shared" si="18"/>
        <v>1</v>
      </c>
      <c r="AM7">
        <v>10</v>
      </c>
      <c r="AN7">
        <f t="shared" si="19"/>
        <v>0</v>
      </c>
      <c r="AO7">
        <f t="shared" si="20"/>
        <v>1</v>
      </c>
      <c r="AP7">
        <f t="shared" si="21"/>
        <v>0</v>
      </c>
      <c r="AQ7">
        <v>15</v>
      </c>
      <c r="AR7">
        <v>15</v>
      </c>
      <c r="AS7">
        <v>15</v>
      </c>
      <c r="AU7" t="s">
        <v>103</v>
      </c>
      <c r="AV7" s="3">
        <f>CORREL(AS2:AS396,S2:S396)</f>
        <v>0.11756943852306562</v>
      </c>
      <c r="AW7" s="3">
        <f>CORREL(AD2:AD396,S2:S396)</f>
        <v>-0.15163920364440503</v>
      </c>
    </row>
    <row r="8" spans="1:61" x14ac:dyDescent="0.2">
      <c r="A8" t="s">
        <v>34</v>
      </c>
      <c r="B8" t="s">
        <v>51</v>
      </c>
      <c r="C8">
        <v>16</v>
      </c>
      <c r="D8" t="s">
        <v>36</v>
      </c>
      <c r="E8" t="s">
        <v>48</v>
      </c>
      <c r="F8" t="s">
        <v>45</v>
      </c>
      <c r="G8">
        <f t="shared" si="5"/>
        <v>1</v>
      </c>
      <c r="H8">
        <v>2</v>
      </c>
      <c r="I8">
        <f t="shared" si="6"/>
        <v>0</v>
      </c>
      <c r="J8">
        <f t="shared" si="7"/>
        <v>0</v>
      </c>
      <c r="K8">
        <f t="shared" si="8"/>
        <v>1</v>
      </c>
      <c r="L8">
        <f t="shared" si="9"/>
        <v>0</v>
      </c>
      <c r="M8">
        <f t="shared" si="10"/>
        <v>0</v>
      </c>
      <c r="N8">
        <v>2</v>
      </c>
      <c r="O8">
        <f t="shared" si="0"/>
        <v>0</v>
      </c>
      <c r="P8">
        <f t="shared" si="1"/>
        <v>0</v>
      </c>
      <c r="Q8">
        <f t="shared" si="2"/>
        <v>1</v>
      </c>
      <c r="R8">
        <f t="shared" si="3"/>
        <v>0</v>
      </c>
      <c r="S8">
        <f t="shared" si="4"/>
        <v>0</v>
      </c>
      <c r="T8">
        <f t="shared" si="11"/>
        <v>0</v>
      </c>
      <c r="U8">
        <f t="shared" si="12"/>
        <v>0</v>
      </c>
      <c r="V8">
        <f t="shared" si="13"/>
        <v>0</v>
      </c>
      <c r="W8">
        <f t="shared" si="14"/>
        <v>0</v>
      </c>
      <c r="X8" t="s">
        <v>46</v>
      </c>
      <c r="Y8" t="s">
        <v>46</v>
      </c>
      <c r="Z8" t="s">
        <v>50</v>
      </c>
      <c r="AA8" t="s">
        <v>42</v>
      </c>
      <c r="AB8">
        <v>1</v>
      </c>
      <c r="AC8">
        <v>2</v>
      </c>
      <c r="AD8">
        <v>0</v>
      </c>
      <c r="AE8" t="s">
        <v>44</v>
      </c>
      <c r="AF8" t="s">
        <v>44</v>
      </c>
      <c r="AG8">
        <f t="shared" si="15"/>
        <v>0</v>
      </c>
      <c r="AH8" t="s">
        <v>44</v>
      </c>
      <c r="AI8">
        <f t="shared" si="16"/>
        <v>0</v>
      </c>
      <c r="AJ8" t="s">
        <v>43</v>
      </c>
      <c r="AK8">
        <f t="shared" si="17"/>
        <v>1</v>
      </c>
      <c r="AL8">
        <f t="shared" si="18"/>
        <v>0</v>
      </c>
      <c r="AM8">
        <v>0</v>
      </c>
      <c r="AN8">
        <f t="shared" si="19"/>
        <v>0</v>
      </c>
      <c r="AO8">
        <f t="shared" si="20"/>
        <v>0</v>
      </c>
      <c r="AP8">
        <f t="shared" si="21"/>
        <v>0</v>
      </c>
      <c r="AQ8">
        <v>12</v>
      </c>
      <c r="AR8">
        <v>12</v>
      </c>
      <c r="AS8">
        <v>11</v>
      </c>
      <c r="AU8" t="s">
        <v>104</v>
      </c>
      <c r="AV8" s="3">
        <f>CORREL(AS2:AS396,R2:R396)</f>
        <v>3.1150610073590285E-2</v>
      </c>
      <c r="AW8" s="3">
        <f>CORREL(AD2:AD396,R2:R396)</f>
        <v>-9.7344673797956513E-2</v>
      </c>
    </row>
    <row r="9" spans="1:61" x14ac:dyDescent="0.2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f t="shared" si="5"/>
        <v>0</v>
      </c>
      <c r="H9">
        <v>4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1</v>
      </c>
      <c r="N9">
        <v>4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1</v>
      </c>
      <c r="T9">
        <f t="shared" si="11"/>
        <v>1</v>
      </c>
      <c r="U9">
        <f t="shared" si="12"/>
        <v>0</v>
      </c>
      <c r="V9">
        <f t="shared" si="13"/>
        <v>0</v>
      </c>
      <c r="W9">
        <f t="shared" si="14"/>
        <v>0</v>
      </c>
      <c r="X9" t="s">
        <v>46</v>
      </c>
      <c r="Y9" t="s">
        <v>40</v>
      </c>
      <c r="Z9" t="s">
        <v>50</v>
      </c>
      <c r="AA9" t="s">
        <v>42</v>
      </c>
      <c r="AB9">
        <v>2</v>
      </c>
      <c r="AC9">
        <v>2</v>
      </c>
      <c r="AD9">
        <v>0</v>
      </c>
      <c r="AE9" t="s">
        <v>43</v>
      </c>
      <c r="AF9" t="s">
        <v>43</v>
      </c>
      <c r="AG9">
        <f t="shared" si="15"/>
        <v>1</v>
      </c>
      <c r="AH9" t="s">
        <v>44</v>
      </c>
      <c r="AI9">
        <f t="shared" si="16"/>
        <v>0</v>
      </c>
      <c r="AJ9" t="s">
        <v>44</v>
      </c>
      <c r="AK9">
        <f t="shared" si="17"/>
        <v>0</v>
      </c>
      <c r="AL9">
        <f t="shared" si="18"/>
        <v>0</v>
      </c>
      <c r="AM9">
        <v>6</v>
      </c>
      <c r="AN9">
        <f t="shared" si="19"/>
        <v>1</v>
      </c>
      <c r="AO9">
        <f t="shared" si="20"/>
        <v>0</v>
      </c>
      <c r="AP9">
        <f t="shared" si="21"/>
        <v>0</v>
      </c>
      <c r="AQ9">
        <v>6</v>
      </c>
      <c r="AR9">
        <v>5</v>
      </c>
      <c r="AS9">
        <v>6</v>
      </c>
      <c r="AU9" t="s">
        <v>105</v>
      </c>
      <c r="AV9" s="3">
        <f>CORREL(AS2:AS396,Q2:Q396)</f>
        <v>-2.1614299878318893E-2</v>
      </c>
      <c r="AW9" s="3">
        <f>CORREL(AD2:AD396,Q2:Q396)</f>
        <v>1.1777359828343119E-2</v>
      </c>
    </row>
    <row r="10" spans="1:61" x14ac:dyDescent="0.2">
      <c r="A10" t="s">
        <v>34</v>
      </c>
      <c r="B10" t="s">
        <v>51</v>
      </c>
      <c r="C10">
        <v>15</v>
      </c>
      <c r="D10" t="s">
        <v>36</v>
      </c>
      <c r="E10" t="s">
        <v>48</v>
      </c>
      <c r="F10" t="s">
        <v>38</v>
      </c>
      <c r="G10">
        <f t="shared" si="5"/>
        <v>0</v>
      </c>
      <c r="H10">
        <v>3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1</v>
      </c>
      <c r="M10">
        <f t="shared" si="10"/>
        <v>0</v>
      </c>
      <c r="N10">
        <v>2</v>
      </c>
      <c r="O10">
        <f t="shared" si="0"/>
        <v>0</v>
      </c>
      <c r="P10">
        <f t="shared" si="1"/>
        <v>0</v>
      </c>
      <c r="Q10">
        <f t="shared" si="2"/>
        <v>1</v>
      </c>
      <c r="R10">
        <f t="shared" si="3"/>
        <v>0</v>
      </c>
      <c r="S10">
        <f t="shared" si="4"/>
        <v>0</v>
      </c>
      <c r="T10">
        <f t="shared" si="11"/>
        <v>0</v>
      </c>
      <c r="U10">
        <f t="shared" si="12"/>
        <v>0</v>
      </c>
      <c r="V10">
        <f t="shared" si="13"/>
        <v>0</v>
      </c>
      <c r="W10">
        <f t="shared" si="14"/>
        <v>0</v>
      </c>
      <c r="X10" t="s">
        <v>49</v>
      </c>
      <c r="Y10" t="s">
        <v>46</v>
      </c>
      <c r="Z10" t="s">
        <v>50</v>
      </c>
      <c r="AA10" t="s">
        <v>42</v>
      </c>
      <c r="AB10">
        <v>1</v>
      </c>
      <c r="AC10">
        <v>2</v>
      </c>
      <c r="AD10">
        <v>0</v>
      </c>
      <c r="AE10" t="s">
        <v>44</v>
      </c>
      <c r="AF10" t="s">
        <v>43</v>
      </c>
      <c r="AG10">
        <f t="shared" si="15"/>
        <v>1</v>
      </c>
      <c r="AH10" t="s">
        <v>43</v>
      </c>
      <c r="AI10">
        <f t="shared" si="16"/>
        <v>1</v>
      </c>
      <c r="AJ10" t="s">
        <v>43</v>
      </c>
      <c r="AK10">
        <f t="shared" si="17"/>
        <v>1</v>
      </c>
      <c r="AL10">
        <f t="shared" si="18"/>
        <v>1</v>
      </c>
      <c r="AM10">
        <v>0</v>
      </c>
      <c r="AN10">
        <f t="shared" si="19"/>
        <v>0</v>
      </c>
      <c r="AO10">
        <f t="shared" si="20"/>
        <v>0</v>
      </c>
      <c r="AP10">
        <f t="shared" si="21"/>
        <v>1</v>
      </c>
      <c r="AQ10">
        <v>16</v>
      </c>
      <c r="AR10">
        <v>18</v>
      </c>
      <c r="AS10">
        <v>19</v>
      </c>
      <c r="AU10" t="s">
        <v>112</v>
      </c>
      <c r="AV10" s="3">
        <f>CORREL(AS2:AS396,P2:P396)</f>
        <v>-0.14057186781201134</v>
      </c>
      <c r="AW10" s="3">
        <f>CORREL(AD2:AD396,P2:P396)</f>
        <v>0.25715068489394377</v>
      </c>
    </row>
    <row r="11" spans="1:61" x14ac:dyDescent="0.2">
      <c r="A11" t="s">
        <v>34</v>
      </c>
      <c r="B11" t="s">
        <v>51</v>
      </c>
      <c r="C11">
        <v>15</v>
      </c>
      <c r="D11" t="s">
        <v>36</v>
      </c>
      <c r="E11" t="s">
        <v>37</v>
      </c>
      <c r="F11" t="s">
        <v>45</v>
      </c>
      <c r="G11">
        <f t="shared" si="5"/>
        <v>1</v>
      </c>
      <c r="H11">
        <v>3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1</v>
      </c>
      <c r="M11">
        <f t="shared" si="10"/>
        <v>0</v>
      </c>
      <c r="N11">
        <v>4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1</v>
      </c>
      <c r="T11">
        <f t="shared" si="11"/>
        <v>0</v>
      </c>
      <c r="U11">
        <f t="shared" si="12"/>
        <v>0</v>
      </c>
      <c r="V11">
        <f t="shared" si="13"/>
        <v>0</v>
      </c>
      <c r="W11">
        <f t="shared" si="14"/>
        <v>1</v>
      </c>
      <c r="X11" t="s">
        <v>46</v>
      </c>
      <c r="Y11" t="s">
        <v>46</v>
      </c>
      <c r="Z11" t="s">
        <v>50</v>
      </c>
      <c r="AA11" t="s">
        <v>42</v>
      </c>
      <c r="AB11">
        <v>1</v>
      </c>
      <c r="AC11">
        <v>2</v>
      </c>
      <c r="AD11">
        <v>0</v>
      </c>
      <c r="AE11" t="s">
        <v>44</v>
      </c>
      <c r="AF11" t="s">
        <v>43</v>
      </c>
      <c r="AG11">
        <f t="shared" si="15"/>
        <v>1</v>
      </c>
      <c r="AH11" t="s">
        <v>43</v>
      </c>
      <c r="AI11">
        <f t="shared" si="16"/>
        <v>1</v>
      </c>
      <c r="AJ11" t="s">
        <v>43</v>
      </c>
      <c r="AK11">
        <f t="shared" si="17"/>
        <v>1</v>
      </c>
      <c r="AL11">
        <f t="shared" si="18"/>
        <v>1</v>
      </c>
      <c r="AM11">
        <v>0</v>
      </c>
      <c r="AN11">
        <f t="shared" si="19"/>
        <v>0</v>
      </c>
      <c r="AO11">
        <f t="shared" si="20"/>
        <v>0</v>
      </c>
      <c r="AP11">
        <f t="shared" si="21"/>
        <v>1</v>
      </c>
      <c r="AQ11">
        <v>14</v>
      </c>
      <c r="AR11">
        <v>15</v>
      </c>
      <c r="AS11">
        <v>15</v>
      </c>
      <c r="AU11" t="s">
        <v>98</v>
      </c>
      <c r="AV11" s="3">
        <f>CORREL($AS$2:$AS$396,$T$2:$T$396)</f>
        <v>0.12596812957139036</v>
      </c>
      <c r="AW11" s="3">
        <f>CORREL($AD$2:$AD$396,$T$2:$T$396)</f>
        <v>-0.1463299629601344</v>
      </c>
    </row>
    <row r="12" spans="1:61" x14ac:dyDescent="0.2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f t="shared" si="5"/>
        <v>1</v>
      </c>
      <c r="H12">
        <v>4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1</v>
      </c>
      <c r="N12">
        <v>4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1</v>
      </c>
      <c r="T12">
        <f t="shared" si="11"/>
        <v>1</v>
      </c>
      <c r="U12">
        <f t="shared" si="12"/>
        <v>0</v>
      </c>
      <c r="V12">
        <f t="shared" si="13"/>
        <v>0</v>
      </c>
      <c r="W12">
        <f t="shared" si="14"/>
        <v>0</v>
      </c>
      <c r="X12" t="s">
        <v>40</v>
      </c>
      <c r="Y12" t="s">
        <v>29</v>
      </c>
      <c r="Z12" t="s">
        <v>52</v>
      </c>
      <c r="AA12" t="s">
        <v>42</v>
      </c>
      <c r="AB12">
        <v>1</v>
      </c>
      <c r="AC12">
        <v>2</v>
      </c>
      <c r="AD12">
        <v>0</v>
      </c>
      <c r="AE12" t="s">
        <v>44</v>
      </c>
      <c r="AF12" t="s">
        <v>43</v>
      </c>
      <c r="AG12">
        <f t="shared" si="15"/>
        <v>1</v>
      </c>
      <c r="AH12" t="s">
        <v>43</v>
      </c>
      <c r="AI12">
        <f t="shared" si="16"/>
        <v>1</v>
      </c>
      <c r="AJ12" t="s">
        <v>43</v>
      </c>
      <c r="AK12">
        <f t="shared" si="17"/>
        <v>1</v>
      </c>
      <c r="AL12">
        <f t="shared" si="18"/>
        <v>1</v>
      </c>
      <c r="AM12">
        <v>0</v>
      </c>
      <c r="AN12">
        <f t="shared" si="19"/>
        <v>0</v>
      </c>
      <c r="AO12">
        <f t="shared" si="20"/>
        <v>1</v>
      </c>
      <c r="AP12">
        <f t="shared" si="21"/>
        <v>0</v>
      </c>
      <c r="AQ12">
        <v>10</v>
      </c>
      <c r="AR12">
        <v>8</v>
      </c>
      <c r="AS12">
        <v>9</v>
      </c>
      <c r="AU12" t="s">
        <v>107</v>
      </c>
      <c r="AV12" s="3">
        <f>CORREL($AS$2:$AS$396,$U$2:$U$396)</f>
        <v>8.325056849364805E-2</v>
      </c>
      <c r="AW12" s="3">
        <f>CORREL($AD$2:$AD$396,$U$2:$U$396)</f>
        <v>-0.12843587808243254</v>
      </c>
    </row>
    <row r="13" spans="1:61" x14ac:dyDescent="0.2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f t="shared" si="5"/>
        <v>1</v>
      </c>
      <c r="H13">
        <v>2</v>
      </c>
      <c r="I13">
        <f t="shared" si="6"/>
        <v>0</v>
      </c>
      <c r="J13">
        <f t="shared" si="7"/>
        <v>0</v>
      </c>
      <c r="K13">
        <f t="shared" si="8"/>
        <v>1</v>
      </c>
      <c r="L13">
        <f t="shared" si="9"/>
        <v>0</v>
      </c>
      <c r="M13">
        <f t="shared" si="10"/>
        <v>0</v>
      </c>
      <c r="N13">
        <v>1</v>
      </c>
      <c r="O13">
        <f t="shared" si="0"/>
        <v>0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11"/>
        <v>0</v>
      </c>
      <c r="U13">
        <f t="shared" si="12"/>
        <v>0</v>
      </c>
      <c r="V13">
        <f t="shared" si="13"/>
        <v>0</v>
      </c>
      <c r="W13">
        <f t="shared" si="14"/>
        <v>0</v>
      </c>
      <c r="X13" t="s">
        <v>49</v>
      </c>
      <c r="Y13" t="s">
        <v>46</v>
      </c>
      <c r="Z13" t="s">
        <v>52</v>
      </c>
      <c r="AA13" t="s">
        <v>47</v>
      </c>
      <c r="AB13">
        <v>3</v>
      </c>
      <c r="AC13">
        <v>3</v>
      </c>
      <c r="AD13">
        <v>0</v>
      </c>
      <c r="AE13" t="s">
        <v>44</v>
      </c>
      <c r="AF13" t="s">
        <v>43</v>
      </c>
      <c r="AG13">
        <f t="shared" si="15"/>
        <v>1</v>
      </c>
      <c r="AH13" t="s">
        <v>44</v>
      </c>
      <c r="AI13">
        <f t="shared" si="16"/>
        <v>0</v>
      </c>
      <c r="AJ13" t="s">
        <v>43</v>
      </c>
      <c r="AK13">
        <f t="shared" si="17"/>
        <v>1</v>
      </c>
      <c r="AL13">
        <f t="shared" si="18"/>
        <v>0</v>
      </c>
      <c r="AM13">
        <v>4</v>
      </c>
      <c r="AN13">
        <f t="shared" si="19"/>
        <v>0</v>
      </c>
      <c r="AO13">
        <f t="shared" si="20"/>
        <v>0</v>
      </c>
      <c r="AP13">
        <f t="shared" si="21"/>
        <v>0</v>
      </c>
      <c r="AQ13">
        <v>10</v>
      </c>
      <c r="AR13">
        <v>12</v>
      </c>
      <c r="AS13">
        <v>12</v>
      </c>
      <c r="AU13" t="s">
        <v>108</v>
      </c>
      <c r="AV13" s="3">
        <f>CORREL($AS$2:$AS$396,$V$2:$V$396)</f>
        <v>0.11279456681672823</v>
      </c>
      <c r="AW13" s="3">
        <f>CORREL($AD$2:$AD$396,$V$2:$V$396)</f>
        <v>-4.1721452916450436E-2</v>
      </c>
    </row>
    <row r="14" spans="1:61" x14ac:dyDescent="0.2">
      <c r="A14" t="s">
        <v>34</v>
      </c>
      <c r="B14" t="s">
        <v>51</v>
      </c>
      <c r="C14">
        <v>15</v>
      </c>
      <c r="D14" t="s">
        <v>36</v>
      </c>
      <c r="E14" t="s">
        <v>48</v>
      </c>
      <c r="F14" t="s">
        <v>45</v>
      </c>
      <c r="G14">
        <f t="shared" si="5"/>
        <v>1</v>
      </c>
      <c r="H14">
        <v>4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1</v>
      </c>
      <c r="N14">
        <v>4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1</v>
      </c>
      <c r="T14">
        <f t="shared" si="11"/>
        <v>1</v>
      </c>
      <c r="U14">
        <f t="shared" si="12"/>
        <v>0</v>
      </c>
      <c r="V14">
        <f t="shared" si="13"/>
        <v>0</v>
      </c>
      <c r="W14">
        <f t="shared" si="14"/>
        <v>0</v>
      </c>
      <c r="X14" t="s">
        <v>29</v>
      </c>
      <c r="Y14" t="s">
        <v>49</v>
      </c>
      <c r="Z14" t="s">
        <v>41</v>
      </c>
      <c r="AA14" t="s">
        <v>47</v>
      </c>
      <c r="AB14">
        <v>1</v>
      </c>
      <c r="AC14">
        <v>1</v>
      </c>
      <c r="AD14">
        <v>0</v>
      </c>
      <c r="AE14" t="s">
        <v>44</v>
      </c>
      <c r="AF14" t="s">
        <v>43</v>
      </c>
      <c r="AG14">
        <f t="shared" si="15"/>
        <v>1</v>
      </c>
      <c r="AH14" t="s">
        <v>43</v>
      </c>
      <c r="AI14">
        <f t="shared" si="16"/>
        <v>1</v>
      </c>
      <c r="AJ14" t="s">
        <v>43</v>
      </c>
      <c r="AK14">
        <f t="shared" si="17"/>
        <v>1</v>
      </c>
      <c r="AL14">
        <f t="shared" si="18"/>
        <v>1</v>
      </c>
      <c r="AM14">
        <v>2</v>
      </c>
      <c r="AN14">
        <f t="shared" si="19"/>
        <v>0</v>
      </c>
      <c r="AO14">
        <f t="shared" si="20"/>
        <v>1</v>
      </c>
      <c r="AP14">
        <f t="shared" si="21"/>
        <v>0</v>
      </c>
      <c r="AQ14">
        <v>14</v>
      </c>
      <c r="AR14">
        <v>14</v>
      </c>
      <c r="AS14">
        <v>14</v>
      </c>
      <c r="AU14" t="s">
        <v>111</v>
      </c>
      <c r="AV14" s="3">
        <f>CORREL($AS$2:$AS$396,$W$2:$W$396)</f>
        <v>-3.839833162472945E-2</v>
      </c>
      <c r="AW14" s="3">
        <f>CORREL($AD$2:$AD$396,$W$2:$W$396)</f>
        <v>-1.6592874765707335E-2</v>
      </c>
    </row>
    <row r="15" spans="1:61" x14ac:dyDescent="0.2">
      <c r="A15" t="s">
        <v>34</v>
      </c>
      <c r="B15" t="s">
        <v>51</v>
      </c>
      <c r="C15">
        <v>15</v>
      </c>
      <c r="D15" t="s">
        <v>36</v>
      </c>
      <c r="E15" t="s">
        <v>37</v>
      </c>
      <c r="F15" t="s">
        <v>45</v>
      </c>
      <c r="G15">
        <f t="shared" si="5"/>
        <v>1</v>
      </c>
      <c r="H15">
        <v>4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1</v>
      </c>
      <c r="N15">
        <v>3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1</v>
      </c>
      <c r="S15">
        <f t="shared" si="4"/>
        <v>0</v>
      </c>
      <c r="T15">
        <f t="shared" si="11"/>
        <v>0</v>
      </c>
      <c r="U15">
        <f t="shared" si="12"/>
        <v>1</v>
      </c>
      <c r="V15">
        <f t="shared" si="13"/>
        <v>0</v>
      </c>
      <c r="W15">
        <f t="shared" si="14"/>
        <v>0</v>
      </c>
      <c r="X15" t="s">
        <v>40</v>
      </c>
      <c r="Y15" t="s">
        <v>46</v>
      </c>
      <c r="Z15" t="s">
        <v>41</v>
      </c>
      <c r="AA15" t="s">
        <v>42</v>
      </c>
      <c r="AB15">
        <v>2</v>
      </c>
      <c r="AC15">
        <v>2</v>
      </c>
      <c r="AD15">
        <v>0</v>
      </c>
      <c r="AE15" t="s">
        <v>44</v>
      </c>
      <c r="AF15" t="s">
        <v>43</v>
      </c>
      <c r="AG15">
        <f t="shared" si="15"/>
        <v>1</v>
      </c>
      <c r="AH15" t="s">
        <v>43</v>
      </c>
      <c r="AI15">
        <f t="shared" si="16"/>
        <v>1</v>
      </c>
      <c r="AJ15" t="s">
        <v>43</v>
      </c>
      <c r="AK15">
        <f t="shared" si="17"/>
        <v>1</v>
      </c>
      <c r="AL15">
        <f t="shared" si="18"/>
        <v>1</v>
      </c>
      <c r="AM15">
        <v>2</v>
      </c>
      <c r="AN15">
        <f t="shared" si="19"/>
        <v>0</v>
      </c>
      <c r="AO15">
        <f t="shared" si="20"/>
        <v>1</v>
      </c>
      <c r="AP15">
        <f t="shared" si="21"/>
        <v>0</v>
      </c>
      <c r="AQ15">
        <v>10</v>
      </c>
      <c r="AR15">
        <v>10</v>
      </c>
      <c r="AS15">
        <v>11</v>
      </c>
      <c r="AU15" t="s">
        <v>125</v>
      </c>
      <c r="AV15" s="3">
        <f>CORREL($AS$2:$AS$396,$AN$2:$AN$396)</f>
        <v>2.828791688651516E-2</v>
      </c>
      <c r="AW15" s="3">
        <f>CORREL($AD$2:$AD$396,$AN$2:$AN$396)</f>
        <v>-7.1560938756005429E-2</v>
      </c>
    </row>
    <row r="16" spans="1:61" x14ac:dyDescent="0.2">
      <c r="A16" t="s">
        <v>34</v>
      </c>
      <c r="B16" t="s">
        <v>51</v>
      </c>
      <c r="C16">
        <v>15</v>
      </c>
      <c r="D16" t="s">
        <v>36</v>
      </c>
      <c r="E16" t="s">
        <v>37</v>
      </c>
      <c r="F16" t="s">
        <v>38</v>
      </c>
      <c r="G16">
        <f t="shared" si="5"/>
        <v>0</v>
      </c>
      <c r="H16">
        <v>2</v>
      </c>
      <c r="I16">
        <f t="shared" si="6"/>
        <v>0</v>
      </c>
      <c r="J16">
        <f t="shared" si="7"/>
        <v>0</v>
      </c>
      <c r="K16">
        <f t="shared" si="8"/>
        <v>1</v>
      </c>
      <c r="L16">
        <f t="shared" si="9"/>
        <v>0</v>
      </c>
      <c r="M16">
        <f t="shared" si="10"/>
        <v>0</v>
      </c>
      <c r="N16">
        <v>2</v>
      </c>
      <c r="O16">
        <f t="shared" si="0"/>
        <v>0</v>
      </c>
      <c r="P16">
        <f t="shared" si="1"/>
        <v>0</v>
      </c>
      <c r="Q16">
        <f t="shared" si="2"/>
        <v>1</v>
      </c>
      <c r="R16">
        <f t="shared" si="3"/>
        <v>0</v>
      </c>
      <c r="S16">
        <f t="shared" si="4"/>
        <v>0</v>
      </c>
      <c r="T16">
        <f t="shared" si="11"/>
        <v>0</v>
      </c>
      <c r="U16">
        <f t="shared" si="12"/>
        <v>0</v>
      </c>
      <c r="V16">
        <f t="shared" si="13"/>
        <v>0</v>
      </c>
      <c r="W16">
        <f t="shared" si="14"/>
        <v>0</v>
      </c>
      <c r="X16" t="s">
        <v>46</v>
      </c>
      <c r="Y16" t="s">
        <v>46</v>
      </c>
      <c r="Z16" t="s">
        <v>50</v>
      </c>
      <c r="AA16" t="s">
        <v>46</v>
      </c>
      <c r="AB16">
        <v>1</v>
      </c>
      <c r="AC16">
        <v>3</v>
      </c>
      <c r="AD16">
        <v>0</v>
      </c>
      <c r="AE16" t="s">
        <v>44</v>
      </c>
      <c r="AF16" t="s">
        <v>43</v>
      </c>
      <c r="AG16">
        <f t="shared" si="15"/>
        <v>1</v>
      </c>
      <c r="AH16" t="s">
        <v>44</v>
      </c>
      <c r="AI16">
        <f t="shared" si="16"/>
        <v>0</v>
      </c>
      <c r="AJ16" t="s">
        <v>43</v>
      </c>
      <c r="AK16">
        <f t="shared" si="17"/>
        <v>1</v>
      </c>
      <c r="AL16">
        <f t="shared" si="18"/>
        <v>0</v>
      </c>
      <c r="AM16">
        <v>0</v>
      </c>
      <c r="AN16">
        <f t="shared" si="19"/>
        <v>0</v>
      </c>
      <c r="AO16">
        <f t="shared" si="20"/>
        <v>0</v>
      </c>
      <c r="AP16">
        <f t="shared" si="21"/>
        <v>0</v>
      </c>
      <c r="AQ16">
        <v>14</v>
      </c>
      <c r="AR16">
        <v>16</v>
      </c>
      <c r="AS16">
        <v>16</v>
      </c>
      <c r="AU16" t="s">
        <v>127</v>
      </c>
      <c r="AV16" s="3">
        <f>CORREL($AS$2:$AS$396,$AO$2:$AO$396)</f>
        <v>0.10560799419032288</v>
      </c>
      <c r="AW16" s="3">
        <f>CORREL($AD$2:$AD$396,$AO$2:$AO$396)</f>
        <v>-0.14829908316744303</v>
      </c>
    </row>
    <row r="17" spans="1:49" x14ac:dyDescent="0.2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f t="shared" si="5"/>
        <v>1</v>
      </c>
      <c r="H17">
        <v>4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1</v>
      </c>
      <c r="N17">
        <v>4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1</v>
      </c>
      <c r="T17">
        <f t="shared" si="11"/>
        <v>1</v>
      </c>
      <c r="U17">
        <f t="shared" si="12"/>
        <v>0</v>
      </c>
      <c r="V17">
        <f t="shared" si="13"/>
        <v>0</v>
      </c>
      <c r="W17">
        <f t="shared" si="14"/>
        <v>0</v>
      </c>
      <c r="X17" t="s">
        <v>29</v>
      </c>
      <c r="Y17" t="s">
        <v>46</v>
      </c>
      <c r="Z17" t="s">
        <v>50</v>
      </c>
      <c r="AA17" t="s">
        <v>42</v>
      </c>
      <c r="AB17">
        <v>1</v>
      </c>
      <c r="AC17">
        <v>1</v>
      </c>
      <c r="AD17">
        <v>0</v>
      </c>
      <c r="AE17" t="s">
        <v>44</v>
      </c>
      <c r="AF17" t="s">
        <v>43</v>
      </c>
      <c r="AG17">
        <f t="shared" si="15"/>
        <v>1</v>
      </c>
      <c r="AH17" t="s">
        <v>44</v>
      </c>
      <c r="AI17">
        <f t="shared" si="16"/>
        <v>0</v>
      </c>
      <c r="AJ17" t="s">
        <v>43</v>
      </c>
      <c r="AK17">
        <f t="shared" si="17"/>
        <v>1</v>
      </c>
      <c r="AL17">
        <f t="shared" si="18"/>
        <v>0</v>
      </c>
      <c r="AM17">
        <v>4</v>
      </c>
      <c r="AN17">
        <f t="shared" si="19"/>
        <v>0</v>
      </c>
      <c r="AO17">
        <f t="shared" si="20"/>
        <v>0</v>
      </c>
      <c r="AP17">
        <f t="shared" si="21"/>
        <v>0</v>
      </c>
      <c r="AQ17">
        <v>14</v>
      </c>
      <c r="AR17">
        <v>14</v>
      </c>
      <c r="AS17">
        <v>14</v>
      </c>
      <c r="AU17" t="s">
        <v>131</v>
      </c>
      <c r="AV17" s="3">
        <f>CORREL($AS$2:$AS$396,$AP$2:$AP$396)</f>
        <v>6.4910370749648658E-2</v>
      </c>
      <c r="AW17" s="3">
        <f>CORREL($AD$2:$AD$396,$AP$2:$AP$396)</f>
        <v>-1.5446631217041061E-2</v>
      </c>
    </row>
    <row r="18" spans="1:49" x14ac:dyDescent="0.2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f t="shared" si="5"/>
        <v>1</v>
      </c>
      <c r="H18">
        <v>4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1</v>
      </c>
      <c r="N18">
        <v>4</v>
      </c>
      <c r="O18">
        <f t="shared" si="0"/>
        <v>0</v>
      </c>
      <c r="P18">
        <f t="shared" si="1"/>
        <v>0</v>
      </c>
      <c r="Q18">
        <f t="shared" si="2"/>
        <v>0</v>
      </c>
      <c r="R18">
        <f t="shared" si="3"/>
        <v>0</v>
      </c>
      <c r="S18">
        <f t="shared" si="4"/>
        <v>1</v>
      </c>
      <c r="T18">
        <f t="shared" si="11"/>
        <v>1</v>
      </c>
      <c r="U18">
        <f t="shared" si="12"/>
        <v>0</v>
      </c>
      <c r="V18">
        <f t="shared" si="13"/>
        <v>0</v>
      </c>
      <c r="W18">
        <f t="shared" si="14"/>
        <v>0</v>
      </c>
      <c r="X18" t="s">
        <v>49</v>
      </c>
      <c r="Y18" t="s">
        <v>49</v>
      </c>
      <c r="Z18" t="s">
        <v>52</v>
      </c>
      <c r="AA18" t="s">
        <v>42</v>
      </c>
      <c r="AB18">
        <v>1</v>
      </c>
      <c r="AC18">
        <v>3</v>
      </c>
      <c r="AD18">
        <v>0</v>
      </c>
      <c r="AE18" t="s">
        <v>44</v>
      </c>
      <c r="AF18" t="s">
        <v>43</v>
      </c>
      <c r="AG18">
        <f t="shared" si="15"/>
        <v>1</v>
      </c>
      <c r="AH18" t="s">
        <v>43</v>
      </c>
      <c r="AI18">
        <f t="shared" si="16"/>
        <v>1</v>
      </c>
      <c r="AJ18" t="s">
        <v>43</v>
      </c>
      <c r="AK18">
        <f t="shared" si="17"/>
        <v>1</v>
      </c>
      <c r="AL18">
        <f t="shared" si="18"/>
        <v>1</v>
      </c>
      <c r="AM18">
        <v>6</v>
      </c>
      <c r="AN18">
        <f t="shared" si="19"/>
        <v>0</v>
      </c>
      <c r="AO18">
        <f t="shared" si="20"/>
        <v>1</v>
      </c>
      <c r="AP18">
        <f t="shared" si="21"/>
        <v>0</v>
      </c>
      <c r="AQ18">
        <v>13</v>
      </c>
      <c r="AR18">
        <v>14</v>
      </c>
      <c r="AS18">
        <v>14</v>
      </c>
      <c r="AV18" s="3"/>
      <c r="AW18" s="3"/>
    </row>
    <row r="19" spans="1:49" x14ac:dyDescent="0.2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f t="shared" si="5"/>
        <v>1</v>
      </c>
      <c r="H19">
        <v>3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1</v>
      </c>
      <c r="M19">
        <f t="shared" si="10"/>
        <v>0</v>
      </c>
      <c r="N19">
        <v>3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1</v>
      </c>
      <c r="S19">
        <f t="shared" si="4"/>
        <v>0</v>
      </c>
      <c r="T19">
        <f t="shared" si="11"/>
        <v>0</v>
      </c>
      <c r="U19">
        <f t="shared" si="12"/>
        <v>0</v>
      </c>
      <c r="V19">
        <f t="shared" si="13"/>
        <v>0</v>
      </c>
      <c r="W19">
        <f t="shared" si="14"/>
        <v>0</v>
      </c>
      <c r="X19" t="s">
        <v>46</v>
      </c>
      <c r="Y19" t="s">
        <v>46</v>
      </c>
      <c r="Z19" t="s">
        <v>52</v>
      </c>
      <c r="AA19" t="s">
        <v>42</v>
      </c>
      <c r="AB19">
        <v>3</v>
      </c>
      <c r="AC19">
        <v>2</v>
      </c>
      <c r="AD19">
        <v>0</v>
      </c>
      <c r="AE19" t="s">
        <v>43</v>
      </c>
      <c r="AF19" t="s">
        <v>43</v>
      </c>
      <c r="AG19">
        <f t="shared" si="15"/>
        <v>1</v>
      </c>
      <c r="AH19" t="s">
        <v>44</v>
      </c>
      <c r="AI19">
        <f t="shared" si="16"/>
        <v>0</v>
      </c>
      <c r="AJ19" t="s">
        <v>44</v>
      </c>
      <c r="AK19">
        <f t="shared" si="17"/>
        <v>0</v>
      </c>
      <c r="AL19">
        <f t="shared" si="18"/>
        <v>0</v>
      </c>
      <c r="AM19">
        <v>4</v>
      </c>
      <c r="AN19">
        <f t="shared" si="19"/>
        <v>0</v>
      </c>
      <c r="AO19">
        <f t="shared" si="20"/>
        <v>0</v>
      </c>
      <c r="AP19">
        <f t="shared" si="21"/>
        <v>0</v>
      </c>
      <c r="AQ19">
        <v>8</v>
      </c>
      <c r="AR19">
        <v>10</v>
      </c>
      <c r="AS19">
        <v>10</v>
      </c>
      <c r="AV19" s="3"/>
      <c r="AW19" s="3"/>
    </row>
    <row r="20" spans="1:49" x14ac:dyDescent="0.2">
      <c r="A20" t="s">
        <v>34</v>
      </c>
      <c r="B20" t="s">
        <v>51</v>
      </c>
      <c r="C20">
        <v>17</v>
      </c>
      <c r="D20" t="s">
        <v>36</v>
      </c>
      <c r="E20" t="s">
        <v>37</v>
      </c>
      <c r="F20" t="s">
        <v>45</v>
      </c>
      <c r="G20">
        <f t="shared" si="5"/>
        <v>1</v>
      </c>
      <c r="H20">
        <v>3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1</v>
      </c>
      <c r="M20">
        <f t="shared" si="10"/>
        <v>0</v>
      </c>
      <c r="N20">
        <v>2</v>
      </c>
      <c r="O20">
        <f t="shared" si="0"/>
        <v>0</v>
      </c>
      <c r="P20">
        <f t="shared" si="1"/>
        <v>0</v>
      </c>
      <c r="Q20">
        <f t="shared" si="2"/>
        <v>1</v>
      </c>
      <c r="R20">
        <f t="shared" si="3"/>
        <v>0</v>
      </c>
      <c r="S20">
        <f t="shared" si="4"/>
        <v>0</v>
      </c>
      <c r="T20">
        <f t="shared" si="11"/>
        <v>0</v>
      </c>
      <c r="U20">
        <f t="shared" si="12"/>
        <v>0</v>
      </c>
      <c r="V20">
        <f t="shared" si="13"/>
        <v>0</v>
      </c>
      <c r="W20">
        <f t="shared" si="14"/>
        <v>0</v>
      </c>
      <c r="X20" t="s">
        <v>49</v>
      </c>
      <c r="Y20" t="s">
        <v>49</v>
      </c>
      <c r="Z20" t="s">
        <v>41</v>
      </c>
      <c r="AA20" t="s">
        <v>42</v>
      </c>
      <c r="AB20">
        <v>1</v>
      </c>
      <c r="AC20">
        <v>1</v>
      </c>
      <c r="AD20">
        <v>3</v>
      </c>
      <c r="AE20" t="s">
        <v>44</v>
      </c>
      <c r="AF20" t="s">
        <v>43</v>
      </c>
      <c r="AG20">
        <f t="shared" si="15"/>
        <v>1</v>
      </c>
      <c r="AH20" t="s">
        <v>44</v>
      </c>
      <c r="AI20">
        <f t="shared" si="16"/>
        <v>0</v>
      </c>
      <c r="AJ20" t="s">
        <v>43</v>
      </c>
      <c r="AK20">
        <f t="shared" si="17"/>
        <v>1</v>
      </c>
      <c r="AL20">
        <f t="shared" si="18"/>
        <v>0</v>
      </c>
      <c r="AM20">
        <v>16</v>
      </c>
      <c r="AN20">
        <f t="shared" si="19"/>
        <v>0</v>
      </c>
      <c r="AO20">
        <f t="shared" si="20"/>
        <v>0</v>
      </c>
      <c r="AP20">
        <f t="shared" si="21"/>
        <v>0</v>
      </c>
      <c r="AQ20">
        <v>6</v>
      </c>
      <c r="AR20">
        <v>5</v>
      </c>
      <c r="AS20">
        <v>5</v>
      </c>
    </row>
    <row r="21" spans="1:49" x14ac:dyDescent="0.2">
      <c r="A21" t="s">
        <v>34</v>
      </c>
      <c r="B21" t="s">
        <v>51</v>
      </c>
      <c r="C21">
        <v>16</v>
      </c>
      <c r="D21" t="s">
        <v>36</v>
      </c>
      <c r="E21" t="s">
        <v>48</v>
      </c>
      <c r="F21" t="s">
        <v>45</v>
      </c>
      <c r="G21">
        <f t="shared" si="5"/>
        <v>1</v>
      </c>
      <c r="H21">
        <v>4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1</v>
      </c>
      <c r="N21">
        <v>3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1</v>
      </c>
      <c r="S21">
        <f t="shared" si="4"/>
        <v>0</v>
      </c>
      <c r="T21">
        <f t="shared" si="11"/>
        <v>0</v>
      </c>
      <c r="U21">
        <f t="shared" si="12"/>
        <v>1</v>
      </c>
      <c r="V21">
        <f t="shared" si="13"/>
        <v>0</v>
      </c>
      <c r="W21">
        <f t="shared" si="14"/>
        <v>0</v>
      </c>
      <c r="X21" t="s">
        <v>29</v>
      </c>
      <c r="Y21" t="s">
        <v>46</v>
      </c>
      <c r="Z21" t="s">
        <v>50</v>
      </c>
      <c r="AA21" t="s">
        <v>47</v>
      </c>
      <c r="AB21">
        <v>1</v>
      </c>
      <c r="AC21">
        <v>1</v>
      </c>
      <c r="AD21">
        <v>0</v>
      </c>
      <c r="AE21" t="s">
        <v>44</v>
      </c>
      <c r="AF21" t="s">
        <v>44</v>
      </c>
      <c r="AG21">
        <f t="shared" si="15"/>
        <v>0</v>
      </c>
      <c r="AH21" t="s">
        <v>43</v>
      </c>
      <c r="AI21">
        <f t="shared" si="16"/>
        <v>1</v>
      </c>
      <c r="AJ21" t="s">
        <v>43</v>
      </c>
      <c r="AK21">
        <f t="shared" si="17"/>
        <v>1</v>
      </c>
      <c r="AL21">
        <f t="shared" si="18"/>
        <v>1</v>
      </c>
      <c r="AM21">
        <v>4</v>
      </c>
      <c r="AN21">
        <f t="shared" si="19"/>
        <v>0</v>
      </c>
      <c r="AO21">
        <f t="shared" si="20"/>
        <v>1</v>
      </c>
      <c r="AP21">
        <f t="shared" si="21"/>
        <v>0</v>
      </c>
      <c r="AQ21">
        <v>8</v>
      </c>
      <c r="AR21">
        <v>10</v>
      </c>
      <c r="AS21">
        <v>10</v>
      </c>
      <c r="AU21" t="s">
        <v>83</v>
      </c>
      <c r="AV21">
        <f>CORREL(AD2:AD396,C2:C396)</f>
        <v>0.24366537664172075</v>
      </c>
    </row>
    <row r="22" spans="1:49" x14ac:dyDescent="0.2">
      <c r="A22" t="s">
        <v>34</v>
      </c>
      <c r="B22" t="s">
        <v>51</v>
      </c>
      <c r="C22">
        <v>15</v>
      </c>
      <c r="D22" t="s">
        <v>36</v>
      </c>
      <c r="E22" t="s">
        <v>37</v>
      </c>
      <c r="F22" t="s">
        <v>45</v>
      </c>
      <c r="G22">
        <f t="shared" si="5"/>
        <v>1</v>
      </c>
      <c r="H22">
        <v>4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1</v>
      </c>
      <c r="N22">
        <v>3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11"/>
        <v>0</v>
      </c>
      <c r="U22">
        <f t="shared" si="12"/>
        <v>1</v>
      </c>
      <c r="V22">
        <f t="shared" si="13"/>
        <v>0</v>
      </c>
      <c r="W22">
        <f t="shared" si="14"/>
        <v>0</v>
      </c>
      <c r="X22" t="s">
        <v>40</v>
      </c>
      <c r="Y22" t="s">
        <v>46</v>
      </c>
      <c r="Z22" t="s">
        <v>52</v>
      </c>
      <c r="AA22" t="s">
        <v>42</v>
      </c>
      <c r="AB22">
        <v>1</v>
      </c>
      <c r="AC22">
        <v>2</v>
      </c>
      <c r="AD22">
        <v>0</v>
      </c>
      <c r="AE22" t="s">
        <v>44</v>
      </c>
      <c r="AF22" t="s">
        <v>44</v>
      </c>
      <c r="AG22">
        <f t="shared" si="15"/>
        <v>0</v>
      </c>
      <c r="AH22" t="s">
        <v>44</v>
      </c>
      <c r="AI22">
        <f t="shared" si="16"/>
        <v>0</v>
      </c>
      <c r="AJ22" t="s">
        <v>43</v>
      </c>
      <c r="AK22">
        <f t="shared" si="17"/>
        <v>1</v>
      </c>
      <c r="AL22">
        <f t="shared" si="18"/>
        <v>0</v>
      </c>
      <c r="AM22">
        <v>0</v>
      </c>
      <c r="AN22">
        <f t="shared" si="19"/>
        <v>0</v>
      </c>
      <c r="AO22">
        <f t="shared" si="20"/>
        <v>0</v>
      </c>
      <c r="AP22">
        <f t="shared" si="21"/>
        <v>0</v>
      </c>
      <c r="AQ22">
        <v>13</v>
      </c>
      <c r="AR22">
        <v>14</v>
      </c>
      <c r="AS22">
        <v>15</v>
      </c>
    </row>
    <row r="23" spans="1:49" x14ac:dyDescent="0.2">
      <c r="A23" t="s">
        <v>34</v>
      </c>
      <c r="B23" t="s">
        <v>51</v>
      </c>
      <c r="C23">
        <v>15</v>
      </c>
      <c r="D23" t="s">
        <v>36</v>
      </c>
      <c r="E23" t="s">
        <v>37</v>
      </c>
      <c r="F23" t="s">
        <v>45</v>
      </c>
      <c r="G23">
        <f t="shared" si="5"/>
        <v>1</v>
      </c>
      <c r="H23">
        <v>4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1</v>
      </c>
      <c r="N23">
        <v>4</v>
      </c>
      <c r="O23">
        <f t="shared" si="0"/>
        <v>0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1</v>
      </c>
      <c r="T23">
        <f t="shared" si="11"/>
        <v>1</v>
      </c>
      <c r="U23">
        <f t="shared" si="12"/>
        <v>0</v>
      </c>
      <c r="V23">
        <f t="shared" si="13"/>
        <v>0</v>
      </c>
      <c r="W23">
        <f t="shared" si="14"/>
        <v>0</v>
      </c>
      <c r="X23" t="s">
        <v>29</v>
      </c>
      <c r="Y23" t="s">
        <v>29</v>
      </c>
      <c r="Z23" t="s">
        <v>46</v>
      </c>
      <c r="AA23" t="s">
        <v>47</v>
      </c>
      <c r="AB23">
        <v>1</v>
      </c>
      <c r="AC23">
        <v>1</v>
      </c>
      <c r="AD23">
        <v>0</v>
      </c>
      <c r="AE23" t="s">
        <v>44</v>
      </c>
      <c r="AF23" t="s">
        <v>43</v>
      </c>
      <c r="AG23">
        <f t="shared" si="15"/>
        <v>1</v>
      </c>
      <c r="AH23" t="s">
        <v>43</v>
      </c>
      <c r="AI23">
        <f t="shared" si="16"/>
        <v>1</v>
      </c>
      <c r="AJ23" t="s">
        <v>43</v>
      </c>
      <c r="AK23">
        <f t="shared" si="17"/>
        <v>1</v>
      </c>
      <c r="AL23">
        <f t="shared" si="18"/>
        <v>1</v>
      </c>
      <c r="AM23">
        <v>0</v>
      </c>
      <c r="AN23">
        <f t="shared" si="19"/>
        <v>0</v>
      </c>
      <c r="AO23">
        <f t="shared" si="20"/>
        <v>1</v>
      </c>
      <c r="AP23">
        <f t="shared" si="21"/>
        <v>0</v>
      </c>
      <c r="AQ23">
        <v>12</v>
      </c>
      <c r="AR23">
        <v>15</v>
      </c>
      <c r="AS23">
        <v>15</v>
      </c>
    </row>
    <row r="24" spans="1:49" x14ac:dyDescent="0.2">
      <c r="A24" t="s">
        <v>34</v>
      </c>
      <c r="B24" t="s">
        <v>51</v>
      </c>
      <c r="C24">
        <v>16</v>
      </c>
      <c r="D24" t="s">
        <v>36</v>
      </c>
      <c r="E24" t="s">
        <v>48</v>
      </c>
      <c r="F24" t="s">
        <v>45</v>
      </c>
      <c r="G24">
        <f t="shared" si="5"/>
        <v>1</v>
      </c>
      <c r="H24">
        <v>4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1</v>
      </c>
      <c r="N24">
        <v>2</v>
      </c>
      <c r="O24">
        <f t="shared" si="0"/>
        <v>0</v>
      </c>
      <c r="P24">
        <f t="shared" si="1"/>
        <v>0</v>
      </c>
      <c r="Q24">
        <f t="shared" si="2"/>
        <v>1</v>
      </c>
      <c r="R24">
        <f t="shared" si="3"/>
        <v>0</v>
      </c>
      <c r="S24">
        <f t="shared" si="4"/>
        <v>0</v>
      </c>
      <c r="T24">
        <f t="shared" si="11"/>
        <v>0</v>
      </c>
      <c r="U24">
        <f t="shared" si="12"/>
        <v>0</v>
      </c>
      <c r="V24">
        <f t="shared" si="13"/>
        <v>1</v>
      </c>
      <c r="W24">
        <f t="shared" si="14"/>
        <v>0</v>
      </c>
      <c r="X24" t="s">
        <v>40</v>
      </c>
      <c r="Y24" t="s">
        <v>46</v>
      </c>
      <c r="Z24" t="s">
        <v>41</v>
      </c>
      <c r="AA24" t="s">
        <v>42</v>
      </c>
      <c r="AB24">
        <v>1</v>
      </c>
      <c r="AC24">
        <v>2</v>
      </c>
      <c r="AD24">
        <v>0</v>
      </c>
      <c r="AE24" t="s">
        <v>44</v>
      </c>
      <c r="AF24" t="s">
        <v>44</v>
      </c>
      <c r="AG24">
        <f t="shared" si="15"/>
        <v>0</v>
      </c>
      <c r="AH24" t="s">
        <v>44</v>
      </c>
      <c r="AI24">
        <f t="shared" si="16"/>
        <v>0</v>
      </c>
      <c r="AJ24" t="s">
        <v>43</v>
      </c>
      <c r="AK24">
        <f t="shared" si="17"/>
        <v>1</v>
      </c>
      <c r="AL24">
        <f t="shared" si="18"/>
        <v>0</v>
      </c>
      <c r="AM24">
        <v>2</v>
      </c>
      <c r="AN24">
        <f t="shared" si="19"/>
        <v>0</v>
      </c>
      <c r="AO24">
        <f t="shared" si="20"/>
        <v>0</v>
      </c>
      <c r="AP24">
        <f t="shared" si="21"/>
        <v>0</v>
      </c>
      <c r="AQ24">
        <v>15</v>
      </c>
      <c r="AR24">
        <v>15</v>
      </c>
      <c r="AS24">
        <v>16</v>
      </c>
    </row>
    <row r="25" spans="1:49" x14ac:dyDescent="0.2">
      <c r="A25" t="s">
        <v>34</v>
      </c>
      <c r="B25" t="s">
        <v>51</v>
      </c>
      <c r="C25">
        <v>16</v>
      </c>
      <c r="D25" t="s">
        <v>36</v>
      </c>
      <c r="E25" t="s">
        <v>48</v>
      </c>
      <c r="F25" t="s">
        <v>45</v>
      </c>
      <c r="G25">
        <f t="shared" si="5"/>
        <v>1</v>
      </c>
      <c r="H25">
        <v>2</v>
      </c>
      <c r="I25">
        <f t="shared" si="6"/>
        <v>0</v>
      </c>
      <c r="J25">
        <f t="shared" si="7"/>
        <v>0</v>
      </c>
      <c r="K25">
        <f t="shared" si="8"/>
        <v>1</v>
      </c>
      <c r="L25">
        <f t="shared" si="9"/>
        <v>0</v>
      </c>
      <c r="M25">
        <f t="shared" si="10"/>
        <v>0</v>
      </c>
      <c r="N25">
        <v>2</v>
      </c>
      <c r="O25">
        <f t="shared" si="0"/>
        <v>0</v>
      </c>
      <c r="P25">
        <f t="shared" si="1"/>
        <v>0</v>
      </c>
      <c r="Q25">
        <f t="shared" si="2"/>
        <v>1</v>
      </c>
      <c r="R25">
        <f t="shared" si="3"/>
        <v>0</v>
      </c>
      <c r="S25">
        <f t="shared" si="4"/>
        <v>0</v>
      </c>
      <c r="T25">
        <f t="shared" si="11"/>
        <v>0</v>
      </c>
      <c r="U25">
        <f t="shared" si="12"/>
        <v>0</v>
      </c>
      <c r="V25">
        <f t="shared" si="13"/>
        <v>0</v>
      </c>
      <c r="W25">
        <f t="shared" si="14"/>
        <v>0</v>
      </c>
      <c r="X25" t="s">
        <v>46</v>
      </c>
      <c r="Y25" t="s">
        <v>46</v>
      </c>
      <c r="Z25" t="s">
        <v>52</v>
      </c>
      <c r="AA25" t="s">
        <v>42</v>
      </c>
      <c r="AB25">
        <v>2</v>
      </c>
      <c r="AC25">
        <v>2</v>
      </c>
      <c r="AD25">
        <v>0</v>
      </c>
      <c r="AE25" t="s">
        <v>44</v>
      </c>
      <c r="AF25" t="s">
        <v>43</v>
      </c>
      <c r="AG25">
        <f t="shared" si="15"/>
        <v>1</v>
      </c>
      <c r="AH25" t="s">
        <v>44</v>
      </c>
      <c r="AI25">
        <f t="shared" si="16"/>
        <v>0</v>
      </c>
      <c r="AJ25" t="s">
        <v>43</v>
      </c>
      <c r="AK25">
        <f t="shared" si="17"/>
        <v>1</v>
      </c>
      <c r="AL25">
        <f t="shared" si="18"/>
        <v>0</v>
      </c>
      <c r="AM25">
        <v>0</v>
      </c>
      <c r="AN25">
        <f t="shared" si="19"/>
        <v>0</v>
      </c>
      <c r="AO25">
        <f t="shared" si="20"/>
        <v>0</v>
      </c>
      <c r="AP25">
        <f t="shared" si="21"/>
        <v>0</v>
      </c>
      <c r="AQ25">
        <v>13</v>
      </c>
      <c r="AR25">
        <v>13</v>
      </c>
      <c r="AS25">
        <v>12</v>
      </c>
    </row>
    <row r="26" spans="1:49" x14ac:dyDescent="0.2">
      <c r="A26" t="s">
        <v>34</v>
      </c>
      <c r="B26" t="s">
        <v>35</v>
      </c>
      <c r="C26">
        <v>15</v>
      </c>
      <c r="D26" t="s">
        <v>53</v>
      </c>
      <c r="E26" t="s">
        <v>37</v>
      </c>
      <c r="F26" t="s">
        <v>45</v>
      </c>
      <c r="G26">
        <f t="shared" si="5"/>
        <v>1</v>
      </c>
      <c r="H26">
        <v>2</v>
      </c>
      <c r="I26">
        <f t="shared" si="6"/>
        <v>0</v>
      </c>
      <c r="J26">
        <f t="shared" si="7"/>
        <v>0</v>
      </c>
      <c r="K26">
        <f t="shared" si="8"/>
        <v>1</v>
      </c>
      <c r="L26">
        <f t="shared" si="9"/>
        <v>0</v>
      </c>
      <c r="M26">
        <f t="shared" si="10"/>
        <v>0</v>
      </c>
      <c r="N26">
        <v>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1</v>
      </c>
      <c r="T26">
        <f t="shared" si="11"/>
        <v>0</v>
      </c>
      <c r="U26">
        <f t="shared" si="12"/>
        <v>0</v>
      </c>
      <c r="V26">
        <f t="shared" si="13"/>
        <v>0</v>
      </c>
      <c r="W26">
        <f t="shared" si="14"/>
        <v>0</v>
      </c>
      <c r="X26" t="s">
        <v>49</v>
      </c>
      <c r="Y26" t="s">
        <v>29</v>
      </c>
      <c r="Z26" t="s">
        <v>41</v>
      </c>
      <c r="AA26" t="s">
        <v>42</v>
      </c>
      <c r="AB26">
        <v>1</v>
      </c>
      <c r="AC26">
        <v>3</v>
      </c>
      <c r="AD26">
        <v>0</v>
      </c>
      <c r="AE26" t="s">
        <v>43</v>
      </c>
      <c r="AF26" t="s">
        <v>43</v>
      </c>
      <c r="AG26">
        <f t="shared" si="15"/>
        <v>1</v>
      </c>
      <c r="AH26" t="s">
        <v>43</v>
      </c>
      <c r="AI26">
        <f t="shared" si="16"/>
        <v>1</v>
      </c>
      <c r="AJ26" t="s">
        <v>43</v>
      </c>
      <c r="AK26">
        <f t="shared" si="17"/>
        <v>1</v>
      </c>
      <c r="AL26">
        <f t="shared" si="18"/>
        <v>1</v>
      </c>
      <c r="AM26">
        <v>2</v>
      </c>
      <c r="AN26">
        <f t="shared" si="19"/>
        <v>0</v>
      </c>
      <c r="AO26">
        <f t="shared" si="20"/>
        <v>0</v>
      </c>
      <c r="AP26">
        <f t="shared" si="21"/>
        <v>0</v>
      </c>
      <c r="AQ26">
        <v>10</v>
      </c>
      <c r="AR26">
        <v>9</v>
      </c>
      <c r="AS26">
        <v>8</v>
      </c>
    </row>
    <row r="27" spans="1:49" x14ac:dyDescent="0.2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f t="shared" si="5"/>
        <v>1</v>
      </c>
      <c r="H27">
        <v>2</v>
      </c>
      <c r="I27">
        <f t="shared" si="6"/>
        <v>0</v>
      </c>
      <c r="J27">
        <f t="shared" si="7"/>
        <v>0</v>
      </c>
      <c r="K27">
        <f t="shared" si="8"/>
        <v>1</v>
      </c>
      <c r="L27">
        <f t="shared" si="9"/>
        <v>0</v>
      </c>
      <c r="M27">
        <f t="shared" si="10"/>
        <v>0</v>
      </c>
      <c r="N27">
        <v>2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0</v>
      </c>
      <c r="T27">
        <f t="shared" si="11"/>
        <v>0</v>
      </c>
      <c r="U27">
        <f t="shared" si="12"/>
        <v>0</v>
      </c>
      <c r="V27">
        <f t="shared" si="13"/>
        <v>0</v>
      </c>
      <c r="W27">
        <f t="shared" si="14"/>
        <v>0</v>
      </c>
      <c r="X27" t="s">
        <v>49</v>
      </c>
      <c r="Y27" t="s">
        <v>49</v>
      </c>
      <c r="Z27" t="s">
        <v>50</v>
      </c>
      <c r="AA27" t="s">
        <v>42</v>
      </c>
      <c r="AB27">
        <v>1</v>
      </c>
      <c r="AC27">
        <v>1</v>
      </c>
      <c r="AD27">
        <v>2</v>
      </c>
      <c r="AE27" t="s">
        <v>44</v>
      </c>
      <c r="AF27" t="s">
        <v>43</v>
      </c>
      <c r="AG27">
        <f t="shared" si="15"/>
        <v>1</v>
      </c>
      <c r="AH27" t="s">
        <v>43</v>
      </c>
      <c r="AI27">
        <f t="shared" si="16"/>
        <v>1</v>
      </c>
      <c r="AJ27" t="s">
        <v>43</v>
      </c>
      <c r="AK27">
        <f t="shared" si="17"/>
        <v>1</v>
      </c>
      <c r="AL27">
        <f t="shared" si="18"/>
        <v>1</v>
      </c>
      <c r="AM27">
        <v>14</v>
      </c>
      <c r="AN27">
        <f t="shared" si="19"/>
        <v>0</v>
      </c>
      <c r="AO27">
        <f t="shared" si="20"/>
        <v>0</v>
      </c>
      <c r="AP27">
        <f t="shared" si="21"/>
        <v>0</v>
      </c>
      <c r="AQ27">
        <v>6</v>
      </c>
      <c r="AR27">
        <v>9</v>
      </c>
      <c r="AS27">
        <v>8</v>
      </c>
    </row>
    <row r="28" spans="1:49" x14ac:dyDescent="0.2">
      <c r="A28" t="s">
        <v>34</v>
      </c>
      <c r="B28" t="s">
        <v>51</v>
      </c>
      <c r="C28">
        <v>15</v>
      </c>
      <c r="D28" t="s">
        <v>36</v>
      </c>
      <c r="E28" t="s">
        <v>37</v>
      </c>
      <c r="F28" t="s">
        <v>45</v>
      </c>
      <c r="G28">
        <f t="shared" si="5"/>
        <v>1</v>
      </c>
      <c r="H28">
        <v>2</v>
      </c>
      <c r="I28">
        <f t="shared" si="6"/>
        <v>0</v>
      </c>
      <c r="J28">
        <f t="shared" si="7"/>
        <v>0</v>
      </c>
      <c r="K28">
        <f t="shared" si="8"/>
        <v>1</v>
      </c>
      <c r="L28">
        <f t="shared" si="9"/>
        <v>0</v>
      </c>
      <c r="M28">
        <f t="shared" si="10"/>
        <v>0</v>
      </c>
      <c r="N28">
        <v>2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0</v>
      </c>
      <c r="T28">
        <f t="shared" si="11"/>
        <v>0</v>
      </c>
      <c r="U28">
        <f t="shared" si="12"/>
        <v>0</v>
      </c>
      <c r="V28">
        <f t="shared" si="13"/>
        <v>0</v>
      </c>
      <c r="W28">
        <f t="shared" si="14"/>
        <v>0</v>
      </c>
      <c r="X28" t="s">
        <v>46</v>
      </c>
      <c r="Y28" t="s">
        <v>46</v>
      </c>
      <c r="Z28" t="s">
        <v>50</v>
      </c>
      <c r="AA28" t="s">
        <v>42</v>
      </c>
      <c r="AB28">
        <v>1</v>
      </c>
      <c r="AC28">
        <v>1</v>
      </c>
      <c r="AD28">
        <v>0</v>
      </c>
      <c r="AE28" t="s">
        <v>44</v>
      </c>
      <c r="AF28" t="s">
        <v>43</v>
      </c>
      <c r="AG28">
        <f t="shared" si="15"/>
        <v>1</v>
      </c>
      <c r="AH28" t="s">
        <v>43</v>
      </c>
      <c r="AI28">
        <f t="shared" si="16"/>
        <v>1</v>
      </c>
      <c r="AJ28" t="s">
        <v>43</v>
      </c>
      <c r="AK28">
        <f t="shared" si="17"/>
        <v>1</v>
      </c>
      <c r="AL28">
        <f t="shared" si="18"/>
        <v>1</v>
      </c>
      <c r="AM28">
        <v>2</v>
      </c>
      <c r="AN28">
        <f t="shared" si="19"/>
        <v>0</v>
      </c>
      <c r="AO28">
        <f t="shared" si="20"/>
        <v>0</v>
      </c>
      <c r="AP28">
        <f t="shared" si="21"/>
        <v>0</v>
      </c>
      <c r="AQ28">
        <v>12</v>
      </c>
      <c r="AR28">
        <v>12</v>
      </c>
      <c r="AS28">
        <v>11</v>
      </c>
    </row>
    <row r="29" spans="1:49" x14ac:dyDescent="0.2">
      <c r="A29" t="s">
        <v>34</v>
      </c>
      <c r="B29" t="s">
        <v>51</v>
      </c>
      <c r="C29">
        <v>15</v>
      </c>
      <c r="D29" t="s">
        <v>36</v>
      </c>
      <c r="E29" t="s">
        <v>37</v>
      </c>
      <c r="F29" t="s">
        <v>45</v>
      </c>
      <c r="G29">
        <f t="shared" si="5"/>
        <v>1</v>
      </c>
      <c r="H29">
        <v>4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1</v>
      </c>
      <c r="N29">
        <v>2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0</v>
      </c>
      <c r="T29">
        <f t="shared" si="11"/>
        <v>0</v>
      </c>
      <c r="U29">
        <f t="shared" si="12"/>
        <v>0</v>
      </c>
      <c r="V29">
        <f t="shared" si="13"/>
        <v>1</v>
      </c>
      <c r="W29">
        <f t="shared" si="14"/>
        <v>0</v>
      </c>
      <c r="X29" t="s">
        <v>29</v>
      </c>
      <c r="Y29" t="s">
        <v>49</v>
      </c>
      <c r="Z29" t="s">
        <v>46</v>
      </c>
      <c r="AA29" t="s">
        <v>42</v>
      </c>
      <c r="AB29">
        <v>1</v>
      </c>
      <c r="AC29">
        <v>1</v>
      </c>
      <c r="AD29">
        <v>0</v>
      </c>
      <c r="AE29" t="s">
        <v>44</v>
      </c>
      <c r="AF29" t="s">
        <v>44</v>
      </c>
      <c r="AG29">
        <f t="shared" si="15"/>
        <v>0</v>
      </c>
      <c r="AH29" t="s">
        <v>43</v>
      </c>
      <c r="AI29">
        <f t="shared" si="16"/>
        <v>1</v>
      </c>
      <c r="AJ29" t="s">
        <v>43</v>
      </c>
      <c r="AK29">
        <f t="shared" si="17"/>
        <v>1</v>
      </c>
      <c r="AL29">
        <f t="shared" si="18"/>
        <v>1</v>
      </c>
      <c r="AM29">
        <v>4</v>
      </c>
      <c r="AN29">
        <f t="shared" si="19"/>
        <v>0</v>
      </c>
      <c r="AO29">
        <f t="shared" si="20"/>
        <v>1</v>
      </c>
      <c r="AP29">
        <f t="shared" si="21"/>
        <v>0</v>
      </c>
      <c r="AQ29">
        <v>15</v>
      </c>
      <c r="AR29">
        <v>16</v>
      </c>
      <c r="AS29">
        <v>15</v>
      </c>
    </row>
    <row r="30" spans="1:49" x14ac:dyDescent="0.2">
      <c r="A30" t="s">
        <v>34</v>
      </c>
      <c r="B30" t="s">
        <v>51</v>
      </c>
      <c r="C30">
        <v>16</v>
      </c>
      <c r="D30" t="s">
        <v>36</v>
      </c>
      <c r="E30" t="s">
        <v>48</v>
      </c>
      <c r="F30" t="s">
        <v>38</v>
      </c>
      <c r="G30">
        <f t="shared" si="5"/>
        <v>0</v>
      </c>
      <c r="H30">
        <v>3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1</v>
      </c>
      <c r="M30">
        <f t="shared" si="10"/>
        <v>0</v>
      </c>
      <c r="N30">
        <v>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1</v>
      </c>
      <c r="T30">
        <f t="shared" si="11"/>
        <v>0</v>
      </c>
      <c r="U30">
        <f t="shared" si="12"/>
        <v>0</v>
      </c>
      <c r="V30">
        <f t="shared" si="13"/>
        <v>0</v>
      </c>
      <c r="W30">
        <f t="shared" si="14"/>
        <v>1</v>
      </c>
      <c r="X30" t="s">
        <v>49</v>
      </c>
      <c r="Y30" t="s">
        <v>46</v>
      </c>
      <c r="Z30" t="s">
        <v>50</v>
      </c>
      <c r="AA30" t="s">
        <v>42</v>
      </c>
      <c r="AB30">
        <v>1</v>
      </c>
      <c r="AC30">
        <v>2</v>
      </c>
      <c r="AD30">
        <v>0</v>
      </c>
      <c r="AE30" t="s">
        <v>43</v>
      </c>
      <c r="AF30" t="s">
        <v>43</v>
      </c>
      <c r="AG30">
        <f t="shared" si="15"/>
        <v>1</v>
      </c>
      <c r="AH30" t="s">
        <v>44</v>
      </c>
      <c r="AI30">
        <f t="shared" si="16"/>
        <v>0</v>
      </c>
      <c r="AJ30" t="s">
        <v>43</v>
      </c>
      <c r="AK30">
        <f t="shared" si="17"/>
        <v>1</v>
      </c>
      <c r="AL30">
        <f t="shared" si="18"/>
        <v>0</v>
      </c>
      <c r="AM30">
        <v>4</v>
      </c>
      <c r="AN30">
        <f t="shared" si="19"/>
        <v>0</v>
      </c>
      <c r="AO30">
        <f t="shared" si="20"/>
        <v>0</v>
      </c>
      <c r="AP30">
        <f t="shared" si="21"/>
        <v>0</v>
      </c>
      <c r="AQ30">
        <v>11</v>
      </c>
      <c r="AR30">
        <v>11</v>
      </c>
      <c r="AS30">
        <v>11</v>
      </c>
    </row>
    <row r="31" spans="1:49" x14ac:dyDescent="0.2">
      <c r="A31" t="s">
        <v>34</v>
      </c>
      <c r="B31" t="s">
        <v>51</v>
      </c>
      <c r="C31">
        <v>16</v>
      </c>
      <c r="D31" t="s">
        <v>36</v>
      </c>
      <c r="E31" t="s">
        <v>37</v>
      </c>
      <c r="F31" t="s">
        <v>45</v>
      </c>
      <c r="G31">
        <f t="shared" si="5"/>
        <v>1</v>
      </c>
      <c r="H31">
        <v>4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1</v>
      </c>
      <c r="N31">
        <v>4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1</v>
      </c>
      <c r="T31">
        <f t="shared" si="11"/>
        <v>1</v>
      </c>
      <c r="U31">
        <f t="shared" si="12"/>
        <v>0</v>
      </c>
      <c r="V31">
        <f t="shared" si="13"/>
        <v>0</v>
      </c>
      <c r="W31">
        <f t="shared" si="14"/>
        <v>0</v>
      </c>
      <c r="X31" t="s">
        <v>40</v>
      </c>
      <c r="Y31" t="s">
        <v>40</v>
      </c>
      <c r="Z31" t="s">
        <v>50</v>
      </c>
      <c r="AA31" t="s">
        <v>42</v>
      </c>
      <c r="AB31">
        <v>1</v>
      </c>
      <c r="AC31">
        <v>2</v>
      </c>
      <c r="AD31">
        <v>0</v>
      </c>
      <c r="AE31" t="s">
        <v>44</v>
      </c>
      <c r="AF31" t="s">
        <v>43</v>
      </c>
      <c r="AG31">
        <f t="shared" si="15"/>
        <v>1</v>
      </c>
      <c r="AH31" t="s">
        <v>43</v>
      </c>
      <c r="AI31">
        <f t="shared" si="16"/>
        <v>1</v>
      </c>
      <c r="AJ31" t="s">
        <v>43</v>
      </c>
      <c r="AK31">
        <f t="shared" si="17"/>
        <v>1</v>
      </c>
      <c r="AL31">
        <f t="shared" si="18"/>
        <v>1</v>
      </c>
      <c r="AM31">
        <v>16</v>
      </c>
      <c r="AN31">
        <f t="shared" si="19"/>
        <v>0</v>
      </c>
      <c r="AO31">
        <f t="shared" si="20"/>
        <v>1</v>
      </c>
      <c r="AP31">
        <f t="shared" si="21"/>
        <v>0</v>
      </c>
      <c r="AQ31">
        <v>10</v>
      </c>
      <c r="AR31">
        <v>12</v>
      </c>
      <c r="AS31">
        <v>11</v>
      </c>
    </row>
    <row r="32" spans="1:49" x14ac:dyDescent="0.2">
      <c r="A32" t="s">
        <v>34</v>
      </c>
      <c r="B32" t="s">
        <v>51</v>
      </c>
      <c r="C32">
        <v>15</v>
      </c>
      <c r="D32" t="s">
        <v>36</v>
      </c>
      <c r="E32" t="s">
        <v>37</v>
      </c>
      <c r="F32" t="s">
        <v>45</v>
      </c>
      <c r="G32">
        <f t="shared" si="5"/>
        <v>1</v>
      </c>
      <c r="H32">
        <v>4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1</v>
      </c>
      <c r="N32">
        <v>4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1</v>
      </c>
      <c r="T32">
        <f t="shared" si="11"/>
        <v>1</v>
      </c>
      <c r="U32">
        <f t="shared" si="12"/>
        <v>0</v>
      </c>
      <c r="V32">
        <f t="shared" si="13"/>
        <v>0</v>
      </c>
      <c r="W32">
        <f t="shared" si="14"/>
        <v>0</v>
      </c>
      <c r="X32" t="s">
        <v>29</v>
      </c>
      <c r="Y32" t="s">
        <v>49</v>
      </c>
      <c r="Z32" t="s">
        <v>50</v>
      </c>
      <c r="AA32" t="s">
        <v>42</v>
      </c>
      <c r="AB32">
        <v>1</v>
      </c>
      <c r="AC32">
        <v>2</v>
      </c>
      <c r="AD32">
        <v>0</v>
      </c>
      <c r="AE32" t="s">
        <v>44</v>
      </c>
      <c r="AF32" t="s">
        <v>43</v>
      </c>
      <c r="AG32">
        <f t="shared" si="15"/>
        <v>1</v>
      </c>
      <c r="AH32" t="s">
        <v>43</v>
      </c>
      <c r="AI32">
        <f t="shared" si="16"/>
        <v>1</v>
      </c>
      <c r="AJ32" t="s">
        <v>43</v>
      </c>
      <c r="AK32">
        <f t="shared" si="17"/>
        <v>1</v>
      </c>
      <c r="AL32">
        <f t="shared" si="18"/>
        <v>1</v>
      </c>
      <c r="AM32">
        <v>0</v>
      </c>
      <c r="AN32">
        <f t="shared" si="19"/>
        <v>0</v>
      </c>
      <c r="AO32">
        <f t="shared" si="20"/>
        <v>1</v>
      </c>
      <c r="AP32">
        <f t="shared" si="21"/>
        <v>0</v>
      </c>
      <c r="AQ32">
        <v>9</v>
      </c>
      <c r="AR32">
        <v>11</v>
      </c>
      <c r="AS32">
        <v>12</v>
      </c>
    </row>
    <row r="33" spans="1:45" x14ac:dyDescent="0.2">
      <c r="A33" t="s">
        <v>34</v>
      </c>
      <c r="B33" t="s">
        <v>51</v>
      </c>
      <c r="C33">
        <v>15</v>
      </c>
      <c r="D33" t="s">
        <v>36</v>
      </c>
      <c r="E33" t="s">
        <v>37</v>
      </c>
      <c r="F33" t="s">
        <v>45</v>
      </c>
      <c r="G33">
        <f t="shared" si="5"/>
        <v>1</v>
      </c>
      <c r="H33">
        <v>4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1</v>
      </c>
      <c r="N33">
        <v>4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1</v>
      </c>
      <c r="T33">
        <f t="shared" si="11"/>
        <v>1</v>
      </c>
      <c r="U33">
        <f t="shared" si="12"/>
        <v>0</v>
      </c>
      <c r="V33">
        <f t="shared" si="13"/>
        <v>0</v>
      </c>
      <c r="W33">
        <f t="shared" si="14"/>
        <v>0</v>
      </c>
      <c r="X33" t="s">
        <v>49</v>
      </c>
      <c r="Y33" t="s">
        <v>49</v>
      </c>
      <c r="Z33" t="s">
        <v>52</v>
      </c>
      <c r="AA33" t="s">
        <v>42</v>
      </c>
      <c r="AB33">
        <v>2</v>
      </c>
      <c r="AC33">
        <v>2</v>
      </c>
      <c r="AD33">
        <v>0</v>
      </c>
      <c r="AE33" t="s">
        <v>44</v>
      </c>
      <c r="AF33" t="s">
        <v>43</v>
      </c>
      <c r="AG33">
        <f t="shared" si="15"/>
        <v>1</v>
      </c>
      <c r="AH33" t="s">
        <v>44</v>
      </c>
      <c r="AI33">
        <f t="shared" si="16"/>
        <v>0</v>
      </c>
      <c r="AJ33" t="s">
        <v>43</v>
      </c>
      <c r="AK33">
        <f t="shared" si="17"/>
        <v>1</v>
      </c>
      <c r="AL33">
        <f t="shared" si="18"/>
        <v>0</v>
      </c>
      <c r="AM33">
        <v>0</v>
      </c>
      <c r="AN33">
        <f t="shared" si="19"/>
        <v>0</v>
      </c>
      <c r="AO33">
        <f t="shared" si="20"/>
        <v>0</v>
      </c>
      <c r="AP33">
        <f t="shared" si="21"/>
        <v>0</v>
      </c>
      <c r="AQ33">
        <v>17</v>
      </c>
      <c r="AR33">
        <v>16</v>
      </c>
      <c r="AS33">
        <v>17</v>
      </c>
    </row>
    <row r="34" spans="1:45" x14ac:dyDescent="0.2">
      <c r="A34" t="s">
        <v>34</v>
      </c>
      <c r="B34" t="s">
        <v>51</v>
      </c>
      <c r="C34">
        <v>15</v>
      </c>
      <c r="D34" t="s">
        <v>53</v>
      </c>
      <c r="E34" t="s">
        <v>37</v>
      </c>
      <c r="F34" t="s">
        <v>45</v>
      </c>
      <c r="G34">
        <f t="shared" si="5"/>
        <v>1</v>
      </c>
      <c r="H34">
        <v>4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1</v>
      </c>
      <c r="N34">
        <v>3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11"/>
        <v>0</v>
      </c>
      <c r="U34">
        <f t="shared" si="12"/>
        <v>1</v>
      </c>
      <c r="V34">
        <f t="shared" si="13"/>
        <v>0</v>
      </c>
      <c r="W34">
        <f t="shared" si="14"/>
        <v>0</v>
      </c>
      <c r="X34" t="s">
        <v>40</v>
      </c>
      <c r="Y34" t="s">
        <v>39</v>
      </c>
      <c r="Z34" t="s">
        <v>41</v>
      </c>
      <c r="AA34" t="s">
        <v>42</v>
      </c>
      <c r="AB34">
        <v>1</v>
      </c>
      <c r="AC34">
        <v>2</v>
      </c>
      <c r="AD34">
        <v>0</v>
      </c>
      <c r="AE34" t="s">
        <v>44</v>
      </c>
      <c r="AF34" t="s">
        <v>43</v>
      </c>
      <c r="AG34">
        <f t="shared" si="15"/>
        <v>1</v>
      </c>
      <c r="AH34" t="s">
        <v>44</v>
      </c>
      <c r="AI34">
        <f t="shared" si="16"/>
        <v>0</v>
      </c>
      <c r="AJ34" t="s">
        <v>43</v>
      </c>
      <c r="AK34">
        <f t="shared" si="17"/>
        <v>1</v>
      </c>
      <c r="AL34">
        <f t="shared" si="18"/>
        <v>0</v>
      </c>
      <c r="AM34">
        <v>0</v>
      </c>
      <c r="AN34">
        <f t="shared" si="19"/>
        <v>0</v>
      </c>
      <c r="AO34">
        <f t="shared" si="20"/>
        <v>0</v>
      </c>
      <c r="AP34">
        <f t="shared" si="21"/>
        <v>0</v>
      </c>
      <c r="AQ34">
        <v>17</v>
      </c>
      <c r="AR34">
        <v>16</v>
      </c>
      <c r="AS34">
        <v>16</v>
      </c>
    </row>
    <row r="35" spans="1:45" x14ac:dyDescent="0.2">
      <c r="A35" t="s">
        <v>34</v>
      </c>
      <c r="B35" t="s">
        <v>51</v>
      </c>
      <c r="C35">
        <v>15</v>
      </c>
      <c r="D35" t="s">
        <v>36</v>
      </c>
      <c r="E35" t="s">
        <v>48</v>
      </c>
      <c r="F35" t="s">
        <v>45</v>
      </c>
      <c r="G35">
        <f t="shared" si="5"/>
        <v>1</v>
      </c>
      <c r="H35">
        <v>3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1</v>
      </c>
      <c r="M35">
        <f t="shared" si="10"/>
        <v>0</v>
      </c>
      <c r="N35">
        <v>3</v>
      </c>
      <c r="O35">
        <f t="shared" si="0"/>
        <v>0</v>
      </c>
      <c r="P35">
        <f t="shared" si="1"/>
        <v>0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11"/>
        <v>0</v>
      </c>
      <c r="U35">
        <f t="shared" si="12"/>
        <v>0</v>
      </c>
      <c r="V35">
        <f t="shared" si="13"/>
        <v>0</v>
      </c>
      <c r="W35">
        <f t="shared" si="14"/>
        <v>0</v>
      </c>
      <c r="X35" t="s">
        <v>46</v>
      </c>
      <c r="Y35" t="s">
        <v>46</v>
      </c>
      <c r="Z35" t="s">
        <v>41</v>
      </c>
      <c r="AA35" t="s">
        <v>42</v>
      </c>
      <c r="AB35">
        <v>1</v>
      </c>
      <c r="AC35">
        <v>2</v>
      </c>
      <c r="AD35">
        <v>0</v>
      </c>
      <c r="AE35" t="s">
        <v>44</v>
      </c>
      <c r="AF35" t="s">
        <v>44</v>
      </c>
      <c r="AG35">
        <f t="shared" si="15"/>
        <v>0</v>
      </c>
      <c r="AH35" t="s">
        <v>44</v>
      </c>
      <c r="AI35">
        <f t="shared" si="16"/>
        <v>0</v>
      </c>
      <c r="AJ35" t="s">
        <v>43</v>
      </c>
      <c r="AK35">
        <f t="shared" si="17"/>
        <v>1</v>
      </c>
      <c r="AL35">
        <f t="shared" si="18"/>
        <v>0</v>
      </c>
      <c r="AM35">
        <v>0</v>
      </c>
      <c r="AN35">
        <f t="shared" si="19"/>
        <v>0</v>
      </c>
      <c r="AO35">
        <f t="shared" si="20"/>
        <v>0</v>
      </c>
      <c r="AP35">
        <f t="shared" si="21"/>
        <v>0</v>
      </c>
      <c r="AQ35">
        <v>8</v>
      </c>
      <c r="AR35">
        <v>10</v>
      </c>
      <c r="AS35">
        <v>12</v>
      </c>
    </row>
    <row r="36" spans="1:45" x14ac:dyDescent="0.2">
      <c r="A36" t="s">
        <v>34</v>
      </c>
      <c r="B36" t="s">
        <v>51</v>
      </c>
      <c r="C36">
        <v>16</v>
      </c>
      <c r="D36" t="s">
        <v>36</v>
      </c>
      <c r="E36" t="s">
        <v>37</v>
      </c>
      <c r="F36" t="s">
        <v>45</v>
      </c>
      <c r="G36">
        <f t="shared" si="5"/>
        <v>1</v>
      </c>
      <c r="H36">
        <v>3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1</v>
      </c>
      <c r="M36">
        <f t="shared" si="10"/>
        <v>0</v>
      </c>
      <c r="N36">
        <v>2</v>
      </c>
      <c r="O36">
        <f t="shared" si="0"/>
        <v>0</v>
      </c>
      <c r="P36">
        <f t="shared" si="1"/>
        <v>0</v>
      </c>
      <c r="Q36">
        <f t="shared" si="2"/>
        <v>1</v>
      </c>
      <c r="R36">
        <f t="shared" si="3"/>
        <v>0</v>
      </c>
      <c r="S36">
        <f t="shared" si="4"/>
        <v>0</v>
      </c>
      <c r="T36">
        <f t="shared" si="11"/>
        <v>0</v>
      </c>
      <c r="U36">
        <f t="shared" si="12"/>
        <v>0</v>
      </c>
      <c r="V36">
        <f t="shared" si="13"/>
        <v>0</v>
      </c>
      <c r="W36">
        <f t="shared" si="14"/>
        <v>0</v>
      </c>
      <c r="X36" t="s">
        <v>46</v>
      </c>
      <c r="Y36" t="s">
        <v>46</v>
      </c>
      <c r="Z36" t="s">
        <v>50</v>
      </c>
      <c r="AA36" t="s">
        <v>42</v>
      </c>
      <c r="AB36">
        <v>1</v>
      </c>
      <c r="AC36">
        <v>1</v>
      </c>
      <c r="AD36">
        <v>0</v>
      </c>
      <c r="AE36" t="s">
        <v>44</v>
      </c>
      <c r="AF36" t="s">
        <v>43</v>
      </c>
      <c r="AG36">
        <f t="shared" si="15"/>
        <v>1</v>
      </c>
      <c r="AH36" t="s">
        <v>43</v>
      </c>
      <c r="AI36">
        <f t="shared" si="16"/>
        <v>1</v>
      </c>
      <c r="AJ36" t="s">
        <v>43</v>
      </c>
      <c r="AK36">
        <f t="shared" si="17"/>
        <v>1</v>
      </c>
      <c r="AL36">
        <f t="shared" si="18"/>
        <v>1</v>
      </c>
      <c r="AM36">
        <v>0</v>
      </c>
      <c r="AN36">
        <f t="shared" si="19"/>
        <v>0</v>
      </c>
      <c r="AO36">
        <f t="shared" si="20"/>
        <v>0</v>
      </c>
      <c r="AP36">
        <f t="shared" si="21"/>
        <v>1</v>
      </c>
      <c r="AQ36">
        <v>12</v>
      </c>
      <c r="AR36">
        <v>14</v>
      </c>
      <c r="AS36">
        <v>15</v>
      </c>
    </row>
    <row r="37" spans="1:45" x14ac:dyDescent="0.2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f t="shared" si="5"/>
        <v>1</v>
      </c>
      <c r="H37">
        <v>2</v>
      </c>
      <c r="I37">
        <f t="shared" si="6"/>
        <v>0</v>
      </c>
      <c r="J37">
        <f t="shared" si="7"/>
        <v>0</v>
      </c>
      <c r="K37">
        <f t="shared" si="8"/>
        <v>1</v>
      </c>
      <c r="L37">
        <f t="shared" si="9"/>
        <v>0</v>
      </c>
      <c r="M37">
        <f t="shared" si="10"/>
        <v>0</v>
      </c>
      <c r="N37">
        <v>3</v>
      </c>
      <c r="O37">
        <f t="shared" si="0"/>
        <v>0</v>
      </c>
      <c r="P37">
        <f t="shared" si="1"/>
        <v>0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11"/>
        <v>0</v>
      </c>
      <c r="U37">
        <f t="shared" si="12"/>
        <v>0</v>
      </c>
      <c r="V37">
        <f t="shared" si="13"/>
        <v>0</v>
      </c>
      <c r="W37">
        <f t="shared" si="14"/>
        <v>0</v>
      </c>
      <c r="X37" t="s">
        <v>46</v>
      </c>
      <c r="Y37" t="s">
        <v>46</v>
      </c>
      <c r="Z37" t="s">
        <v>46</v>
      </c>
      <c r="AA37" t="s">
        <v>47</v>
      </c>
      <c r="AB37">
        <v>2</v>
      </c>
      <c r="AC37">
        <v>1</v>
      </c>
      <c r="AD37">
        <v>0</v>
      </c>
      <c r="AE37" t="s">
        <v>44</v>
      </c>
      <c r="AF37" t="s">
        <v>43</v>
      </c>
      <c r="AG37">
        <f t="shared" si="15"/>
        <v>1</v>
      </c>
      <c r="AH37" t="s">
        <v>44</v>
      </c>
      <c r="AI37">
        <f t="shared" si="16"/>
        <v>0</v>
      </c>
      <c r="AJ37" t="s">
        <v>44</v>
      </c>
      <c r="AK37">
        <f t="shared" si="17"/>
        <v>0</v>
      </c>
      <c r="AL37">
        <f t="shared" si="18"/>
        <v>0</v>
      </c>
      <c r="AM37">
        <v>0</v>
      </c>
      <c r="AN37">
        <f t="shared" si="19"/>
        <v>0</v>
      </c>
      <c r="AO37">
        <f t="shared" si="20"/>
        <v>0</v>
      </c>
      <c r="AP37">
        <f t="shared" si="21"/>
        <v>0</v>
      </c>
      <c r="AQ37">
        <v>8</v>
      </c>
      <c r="AR37">
        <v>7</v>
      </c>
      <c r="AS37">
        <v>6</v>
      </c>
    </row>
    <row r="38" spans="1:45" x14ac:dyDescent="0.2">
      <c r="A38" t="s">
        <v>34</v>
      </c>
      <c r="B38" t="s">
        <v>51</v>
      </c>
      <c r="C38">
        <v>15</v>
      </c>
      <c r="D38" t="s">
        <v>36</v>
      </c>
      <c r="E38" t="s">
        <v>48</v>
      </c>
      <c r="F38" t="s">
        <v>45</v>
      </c>
      <c r="G38">
        <f t="shared" si="5"/>
        <v>1</v>
      </c>
      <c r="H38">
        <v>4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1</v>
      </c>
      <c r="N38">
        <v>3</v>
      </c>
      <c r="O38">
        <f t="shared" si="0"/>
        <v>0</v>
      </c>
      <c r="P38">
        <f t="shared" si="1"/>
        <v>0</v>
      </c>
      <c r="Q38">
        <f t="shared" si="2"/>
        <v>0</v>
      </c>
      <c r="R38">
        <f t="shared" si="3"/>
        <v>1</v>
      </c>
      <c r="S38">
        <f t="shared" si="4"/>
        <v>0</v>
      </c>
      <c r="T38">
        <f t="shared" si="11"/>
        <v>0</v>
      </c>
      <c r="U38">
        <f t="shared" si="12"/>
        <v>1</v>
      </c>
      <c r="V38">
        <f t="shared" si="13"/>
        <v>0</v>
      </c>
      <c r="W38">
        <f t="shared" si="14"/>
        <v>0</v>
      </c>
      <c r="X38" t="s">
        <v>40</v>
      </c>
      <c r="Y38" t="s">
        <v>49</v>
      </c>
      <c r="Z38" t="s">
        <v>50</v>
      </c>
      <c r="AA38" t="s">
        <v>42</v>
      </c>
      <c r="AB38">
        <v>1</v>
      </c>
      <c r="AC38">
        <v>3</v>
      </c>
      <c r="AD38">
        <v>0</v>
      </c>
      <c r="AE38" t="s">
        <v>44</v>
      </c>
      <c r="AF38" t="s">
        <v>43</v>
      </c>
      <c r="AG38">
        <f t="shared" si="15"/>
        <v>1</v>
      </c>
      <c r="AH38" t="s">
        <v>44</v>
      </c>
      <c r="AI38">
        <f t="shared" si="16"/>
        <v>0</v>
      </c>
      <c r="AJ38" t="s">
        <v>43</v>
      </c>
      <c r="AK38">
        <f t="shared" si="17"/>
        <v>1</v>
      </c>
      <c r="AL38">
        <f t="shared" si="18"/>
        <v>0</v>
      </c>
      <c r="AM38">
        <v>2</v>
      </c>
      <c r="AN38">
        <f t="shared" si="19"/>
        <v>0</v>
      </c>
      <c r="AO38">
        <f t="shared" si="20"/>
        <v>0</v>
      </c>
      <c r="AP38">
        <f t="shared" si="21"/>
        <v>0</v>
      </c>
      <c r="AQ38">
        <v>15</v>
      </c>
      <c r="AR38">
        <v>16</v>
      </c>
      <c r="AS38">
        <v>18</v>
      </c>
    </row>
    <row r="39" spans="1:45" x14ac:dyDescent="0.2">
      <c r="A39" t="s">
        <v>34</v>
      </c>
      <c r="B39" t="s">
        <v>51</v>
      </c>
      <c r="C39">
        <v>16</v>
      </c>
      <c r="D39" t="s">
        <v>53</v>
      </c>
      <c r="E39" t="s">
        <v>37</v>
      </c>
      <c r="F39" t="s">
        <v>38</v>
      </c>
      <c r="G39">
        <f t="shared" si="5"/>
        <v>0</v>
      </c>
      <c r="H39">
        <v>4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1</v>
      </c>
      <c r="N39">
        <v>4</v>
      </c>
      <c r="O39">
        <f t="shared" si="0"/>
        <v>0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11"/>
        <v>1</v>
      </c>
      <c r="U39">
        <f t="shared" si="12"/>
        <v>0</v>
      </c>
      <c r="V39">
        <f t="shared" si="13"/>
        <v>0</v>
      </c>
      <c r="W39">
        <f t="shared" si="14"/>
        <v>0</v>
      </c>
      <c r="X39" t="s">
        <v>46</v>
      </c>
      <c r="Y39" t="s">
        <v>40</v>
      </c>
      <c r="Z39" t="s">
        <v>52</v>
      </c>
      <c r="AA39" t="s">
        <v>42</v>
      </c>
      <c r="AB39">
        <v>2</v>
      </c>
      <c r="AC39">
        <v>3</v>
      </c>
      <c r="AD39">
        <v>0</v>
      </c>
      <c r="AE39" t="s">
        <v>44</v>
      </c>
      <c r="AF39" t="s">
        <v>43</v>
      </c>
      <c r="AG39">
        <f t="shared" si="15"/>
        <v>1</v>
      </c>
      <c r="AH39" t="s">
        <v>44</v>
      </c>
      <c r="AI39">
        <f t="shared" si="16"/>
        <v>0</v>
      </c>
      <c r="AJ39" t="s">
        <v>43</v>
      </c>
      <c r="AK39">
        <f t="shared" si="17"/>
        <v>1</v>
      </c>
      <c r="AL39">
        <f t="shared" si="18"/>
        <v>0</v>
      </c>
      <c r="AM39">
        <v>7</v>
      </c>
      <c r="AN39">
        <f t="shared" si="19"/>
        <v>1</v>
      </c>
      <c r="AO39">
        <f t="shared" si="20"/>
        <v>0</v>
      </c>
      <c r="AP39">
        <f t="shared" si="21"/>
        <v>0</v>
      </c>
      <c r="AQ39">
        <v>15</v>
      </c>
      <c r="AR39">
        <v>16</v>
      </c>
      <c r="AS39">
        <v>15</v>
      </c>
    </row>
    <row r="40" spans="1:45" x14ac:dyDescent="0.2">
      <c r="A40" t="s">
        <v>34</v>
      </c>
      <c r="B40" t="s">
        <v>35</v>
      </c>
      <c r="C40">
        <v>15</v>
      </c>
      <c r="D40" t="s">
        <v>53</v>
      </c>
      <c r="E40" t="s">
        <v>37</v>
      </c>
      <c r="F40" t="s">
        <v>45</v>
      </c>
      <c r="G40">
        <f t="shared" si="5"/>
        <v>1</v>
      </c>
      <c r="H40">
        <v>3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1</v>
      </c>
      <c r="M40">
        <f t="shared" si="10"/>
        <v>0</v>
      </c>
      <c r="N40">
        <v>4</v>
      </c>
      <c r="O40">
        <f t="shared" si="0"/>
        <v>0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11"/>
        <v>0</v>
      </c>
      <c r="U40">
        <f t="shared" si="12"/>
        <v>0</v>
      </c>
      <c r="V40">
        <f t="shared" si="13"/>
        <v>0</v>
      </c>
      <c r="W40">
        <f t="shared" si="14"/>
        <v>1</v>
      </c>
      <c r="X40" t="s">
        <v>49</v>
      </c>
      <c r="Y40" t="s">
        <v>29</v>
      </c>
      <c r="Z40" t="s">
        <v>41</v>
      </c>
      <c r="AA40" t="s">
        <v>42</v>
      </c>
      <c r="AB40">
        <v>1</v>
      </c>
      <c r="AC40">
        <v>3</v>
      </c>
      <c r="AD40">
        <v>0</v>
      </c>
      <c r="AE40" t="s">
        <v>43</v>
      </c>
      <c r="AF40" t="s">
        <v>43</v>
      </c>
      <c r="AG40">
        <f t="shared" si="15"/>
        <v>1</v>
      </c>
      <c r="AH40" t="s">
        <v>43</v>
      </c>
      <c r="AI40">
        <f t="shared" si="16"/>
        <v>1</v>
      </c>
      <c r="AJ40" t="s">
        <v>43</v>
      </c>
      <c r="AK40">
        <f t="shared" si="17"/>
        <v>1</v>
      </c>
      <c r="AL40">
        <f t="shared" si="18"/>
        <v>1</v>
      </c>
      <c r="AM40">
        <v>2</v>
      </c>
      <c r="AN40">
        <f t="shared" si="19"/>
        <v>0</v>
      </c>
      <c r="AO40">
        <f t="shared" si="20"/>
        <v>0</v>
      </c>
      <c r="AP40">
        <f t="shared" si="21"/>
        <v>1</v>
      </c>
      <c r="AQ40">
        <v>12</v>
      </c>
      <c r="AR40">
        <v>12</v>
      </c>
      <c r="AS40">
        <v>11</v>
      </c>
    </row>
    <row r="41" spans="1:45" x14ac:dyDescent="0.2">
      <c r="A41" t="s">
        <v>34</v>
      </c>
      <c r="B41" t="s">
        <v>35</v>
      </c>
      <c r="C41">
        <v>15</v>
      </c>
      <c r="D41" t="s">
        <v>53</v>
      </c>
      <c r="E41" t="s">
        <v>37</v>
      </c>
      <c r="F41" t="s">
        <v>45</v>
      </c>
      <c r="G41">
        <f t="shared" si="5"/>
        <v>1</v>
      </c>
      <c r="H41">
        <v>2</v>
      </c>
      <c r="I41">
        <f t="shared" si="6"/>
        <v>0</v>
      </c>
      <c r="J41">
        <f t="shared" si="7"/>
        <v>0</v>
      </c>
      <c r="K41">
        <f t="shared" si="8"/>
        <v>1</v>
      </c>
      <c r="L41">
        <f t="shared" si="9"/>
        <v>0</v>
      </c>
      <c r="M41">
        <f t="shared" si="10"/>
        <v>0</v>
      </c>
      <c r="N41">
        <v>2</v>
      </c>
      <c r="O41">
        <f t="shared" si="0"/>
        <v>0</v>
      </c>
      <c r="P41">
        <f t="shared" si="1"/>
        <v>0</v>
      </c>
      <c r="Q41">
        <f t="shared" si="2"/>
        <v>1</v>
      </c>
      <c r="R41">
        <f t="shared" si="3"/>
        <v>0</v>
      </c>
      <c r="S41">
        <f t="shared" si="4"/>
        <v>0</v>
      </c>
      <c r="T41">
        <f t="shared" si="11"/>
        <v>0</v>
      </c>
      <c r="U41">
        <f t="shared" si="12"/>
        <v>0</v>
      </c>
      <c r="V41">
        <f t="shared" si="13"/>
        <v>0</v>
      </c>
      <c r="W41">
        <f t="shared" si="14"/>
        <v>0</v>
      </c>
      <c r="X41" t="s">
        <v>39</v>
      </c>
      <c r="Y41" t="s">
        <v>46</v>
      </c>
      <c r="Z41" t="s">
        <v>52</v>
      </c>
      <c r="AA41" t="s">
        <v>42</v>
      </c>
      <c r="AB41">
        <v>1</v>
      </c>
      <c r="AC41">
        <v>1</v>
      </c>
      <c r="AD41">
        <v>0</v>
      </c>
      <c r="AE41" t="s">
        <v>43</v>
      </c>
      <c r="AF41" t="s">
        <v>43</v>
      </c>
      <c r="AG41">
        <f t="shared" si="15"/>
        <v>1</v>
      </c>
      <c r="AH41" t="s">
        <v>43</v>
      </c>
      <c r="AI41">
        <f t="shared" si="16"/>
        <v>1</v>
      </c>
      <c r="AJ41" t="s">
        <v>44</v>
      </c>
      <c r="AK41">
        <f t="shared" si="17"/>
        <v>0</v>
      </c>
      <c r="AL41">
        <f t="shared" si="18"/>
        <v>0</v>
      </c>
      <c r="AM41">
        <v>8</v>
      </c>
      <c r="AN41">
        <f t="shared" si="19"/>
        <v>0</v>
      </c>
      <c r="AO41">
        <f t="shared" si="20"/>
        <v>0</v>
      </c>
      <c r="AP41">
        <f t="shared" si="21"/>
        <v>0</v>
      </c>
      <c r="AQ41">
        <v>14</v>
      </c>
      <c r="AR41">
        <v>13</v>
      </c>
      <c r="AS41">
        <v>13</v>
      </c>
    </row>
    <row r="42" spans="1:45" x14ac:dyDescent="0.2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f t="shared" si="5"/>
        <v>1</v>
      </c>
      <c r="H42">
        <v>2</v>
      </c>
      <c r="I42">
        <f t="shared" si="6"/>
        <v>0</v>
      </c>
      <c r="J42">
        <f t="shared" si="7"/>
        <v>0</v>
      </c>
      <c r="K42">
        <f t="shared" si="8"/>
        <v>1</v>
      </c>
      <c r="L42">
        <f t="shared" si="9"/>
        <v>0</v>
      </c>
      <c r="M42">
        <f t="shared" si="10"/>
        <v>0</v>
      </c>
      <c r="N42">
        <v>2</v>
      </c>
      <c r="O42">
        <f t="shared" si="0"/>
        <v>0</v>
      </c>
      <c r="P42">
        <f t="shared" si="1"/>
        <v>0</v>
      </c>
      <c r="Q42">
        <f t="shared" si="2"/>
        <v>1</v>
      </c>
      <c r="R42">
        <f t="shared" si="3"/>
        <v>0</v>
      </c>
      <c r="S42">
        <f t="shared" si="4"/>
        <v>0</v>
      </c>
      <c r="T42">
        <f t="shared" si="11"/>
        <v>0</v>
      </c>
      <c r="U42">
        <f t="shared" si="12"/>
        <v>0</v>
      </c>
      <c r="V42">
        <f t="shared" si="13"/>
        <v>0</v>
      </c>
      <c r="W42">
        <f t="shared" si="14"/>
        <v>0</v>
      </c>
      <c r="X42" t="s">
        <v>46</v>
      </c>
      <c r="Y42" t="s">
        <v>46</v>
      </c>
      <c r="Z42" t="s">
        <v>50</v>
      </c>
      <c r="AA42" t="s">
        <v>42</v>
      </c>
      <c r="AB42">
        <v>2</v>
      </c>
      <c r="AC42">
        <v>2</v>
      </c>
      <c r="AD42">
        <v>1</v>
      </c>
      <c r="AE42" t="s">
        <v>44</v>
      </c>
      <c r="AF42" t="s">
        <v>43</v>
      </c>
      <c r="AG42">
        <f t="shared" si="15"/>
        <v>1</v>
      </c>
      <c r="AH42" t="s">
        <v>44</v>
      </c>
      <c r="AI42">
        <f t="shared" si="16"/>
        <v>0</v>
      </c>
      <c r="AJ42" t="s">
        <v>43</v>
      </c>
      <c r="AK42">
        <f t="shared" si="17"/>
        <v>1</v>
      </c>
      <c r="AL42">
        <f t="shared" si="18"/>
        <v>0</v>
      </c>
      <c r="AM42">
        <v>25</v>
      </c>
      <c r="AN42">
        <f t="shared" si="19"/>
        <v>0</v>
      </c>
      <c r="AO42">
        <f t="shared" si="20"/>
        <v>0</v>
      </c>
      <c r="AP42">
        <f t="shared" si="21"/>
        <v>0</v>
      </c>
      <c r="AQ42">
        <v>7</v>
      </c>
      <c r="AR42">
        <v>10</v>
      </c>
      <c r="AS42">
        <v>11</v>
      </c>
    </row>
    <row r="43" spans="1:45" x14ac:dyDescent="0.2">
      <c r="A43" t="s">
        <v>34</v>
      </c>
      <c r="B43" t="s">
        <v>51</v>
      </c>
      <c r="C43">
        <v>15</v>
      </c>
      <c r="D43" t="s">
        <v>36</v>
      </c>
      <c r="E43" t="s">
        <v>48</v>
      </c>
      <c r="F43" t="s">
        <v>45</v>
      </c>
      <c r="G43">
        <f t="shared" si="5"/>
        <v>1</v>
      </c>
      <c r="H43">
        <v>4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1</v>
      </c>
      <c r="N43">
        <v>4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1</v>
      </c>
      <c r="T43">
        <f t="shared" si="11"/>
        <v>1</v>
      </c>
      <c r="U43">
        <f t="shared" si="12"/>
        <v>0</v>
      </c>
      <c r="V43">
        <f t="shared" si="13"/>
        <v>0</v>
      </c>
      <c r="W43">
        <f t="shared" si="14"/>
        <v>0</v>
      </c>
      <c r="X43" t="s">
        <v>40</v>
      </c>
      <c r="Y43" t="s">
        <v>46</v>
      </c>
      <c r="Z43" t="s">
        <v>50</v>
      </c>
      <c r="AA43" t="s">
        <v>46</v>
      </c>
      <c r="AB43">
        <v>1</v>
      </c>
      <c r="AC43">
        <v>1</v>
      </c>
      <c r="AD43">
        <v>0</v>
      </c>
      <c r="AE43" t="s">
        <v>44</v>
      </c>
      <c r="AF43" t="s">
        <v>43</v>
      </c>
      <c r="AG43">
        <f t="shared" si="15"/>
        <v>1</v>
      </c>
      <c r="AH43" t="s">
        <v>44</v>
      </c>
      <c r="AI43">
        <f t="shared" si="16"/>
        <v>0</v>
      </c>
      <c r="AJ43" t="s">
        <v>43</v>
      </c>
      <c r="AK43">
        <f t="shared" si="17"/>
        <v>1</v>
      </c>
      <c r="AL43">
        <f t="shared" si="18"/>
        <v>0</v>
      </c>
      <c r="AM43">
        <v>8</v>
      </c>
      <c r="AN43">
        <f t="shared" si="19"/>
        <v>0</v>
      </c>
      <c r="AO43">
        <f t="shared" si="20"/>
        <v>0</v>
      </c>
      <c r="AP43">
        <f t="shared" si="21"/>
        <v>0</v>
      </c>
      <c r="AQ43">
        <v>12</v>
      </c>
      <c r="AR43">
        <v>12</v>
      </c>
      <c r="AS43">
        <v>12</v>
      </c>
    </row>
    <row r="44" spans="1:45" x14ac:dyDescent="0.2">
      <c r="A44" t="s">
        <v>34</v>
      </c>
      <c r="B44" t="s">
        <v>51</v>
      </c>
      <c r="C44">
        <v>15</v>
      </c>
      <c r="D44" t="s">
        <v>36</v>
      </c>
      <c r="E44" t="s">
        <v>37</v>
      </c>
      <c r="F44" t="s">
        <v>45</v>
      </c>
      <c r="G44">
        <f t="shared" si="5"/>
        <v>1</v>
      </c>
      <c r="H44">
        <v>4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1</v>
      </c>
      <c r="N44">
        <v>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1</v>
      </c>
      <c r="T44">
        <f t="shared" si="11"/>
        <v>1</v>
      </c>
      <c r="U44">
        <f t="shared" si="12"/>
        <v>0</v>
      </c>
      <c r="V44">
        <f t="shared" si="13"/>
        <v>0</v>
      </c>
      <c r="W44">
        <f t="shared" si="14"/>
        <v>0</v>
      </c>
      <c r="X44" t="s">
        <v>49</v>
      </c>
      <c r="Y44" t="s">
        <v>40</v>
      </c>
      <c r="Z44" t="s">
        <v>41</v>
      </c>
      <c r="AA44" t="s">
        <v>47</v>
      </c>
      <c r="AB44">
        <v>1</v>
      </c>
      <c r="AC44">
        <v>2</v>
      </c>
      <c r="AD44">
        <v>0</v>
      </c>
      <c r="AE44" t="s">
        <v>44</v>
      </c>
      <c r="AF44" t="s">
        <v>43</v>
      </c>
      <c r="AG44">
        <f t="shared" si="15"/>
        <v>1</v>
      </c>
      <c r="AH44" t="s">
        <v>44</v>
      </c>
      <c r="AI44">
        <f t="shared" si="16"/>
        <v>0</v>
      </c>
      <c r="AJ44" t="s">
        <v>43</v>
      </c>
      <c r="AK44">
        <f t="shared" si="17"/>
        <v>1</v>
      </c>
      <c r="AL44">
        <f t="shared" si="18"/>
        <v>0</v>
      </c>
      <c r="AM44">
        <v>2</v>
      </c>
      <c r="AN44">
        <f t="shared" si="19"/>
        <v>0</v>
      </c>
      <c r="AO44">
        <f t="shared" si="20"/>
        <v>0</v>
      </c>
      <c r="AP44">
        <f t="shared" si="21"/>
        <v>0</v>
      </c>
      <c r="AQ44">
        <v>19</v>
      </c>
      <c r="AR44">
        <v>18</v>
      </c>
      <c r="AS44">
        <v>18</v>
      </c>
    </row>
    <row r="45" spans="1:45" x14ac:dyDescent="0.2">
      <c r="A45" t="s">
        <v>34</v>
      </c>
      <c r="B45" t="s">
        <v>51</v>
      </c>
      <c r="C45">
        <v>15</v>
      </c>
      <c r="D45" t="s">
        <v>36</v>
      </c>
      <c r="E45" t="s">
        <v>37</v>
      </c>
      <c r="F45" t="s">
        <v>45</v>
      </c>
      <c r="G45">
        <f t="shared" si="5"/>
        <v>1</v>
      </c>
      <c r="H45">
        <v>2</v>
      </c>
      <c r="I45">
        <f t="shared" si="6"/>
        <v>0</v>
      </c>
      <c r="J45">
        <f t="shared" si="7"/>
        <v>0</v>
      </c>
      <c r="K45">
        <f t="shared" si="8"/>
        <v>1</v>
      </c>
      <c r="L45">
        <f t="shared" si="9"/>
        <v>0</v>
      </c>
      <c r="M45">
        <f t="shared" si="10"/>
        <v>0</v>
      </c>
      <c r="N45">
        <v>2</v>
      </c>
      <c r="O45">
        <f t="shared" si="0"/>
        <v>0</v>
      </c>
      <c r="P45">
        <f t="shared" si="1"/>
        <v>0</v>
      </c>
      <c r="Q45">
        <f t="shared" si="2"/>
        <v>1</v>
      </c>
      <c r="R45">
        <f t="shared" si="3"/>
        <v>0</v>
      </c>
      <c r="S45">
        <f t="shared" si="4"/>
        <v>0</v>
      </c>
      <c r="T45">
        <f t="shared" si="11"/>
        <v>0</v>
      </c>
      <c r="U45">
        <f t="shared" si="12"/>
        <v>0</v>
      </c>
      <c r="V45">
        <f t="shared" si="13"/>
        <v>0</v>
      </c>
      <c r="W45">
        <f t="shared" si="14"/>
        <v>0</v>
      </c>
      <c r="X45" t="s">
        <v>49</v>
      </c>
      <c r="Y45" t="s">
        <v>49</v>
      </c>
      <c r="Z45" t="s">
        <v>41</v>
      </c>
      <c r="AA45" t="s">
        <v>47</v>
      </c>
      <c r="AB45">
        <v>1</v>
      </c>
      <c r="AC45">
        <v>1</v>
      </c>
      <c r="AD45">
        <v>0</v>
      </c>
      <c r="AE45" t="s">
        <v>43</v>
      </c>
      <c r="AF45" t="s">
        <v>43</v>
      </c>
      <c r="AG45">
        <f t="shared" si="15"/>
        <v>1</v>
      </c>
      <c r="AH45" t="s">
        <v>44</v>
      </c>
      <c r="AI45">
        <f t="shared" si="16"/>
        <v>0</v>
      </c>
      <c r="AJ45" t="s">
        <v>43</v>
      </c>
      <c r="AK45">
        <f t="shared" si="17"/>
        <v>1</v>
      </c>
      <c r="AL45">
        <f t="shared" si="18"/>
        <v>0</v>
      </c>
      <c r="AM45">
        <v>0</v>
      </c>
      <c r="AN45">
        <f t="shared" si="19"/>
        <v>0</v>
      </c>
      <c r="AO45">
        <f t="shared" si="20"/>
        <v>0</v>
      </c>
      <c r="AP45">
        <f t="shared" si="21"/>
        <v>0</v>
      </c>
      <c r="AQ45">
        <v>8</v>
      </c>
      <c r="AR45">
        <v>8</v>
      </c>
      <c r="AS45">
        <v>11</v>
      </c>
    </row>
    <row r="46" spans="1:45" x14ac:dyDescent="0.2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f t="shared" si="5"/>
        <v>1</v>
      </c>
      <c r="H46">
        <v>2</v>
      </c>
      <c r="I46">
        <f t="shared" si="6"/>
        <v>0</v>
      </c>
      <c r="J46">
        <f t="shared" si="7"/>
        <v>0</v>
      </c>
      <c r="K46">
        <f t="shared" si="8"/>
        <v>1</v>
      </c>
      <c r="L46">
        <f t="shared" si="9"/>
        <v>0</v>
      </c>
      <c r="M46">
        <f t="shared" si="10"/>
        <v>0</v>
      </c>
      <c r="N46">
        <v>2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11"/>
        <v>0</v>
      </c>
      <c r="U46">
        <f t="shared" si="12"/>
        <v>0</v>
      </c>
      <c r="V46">
        <f t="shared" si="13"/>
        <v>0</v>
      </c>
      <c r="W46">
        <f t="shared" si="14"/>
        <v>0</v>
      </c>
      <c r="X46" t="s">
        <v>46</v>
      </c>
      <c r="Y46" t="s">
        <v>39</v>
      </c>
      <c r="Z46" t="s">
        <v>41</v>
      </c>
      <c r="AA46" t="s">
        <v>47</v>
      </c>
      <c r="AB46">
        <v>2</v>
      </c>
      <c r="AC46">
        <v>2</v>
      </c>
      <c r="AD46">
        <v>1</v>
      </c>
      <c r="AE46" t="s">
        <v>43</v>
      </c>
      <c r="AF46" t="s">
        <v>44</v>
      </c>
      <c r="AG46">
        <f t="shared" si="15"/>
        <v>0</v>
      </c>
      <c r="AH46" t="s">
        <v>44</v>
      </c>
      <c r="AI46">
        <f t="shared" si="16"/>
        <v>0</v>
      </c>
      <c r="AJ46" t="s">
        <v>43</v>
      </c>
      <c r="AK46">
        <f t="shared" si="17"/>
        <v>1</v>
      </c>
      <c r="AL46">
        <f t="shared" si="18"/>
        <v>0</v>
      </c>
      <c r="AM46">
        <v>14</v>
      </c>
      <c r="AN46">
        <f t="shared" si="19"/>
        <v>0</v>
      </c>
      <c r="AO46">
        <f t="shared" si="20"/>
        <v>0</v>
      </c>
      <c r="AP46">
        <f t="shared" si="21"/>
        <v>0</v>
      </c>
      <c r="AQ46">
        <v>10</v>
      </c>
      <c r="AR46">
        <v>10</v>
      </c>
      <c r="AS46">
        <v>9</v>
      </c>
    </row>
    <row r="47" spans="1:45" x14ac:dyDescent="0.2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f t="shared" si="5"/>
        <v>0</v>
      </c>
      <c r="H47">
        <v>4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1</v>
      </c>
      <c r="N47">
        <v>3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11"/>
        <v>0</v>
      </c>
      <c r="U47">
        <f t="shared" si="12"/>
        <v>1</v>
      </c>
      <c r="V47">
        <f t="shared" si="13"/>
        <v>0</v>
      </c>
      <c r="W47">
        <f t="shared" si="14"/>
        <v>0</v>
      </c>
      <c r="X47" t="s">
        <v>46</v>
      </c>
      <c r="Y47" t="s">
        <v>46</v>
      </c>
      <c r="Z47" t="s">
        <v>41</v>
      </c>
      <c r="AA47" t="s">
        <v>42</v>
      </c>
      <c r="AB47">
        <v>1</v>
      </c>
      <c r="AC47">
        <v>2</v>
      </c>
      <c r="AD47">
        <v>0</v>
      </c>
      <c r="AE47" t="s">
        <v>43</v>
      </c>
      <c r="AF47" t="s">
        <v>43</v>
      </c>
      <c r="AG47">
        <f t="shared" si="15"/>
        <v>1</v>
      </c>
      <c r="AH47" t="s">
        <v>43</v>
      </c>
      <c r="AI47">
        <f t="shared" si="16"/>
        <v>1</v>
      </c>
      <c r="AJ47" t="s">
        <v>43</v>
      </c>
      <c r="AK47">
        <f t="shared" si="17"/>
        <v>1</v>
      </c>
      <c r="AL47">
        <f t="shared" si="18"/>
        <v>1</v>
      </c>
      <c r="AM47">
        <v>8</v>
      </c>
      <c r="AN47">
        <f t="shared" si="19"/>
        <v>1</v>
      </c>
      <c r="AO47">
        <f t="shared" si="20"/>
        <v>1</v>
      </c>
      <c r="AP47">
        <f t="shared" si="21"/>
        <v>0</v>
      </c>
      <c r="AQ47">
        <v>8</v>
      </c>
      <c r="AR47">
        <v>8</v>
      </c>
      <c r="AS47">
        <v>6</v>
      </c>
    </row>
    <row r="48" spans="1:45" x14ac:dyDescent="0.2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f t="shared" si="5"/>
        <v>0</v>
      </c>
      <c r="H48">
        <v>3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1</v>
      </c>
      <c r="M48">
        <f t="shared" si="10"/>
        <v>0</v>
      </c>
      <c r="N48">
        <v>3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11"/>
        <v>0</v>
      </c>
      <c r="U48">
        <f t="shared" si="12"/>
        <v>0</v>
      </c>
      <c r="V48">
        <f t="shared" si="13"/>
        <v>0</v>
      </c>
      <c r="W48">
        <f t="shared" si="14"/>
        <v>0</v>
      </c>
      <c r="X48" t="s">
        <v>46</v>
      </c>
      <c r="Y48" t="s">
        <v>49</v>
      </c>
      <c r="Z48" t="s">
        <v>50</v>
      </c>
      <c r="AA48" t="s">
        <v>42</v>
      </c>
      <c r="AB48">
        <v>1</v>
      </c>
      <c r="AC48">
        <v>2</v>
      </c>
      <c r="AD48">
        <v>0</v>
      </c>
      <c r="AE48" t="s">
        <v>44</v>
      </c>
      <c r="AF48" t="s">
        <v>43</v>
      </c>
      <c r="AG48">
        <f t="shared" si="15"/>
        <v>1</v>
      </c>
      <c r="AH48" t="s">
        <v>44</v>
      </c>
      <c r="AI48">
        <f t="shared" si="16"/>
        <v>0</v>
      </c>
      <c r="AJ48" t="s">
        <v>43</v>
      </c>
      <c r="AK48">
        <f t="shared" si="17"/>
        <v>1</v>
      </c>
      <c r="AL48">
        <f t="shared" si="18"/>
        <v>0</v>
      </c>
      <c r="AM48">
        <v>12</v>
      </c>
      <c r="AN48">
        <f t="shared" si="19"/>
        <v>0</v>
      </c>
      <c r="AO48">
        <f t="shared" si="20"/>
        <v>0</v>
      </c>
      <c r="AP48">
        <f t="shared" si="21"/>
        <v>0</v>
      </c>
      <c r="AQ48">
        <v>11</v>
      </c>
      <c r="AR48">
        <v>12</v>
      </c>
      <c r="AS48">
        <v>11</v>
      </c>
    </row>
    <row r="49" spans="1:45" x14ac:dyDescent="0.2">
      <c r="A49" t="s">
        <v>34</v>
      </c>
      <c r="B49" t="s">
        <v>51</v>
      </c>
      <c r="C49">
        <v>16</v>
      </c>
      <c r="D49" t="s">
        <v>36</v>
      </c>
      <c r="E49" t="s">
        <v>37</v>
      </c>
      <c r="F49" t="s">
        <v>45</v>
      </c>
      <c r="G49">
        <f t="shared" si="5"/>
        <v>1</v>
      </c>
      <c r="H49">
        <v>4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1</v>
      </c>
      <c r="N49">
        <v>3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11"/>
        <v>0</v>
      </c>
      <c r="U49">
        <f t="shared" si="12"/>
        <v>1</v>
      </c>
      <c r="V49">
        <f t="shared" si="13"/>
        <v>0</v>
      </c>
      <c r="W49">
        <f t="shared" si="14"/>
        <v>0</v>
      </c>
      <c r="X49" t="s">
        <v>29</v>
      </c>
      <c r="Y49" t="s">
        <v>49</v>
      </c>
      <c r="Z49" t="s">
        <v>52</v>
      </c>
      <c r="AA49" t="s">
        <v>42</v>
      </c>
      <c r="AB49">
        <v>1</v>
      </c>
      <c r="AC49">
        <v>4</v>
      </c>
      <c r="AD49">
        <v>0</v>
      </c>
      <c r="AE49" t="s">
        <v>44</v>
      </c>
      <c r="AF49" t="s">
        <v>44</v>
      </c>
      <c r="AG49">
        <f t="shared" si="15"/>
        <v>0</v>
      </c>
      <c r="AH49" t="s">
        <v>44</v>
      </c>
      <c r="AI49">
        <f t="shared" si="16"/>
        <v>0</v>
      </c>
      <c r="AJ49" t="s">
        <v>43</v>
      </c>
      <c r="AK49">
        <f t="shared" si="17"/>
        <v>1</v>
      </c>
      <c r="AL49">
        <f t="shared" si="18"/>
        <v>0</v>
      </c>
      <c r="AM49">
        <v>4</v>
      </c>
      <c r="AN49">
        <f t="shared" si="19"/>
        <v>0</v>
      </c>
      <c r="AO49">
        <f t="shared" si="20"/>
        <v>0</v>
      </c>
      <c r="AP49">
        <f t="shared" si="21"/>
        <v>0</v>
      </c>
      <c r="AQ49">
        <v>19</v>
      </c>
      <c r="AR49">
        <v>19</v>
      </c>
      <c r="AS49">
        <v>20</v>
      </c>
    </row>
    <row r="50" spans="1:45" x14ac:dyDescent="0.2">
      <c r="A50" t="s">
        <v>34</v>
      </c>
      <c r="B50" t="s">
        <v>51</v>
      </c>
      <c r="C50">
        <v>15</v>
      </c>
      <c r="D50" t="s">
        <v>36</v>
      </c>
      <c r="E50" t="s">
        <v>37</v>
      </c>
      <c r="F50" t="s">
        <v>45</v>
      </c>
      <c r="G50">
        <f t="shared" si="5"/>
        <v>1</v>
      </c>
      <c r="H50">
        <v>4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1</v>
      </c>
      <c r="N50">
        <v>2</v>
      </c>
      <c r="O50">
        <f t="shared" si="0"/>
        <v>0</v>
      </c>
      <c r="P50">
        <f t="shared" si="1"/>
        <v>0</v>
      </c>
      <c r="Q50">
        <f t="shared" si="2"/>
        <v>1</v>
      </c>
      <c r="R50">
        <f t="shared" si="3"/>
        <v>0</v>
      </c>
      <c r="S50">
        <f t="shared" si="4"/>
        <v>0</v>
      </c>
      <c r="T50">
        <f t="shared" si="11"/>
        <v>0</v>
      </c>
      <c r="U50">
        <f t="shared" si="12"/>
        <v>0</v>
      </c>
      <c r="V50">
        <f t="shared" si="13"/>
        <v>1</v>
      </c>
      <c r="W50">
        <f t="shared" si="14"/>
        <v>0</v>
      </c>
      <c r="X50" t="s">
        <v>40</v>
      </c>
      <c r="Y50" t="s">
        <v>46</v>
      </c>
      <c r="Z50" t="s">
        <v>50</v>
      </c>
      <c r="AA50" t="s">
        <v>42</v>
      </c>
      <c r="AB50">
        <v>1</v>
      </c>
      <c r="AC50">
        <v>2</v>
      </c>
      <c r="AD50">
        <v>0</v>
      </c>
      <c r="AE50" t="s">
        <v>44</v>
      </c>
      <c r="AF50" t="s">
        <v>43</v>
      </c>
      <c r="AG50">
        <f t="shared" si="15"/>
        <v>1</v>
      </c>
      <c r="AH50" t="s">
        <v>43</v>
      </c>
      <c r="AI50">
        <f t="shared" si="16"/>
        <v>1</v>
      </c>
      <c r="AJ50" t="s">
        <v>44</v>
      </c>
      <c r="AK50">
        <f t="shared" si="17"/>
        <v>0</v>
      </c>
      <c r="AL50">
        <f t="shared" si="18"/>
        <v>0</v>
      </c>
      <c r="AM50">
        <v>2</v>
      </c>
      <c r="AN50">
        <f t="shared" si="19"/>
        <v>0</v>
      </c>
      <c r="AO50">
        <f t="shared" si="20"/>
        <v>1</v>
      </c>
      <c r="AP50">
        <f t="shared" si="21"/>
        <v>0</v>
      </c>
      <c r="AQ50">
        <v>15</v>
      </c>
      <c r="AR50">
        <v>15</v>
      </c>
      <c r="AS50">
        <v>14</v>
      </c>
    </row>
    <row r="51" spans="1:45" x14ac:dyDescent="0.2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f t="shared" si="5"/>
        <v>1</v>
      </c>
      <c r="H51">
        <v>4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1</v>
      </c>
      <c r="N51">
        <v>4</v>
      </c>
      <c r="O51">
        <f t="shared" si="0"/>
        <v>0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11"/>
        <v>1</v>
      </c>
      <c r="U51">
        <f t="shared" si="12"/>
        <v>0</v>
      </c>
      <c r="V51">
        <f t="shared" si="13"/>
        <v>0</v>
      </c>
      <c r="W51">
        <f t="shared" si="14"/>
        <v>0</v>
      </c>
      <c r="X51" t="s">
        <v>49</v>
      </c>
      <c r="Y51" t="s">
        <v>40</v>
      </c>
      <c r="Z51" t="s">
        <v>46</v>
      </c>
      <c r="AA51" t="s">
        <v>47</v>
      </c>
      <c r="AB51">
        <v>1</v>
      </c>
      <c r="AC51">
        <v>2</v>
      </c>
      <c r="AD51">
        <v>1</v>
      </c>
      <c r="AE51" t="s">
        <v>43</v>
      </c>
      <c r="AF51" t="s">
        <v>43</v>
      </c>
      <c r="AG51">
        <f t="shared" si="15"/>
        <v>1</v>
      </c>
      <c r="AH51" t="s">
        <v>44</v>
      </c>
      <c r="AI51">
        <f t="shared" si="16"/>
        <v>0</v>
      </c>
      <c r="AJ51" t="s">
        <v>43</v>
      </c>
      <c r="AK51">
        <f t="shared" si="17"/>
        <v>1</v>
      </c>
      <c r="AL51">
        <f t="shared" si="18"/>
        <v>0</v>
      </c>
      <c r="AM51">
        <v>2</v>
      </c>
      <c r="AN51">
        <f t="shared" si="19"/>
        <v>0</v>
      </c>
      <c r="AO51">
        <f t="shared" si="20"/>
        <v>0</v>
      </c>
      <c r="AP51">
        <f t="shared" si="21"/>
        <v>0</v>
      </c>
      <c r="AQ51">
        <v>7</v>
      </c>
      <c r="AR51">
        <v>7</v>
      </c>
      <c r="AS51">
        <v>7</v>
      </c>
    </row>
    <row r="52" spans="1:45" x14ac:dyDescent="0.2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f t="shared" si="5"/>
        <v>1</v>
      </c>
      <c r="H52">
        <v>2</v>
      </c>
      <c r="I52">
        <f t="shared" si="6"/>
        <v>0</v>
      </c>
      <c r="J52">
        <f t="shared" si="7"/>
        <v>0</v>
      </c>
      <c r="K52">
        <f t="shared" si="8"/>
        <v>1</v>
      </c>
      <c r="L52">
        <f t="shared" si="9"/>
        <v>0</v>
      </c>
      <c r="M52">
        <f t="shared" si="10"/>
        <v>0</v>
      </c>
      <c r="N52">
        <v>2</v>
      </c>
      <c r="O52">
        <f t="shared" si="0"/>
        <v>0</v>
      </c>
      <c r="P52">
        <f t="shared" si="1"/>
        <v>0</v>
      </c>
      <c r="Q52">
        <f t="shared" si="2"/>
        <v>1</v>
      </c>
      <c r="R52">
        <f t="shared" si="3"/>
        <v>0</v>
      </c>
      <c r="S52">
        <f t="shared" si="4"/>
        <v>0</v>
      </c>
      <c r="T52">
        <f t="shared" si="11"/>
        <v>0</v>
      </c>
      <c r="U52">
        <f t="shared" si="12"/>
        <v>0</v>
      </c>
      <c r="V52">
        <f t="shared" si="13"/>
        <v>0</v>
      </c>
      <c r="W52">
        <f t="shared" si="14"/>
        <v>0</v>
      </c>
      <c r="X52" t="s">
        <v>49</v>
      </c>
      <c r="Y52" t="s">
        <v>49</v>
      </c>
      <c r="Z52" t="s">
        <v>41</v>
      </c>
      <c r="AA52" t="s">
        <v>42</v>
      </c>
      <c r="AB52">
        <v>3</v>
      </c>
      <c r="AC52">
        <v>2</v>
      </c>
      <c r="AD52">
        <v>0</v>
      </c>
      <c r="AE52" t="s">
        <v>44</v>
      </c>
      <c r="AF52" t="s">
        <v>43</v>
      </c>
      <c r="AG52">
        <f t="shared" si="15"/>
        <v>1</v>
      </c>
      <c r="AH52" t="s">
        <v>43</v>
      </c>
      <c r="AI52">
        <f t="shared" si="16"/>
        <v>1</v>
      </c>
      <c r="AJ52" t="s">
        <v>43</v>
      </c>
      <c r="AK52">
        <f t="shared" si="17"/>
        <v>1</v>
      </c>
      <c r="AL52">
        <f t="shared" si="18"/>
        <v>1</v>
      </c>
      <c r="AM52">
        <v>2</v>
      </c>
      <c r="AN52">
        <f t="shared" si="19"/>
        <v>0</v>
      </c>
      <c r="AO52">
        <f t="shared" si="20"/>
        <v>0</v>
      </c>
      <c r="AP52">
        <f t="shared" si="21"/>
        <v>0</v>
      </c>
      <c r="AQ52">
        <v>12</v>
      </c>
      <c r="AR52">
        <v>13</v>
      </c>
      <c r="AS52">
        <v>13</v>
      </c>
    </row>
    <row r="53" spans="1:45" x14ac:dyDescent="0.2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f t="shared" si="5"/>
        <v>1</v>
      </c>
      <c r="H53">
        <v>4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1</v>
      </c>
      <c r="N53">
        <v>2</v>
      </c>
      <c r="O53">
        <f t="shared" si="0"/>
        <v>0</v>
      </c>
      <c r="P53">
        <f t="shared" si="1"/>
        <v>0</v>
      </c>
      <c r="Q53">
        <f t="shared" si="2"/>
        <v>1</v>
      </c>
      <c r="R53">
        <f t="shared" si="3"/>
        <v>0</v>
      </c>
      <c r="S53">
        <f t="shared" si="4"/>
        <v>0</v>
      </c>
      <c r="T53">
        <f t="shared" si="11"/>
        <v>0</v>
      </c>
      <c r="U53">
        <f t="shared" si="12"/>
        <v>0</v>
      </c>
      <c r="V53">
        <f t="shared" si="13"/>
        <v>1</v>
      </c>
      <c r="W53">
        <f t="shared" si="14"/>
        <v>0</v>
      </c>
      <c r="X53" t="s">
        <v>29</v>
      </c>
      <c r="Y53" t="s">
        <v>46</v>
      </c>
      <c r="Z53" t="s">
        <v>46</v>
      </c>
      <c r="AA53" t="s">
        <v>42</v>
      </c>
      <c r="AB53">
        <v>1</v>
      </c>
      <c r="AC53">
        <v>2</v>
      </c>
      <c r="AD53">
        <v>0</v>
      </c>
      <c r="AE53" t="s">
        <v>44</v>
      </c>
      <c r="AF53" t="s">
        <v>43</v>
      </c>
      <c r="AG53">
        <f t="shared" si="15"/>
        <v>1</v>
      </c>
      <c r="AH53" t="s">
        <v>43</v>
      </c>
      <c r="AI53">
        <f t="shared" si="16"/>
        <v>1</v>
      </c>
      <c r="AJ53" t="s">
        <v>43</v>
      </c>
      <c r="AK53">
        <f t="shared" si="17"/>
        <v>1</v>
      </c>
      <c r="AL53">
        <f t="shared" si="18"/>
        <v>1</v>
      </c>
      <c r="AM53">
        <v>2</v>
      </c>
      <c r="AN53">
        <f t="shared" si="19"/>
        <v>0</v>
      </c>
      <c r="AO53">
        <f t="shared" si="20"/>
        <v>1</v>
      </c>
      <c r="AP53">
        <f t="shared" si="21"/>
        <v>0</v>
      </c>
      <c r="AQ53">
        <v>11</v>
      </c>
      <c r="AR53">
        <v>13</v>
      </c>
      <c r="AS53">
        <v>13</v>
      </c>
    </row>
    <row r="54" spans="1:45" x14ac:dyDescent="0.2">
      <c r="A54" t="s">
        <v>34</v>
      </c>
      <c r="B54" t="s">
        <v>51</v>
      </c>
      <c r="C54">
        <v>15</v>
      </c>
      <c r="D54" t="s">
        <v>36</v>
      </c>
      <c r="E54" t="s">
        <v>48</v>
      </c>
      <c r="F54" t="s">
        <v>38</v>
      </c>
      <c r="G54">
        <f t="shared" si="5"/>
        <v>0</v>
      </c>
      <c r="H54">
        <v>4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1</v>
      </c>
      <c r="N54">
        <v>2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0</v>
      </c>
      <c r="S54">
        <f t="shared" si="4"/>
        <v>0</v>
      </c>
      <c r="T54">
        <f t="shared" si="11"/>
        <v>0</v>
      </c>
      <c r="U54">
        <f t="shared" si="12"/>
        <v>0</v>
      </c>
      <c r="V54">
        <f t="shared" si="13"/>
        <v>1</v>
      </c>
      <c r="W54">
        <f t="shared" si="14"/>
        <v>0</v>
      </c>
      <c r="X54" t="s">
        <v>29</v>
      </c>
      <c r="Y54" t="s">
        <v>29</v>
      </c>
      <c r="Z54" t="s">
        <v>46</v>
      </c>
      <c r="AA54" t="s">
        <v>47</v>
      </c>
      <c r="AB54">
        <v>2</v>
      </c>
      <c r="AC54">
        <v>1</v>
      </c>
      <c r="AD54">
        <v>1</v>
      </c>
      <c r="AE54" t="s">
        <v>44</v>
      </c>
      <c r="AF54" t="s">
        <v>44</v>
      </c>
      <c r="AG54">
        <f t="shared" si="15"/>
        <v>0</v>
      </c>
      <c r="AH54" t="s">
        <v>44</v>
      </c>
      <c r="AI54">
        <f t="shared" si="16"/>
        <v>0</v>
      </c>
      <c r="AJ54" t="s">
        <v>44</v>
      </c>
      <c r="AK54">
        <f t="shared" si="17"/>
        <v>0</v>
      </c>
      <c r="AL54">
        <f t="shared" si="18"/>
        <v>0</v>
      </c>
      <c r="AM54">
        <v>6</v>
      </c>
      <c r="AN54">
        <f t="shared" si="19"/>
        <v>1</v>
      </c>
      <c r="AO54">
        <f t="shared" si="20"/>
        <v>0</v>
      </c>
      <c r="AP54">
        <f t="shared" si="21"/>
        <v>0</v>
      </c>
      <c r="AQ54">
        <v>11</v>
      </c>
      <c r="AR54">
        <v>11</v>
      </c>
      <c r="AS54">
        <v>10</v>
      </c>
    </row>
    <row r="55" spans="1:45" x14ac:dyDescent="0.2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f t="shared" si="5"/>
        <v>1</v>
      </c>
      <c r="H55">
        <v>4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1</v>
      </c>
      <c r="N55">
        <v>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1</v>
      </c>
      <c r="T55">
        <f t="shared" si="11"/>
        <v>1</v>
      </c>
      <c r="U55">
        <f t="shared" si="12"/>
        <v>0</v>
      </c>
      <c r="V55">
        <f t="shared" si="13"/>
        <v>0</v>
      </c>
      <c r="W55">
        <f t="shared" si="14"/>
        <v>0</v>
      </c>
      <c r="X55" t="s">
        <v>49</v>
      </c>
      <c r="Y55" t="s">
        <v>49</v>
      </c>
      <c r="Z55" t="s">
        <v>41</v>
      </c>
      <c r="AA55" t="s">
        <v>42</v>
      </c>
      <c r="AB55">
        <v>1</v>
      </c>
      <c r="AC55">
        <v>1</v>
      </c>
      <c r="AD55">
        <v>0</v>
      </c>
      <c r="AE55" t="s">
        <v>43</v>
      </c>
      <c r="AF55" t="s">
        <v>43</v>
      </c>
      <c r="AG55">
        <f t="shared" si="15"/>
        <v>1</v>
      </c>
      <c r="AH55" t="s">
        <v>43</v>
      </c>
      <c r="AI55">
        <f t="shared" si="16"/>
        <v>1</v>
      </c>
      <c r="AJ55" t="s">
        <v>43</v>
      </c>
      <c r="AK55">
        <f t="shared" si="17"/>
        <v>1</v>
      </c>
      <c r="AL55">
        <f t="shared" si="18"/>
        <v>1</v>
      </c>
      <c r="AM55">
        <v>0</v>
      </c>
      <c r="AN55">
        <f t="shared" si="19"/>
        <v>0</v>
      </c>
      <c r="AO55">
        <f t="shared" si="20"/>
        <v>1</v>
      </c>
      <c r="AP55">
        <f t="shared" si="21"/>
        <v>0</v>
      </c>
      <c r="AQ55">
        <v>8</v>
      </c>
      <c r="AR55">
        <v>10</v>
      </c>
      <c r="AS55">
        <v>11</v>
      </c>
    </row>
    <row r="56" spans="1:45" x14ac:dyDescent="0.2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f t="shared" si="5"/>
        <v>0</v>
      </c>
      <c r="H56">
        <v>3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1</v>
      </c>
      <c r="M56">
        <f t="shared" si="10"/>
        <v>0</v>
      </c>
      <c r="N56">
        <v>3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1</v>
      </c>
      <c r="S56">
        <f t="shared" si="4"/>
        <v>0</v>
      </c>
      <c r="T56">
        <f t="shared" si="11"/>
        <v>0</v>
      </c>
      <c r="U56">
        <f t="shared" si="12"/>
        <v>0</v>
      </c>
      <c r="V56">
        <f t="shared" si="13"/>
        <v>0</v>
      </c>
      <c r="W56">
        <f t="shared" si="14"/>
        <v>0</v>
      </c>
      <c r="X56" t="s">
        <v>46</v>
      </c>
      <c r="Y56" t="s">
        <v>46</v>
      </c>
      <c r="Z56" t="s">
        <v>46</v>
      </c>
      <c r="AA56" t="s">
        <v>42</v>
      </c>
      <c r="AB56">
        <v>1</v>
      </c>
      <c r="AC56">
        <v>1</v>
      </c>
      <c r="AD56">
        <v>0</v>
      </c>
      <c r="AE56" t="s">
        <v>44</v>
      </c>
      <c r="AF56" t="s">
        <v>44</v>
      </c>
      <c r="AG56">
        <f t="shared" si="15"/>
        <v>0</v>
      </c>
      <c r="AH56" t="s">
        <v>43</v>
      </c>
      <c r="AI56">
        <f t="shared" si="16"/>
        <v>1</v>
      </c>
      <c r="AJ56" t="s">
        <v>43</v>
      </c>
      <c r="AK56">
        <f t="shared" si="17"/>
        <v>1</v>
      </c>
      <c r="AL56">
        <f t="shared" si="18"/>
        <v>1</v>
      </c>
      <c r="AM56">
        <v>6</v>
      </c>
      <c r="AN56">
        <f t="shared" si="19"/>
        <v>0</v>
      </c>
      <c r="AO56">
        <f t="shared" si="20"/>
        <v>0</v>
      </c>
      <c r="AP56">
        <f t="shared" si="21"/>
        <v>1</v>
      </c>
      <c r="AQ56">
        <v>10</v>
      </c>
      <c r="AR56">
        <v>13</v>
      </c>
      <c r="AS56">
        <v>13</v>
      </c>
    </row>
    <row r="57" spans="1:45" x14ac:dyDescent="0.2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f t="shared" si="5"/>
        <v>0</v>
      </c>
      <c r="H57">
        <v>2</v>
      </c>
      <c r="I57">
        <f t="shared" si="6"/>
        <v>0</v>
      </c>
      <c r="J57">
        <f t="shared" si="7"/>
        <v>0</v>
      </c>
      <c r="K57">
        <f t="shared" si="8"/>
        <v>1</v>
      </c>
      <c r="L57">
        <f t="shared" si="9"/>
        <v>0</v>
      </c>
      <c r="M57">
        <f t="shared" si="10"/>
        <v>0</v>
      </c>
      <c r="N57">
        <v>1</v>
      </c>
      <c r="O57">
        <f t="shared" si="0"/>
        <v>0</v>
      </c>
      <c r="P57">
        <f t="shared" si="1"/>
        <v>1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11"/>
        <v>0</v>
      </c>
      <c r="U57">
        <f t="shared" si="12"/>
        <v>0</v>
      </c>
      <c r="V57">
        <f t="shared" si="13"/>
        <v>0</v>
      </c>
      <c r="W57">
        <f t="shared" si="14"/>
        <v>0</v>
      </c>
      <c r="X57" t="s">
        <v>46</v>
      </c>
      <c r="Y57" t="s">
        <v>46</v>
      </c>
      <c r="Z57" t="s">
        <v>46</v>
      </c>
      <c r="AA57" t="s">
        <v>42</v>
      </c>
      <c r="AB57">
        <v>1</v>
      </c>
      <c r="AC57">
        <v>2</v>
      </c>
      <c r="AD57">
        <v>0</v>
      </c>
      <c r="AE57" t="s">
        <v>44</v>
      </c>
      <c r="AF57" t="s">
        <v>44</v>
      </c>
      <c r="AG57">
        <f t="shared" si="15"/>
        <v>0</v>
      </c>
      <c r="AH57" t="s">
        <v>43</v>
      </c>
      <c r="AI57">
        <f t="shared" si="16"/>
        <v>1</v>
      </c>
      <c r="AJ57" t="s">
        <v>43</v>
      </c>
      <c r="AK57">
        <f t="shared" si="17"/>
        <v>1</v>
      </c>
      <c r="AL57">
        <f t="shared" si="18"/>
        <v>1</v>
      </c>
      <c r="AM57">
        <v>8</v>
      </c>
      <c r="AN57">
        <f t="shared" si="19"/>
        <v>0</v>
      </c>
      <c r="AO57">
        <f t="shared" si="20"/>
        <v>0</v>
      </c>
      <c r="AP57">
        <f t="shared" si="21"/>
        <v>0</v>
      </c>
      <c r="AQ57">
        <v>8</v>
      </c>
      <c r="AR57">
        <v>9</v>
      </c>
      <c r="AS57">
        <v>10</v>
      </c>
    </row>
    <row r="58" spans="1:45" x14ac:dyDescent="0.2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f t="shared" si="5"/>
        <v>0</v>
      </c>
      <c r="H58">
        <v>4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1</v>
      </c>
      <c r="N58">
        <v>3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1</v>
      </c>
      <c r="S58">
        <f t="shared" si="4"/>
        <v>0</v>
      </c>
      <c r="T58">
        <f t="shared" si="11"/>
        <v>0</v>
      </c>
      <c r="U58">
        <f t="shared" si="12"/>
        <v>1</v>
      </c>
      <c r="V58">
        <f t="shared" si="13"/>
        <v>0</v>
      </c>
      <c r="W58">
        <f t="shared" si="14"/>
        <v>0</v>
      </c>
      <c r="X58" t="s">
        <v>49</v>
      </c>
      <c r="Y58" t="s">
        <v>49</v>
      </c>
      <c r="Z58" t="s">
        <v>52</v>
      </c>
      <c r="AA58" t="s">
        <v>42</v>
      </c>
      <c r="AB58">
        <v>1</v>
      </c>
      <c r="AC58">
        <v>2</v>
      </c>
      <c r="AD58">
        <v>0</v>
      </c>
      <c r="AE58" t="s">
        <v>44</v>
      </c>
      <c r="AF58" t="s">
        <v>43</v>
      </c>
      <c r="AG58">
        <f t="shared" si="15"/>
        <v>1</v>
      </c>
      <c r="AH58" t="s">
        <v>43</v>
      </c>
      <c r="AI58">
        <f t="shared" si="16"/>
        <v>1</v>
      </c>
      <c r="AJ58" t="s">
        <v>43</v>
      </c>
      <c r="AK58">
        <f t="shared" si="17"/>
        <v>1</v>
      </c>
      <c r="AL58">
        <f t="shared" si="18"/>
        <v>1</v>
      </c>
      <c r="AM58">
        <v>0</v>
      </c>
      <c r="AN58">
        <f t="shared" si="19"/>
        <v>1</v>
      </c>
      <c r="AO58">
        <f t="shared" si="20"/>
        <v>1</v>
      </c>
      <c r="AP58">
        <f t="shared" si="21"/>
        <v>0</v>
      </c>
      <c r="AQ58">
        <v>14</v>
      </c>
      <c r="AR58">
        <v>15</v>
      </c>
      <c r="AS58">
        <v>15</v>
      </c>
    </row>
    <row r="59" spans="1:45" x14ac:dyDescent="0.2">
      <c r="A59" t="s">
        <v>34</v>
      </c>
      <c r="B59" t="s">
        <v>51</v>
      </c>
      <c r="C59">
        <v>15</v>
      </c>
      <c r="D59" t="s">
        <v>36</v>
      </c>
      <c r="E59" t="s">
        <v>37</v>
      </c>
      <c r="F59" t="s">
        <v>45</v>
      </c>
      <c r="G59">
        <f t="shared" si="5"/>
        <v>1</v>
      </c>
      <c r="H59">
        <v>4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1</v>
      </c>
      <c r="N59">
        <v>4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1</v>
      </c>
      <c r="T59">
        <f t="shared" si="11"/>
        <v>1</v>
      </c>
      <c r="U59">
        <f t="shared" si="12"/>
        <v>0</v>
      </c>
      <c r="V59">
        <f t="shared" si="13"/>
        <v>0</v>
      </c>
      <c r="W59">
        <f t="shared" si="14"/>
        <v>0</v>
      </c>
      <c r="X59" t="s">
        <v>40</v>
      </c>
      <c r="Y59" t="s">
        <v>29</v>
      </c>
      <c r="Z59" t="s">
        <v>52</v>
      </c>
      <c r="AA59" t="s">
        <v>42</v>
      </c>
      <c r="AB59">
        <v>1</v>
      </c>
      <c r="AC59">
        <v>2</v>
      </c>
      <c r="AD59">
        <v>0</v>
      </c>
      <c r="AE59" t="s">
        <v>44</v>
      </c>
      <c r="AF59" t="s">
        <v>43</v>
      </c>
      <c r="AG59">
        <f t="shared" si="15"/>
        <v>1</v>
      </c>
      <c r="AH59" t="s">
        <v>44</v>
      </c>
      <c r="AI59">
        <f t="shared" si="16"/>
        <v>0</v>
      </c>
      <c r="AJ59" t="s">
        <v>44</v>
      </c>
      <c r="AK59">
        <f t="shared" si="17"/>
        <v>0</v>
      </c>
      <c r="AL59">
        <f t="shared" si="18"/>
        <v>0</v>
      </c>
      <c r="AM59">
        <v>4</v>
      </c>
      <c r="AN59">
        <f t="shared" si="19"/>
        <v>0</v>
      </c>
      <c r="AO59">
        <f t="shared" si="20"/>
        <v>0</v>
      </c>
      <c r="AP59">
        <f t="shared" si="21"/>
        <v>0</v>
      </c>
      <c r="AQ59">
        <v>14</v>
      </c>
      <c r="AR59">
        <v>15</v>
      </c>
      <c r="AS59">
        <v>15</v>
      </c>
    </row>
    <row r="60" spans="1:45" x14ac:dyDescent="0.2">
      <c r="A60" t="s">
        <v>34</v>
      </c>
      <c r="B60" t="s">
        <v>51</v>
      </c>
      <c r="C60">
        <v>15</v>
      </c>
      <c r="D60" t="s">
        <v>36</v>
      </c>
      <c r="E60" t="s">
        <v>48</v>
      </c>
      <c r="F60" t="s">
        <v>45</v>
      </c>
      <c r="G60">
        <f t="shared" si="5"/>
        <v>1</v>
      </c>
      <c r="H60">
        <v>1</v>
      </c>
      <c r="I60">
        <f t="shared" si="6"/>
        <v>0</v>
      </c>
      <c r="J60">
        <f t="shared" si="7"/>
        <v>1</v>
      </c>
      <c r="K60">
        <f t="shared" si="8"/>
        <v>0</v>
      </c>
      <c r="L60">
        <f t="shared" si="9"/>
        <v>0</v>
      </c>
      <c r="M60">
        <f t="shared" si="10"/>
        <v>0</v>
      </c>
      <c r="N60">
        <v>2</v>
      </c>
      <c r="O60">
        <f t="shared" si="0"/>
        <v>0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11"/>
        <v>0</v>
      </c>
      <c r="U60">
        <f t="shared" si="12"/>
        <v>0</v>
      </c>
      <c r="V60">
        <f t="shared" si="13"/>
        <v>0</v>
      </c>
      <c r="W60">
        <f t="shared" si="14"/>
        <v>0</v>
      </c>
      <c r="X60" t="s">
        <v>46</v>
      </c>
      <c r="Y60" t="s">
        <v>39</v>
      </c>
      <c r="Z60" t="s">
        <v>50</v>
      </c>
      <c r="AA60" t="s">
        <v>47</v>
      </c>
      <c r="AB60">
        <v>1</v>
      </c>
      <c r="AC60">
        <v>2</v>
      </c>
      <c r="AD60">
        <v>0</v>
      </c>
      <c r="AE60" t="s">
        <v>43</v>
      </c>
      <c r="AF60" t="s">
        <v>43</v>
      </c>
      <c r="AG60">
        <f t="shared" si="15"/>
        <v>1</v>
      </c>
      <c r="AH60" t="s">
        <v>44</v>
      </c>
      <c r="AI60">
        <f t="shared" si="16"/>
        <v>0</v>
      </c>
      <c r="AJ60" t="s">
        <v>43</v>
      </c>
      <c r="AK60">
        <f t="shared" si="17"/>
        <v>1</v>
      </c>
      <c r="AL60">
        <f t="shared" si="18"/>
        <v>0</v>
      </c>
      <c r="AM60">
        <v>2</v>
      </c>
      <c r="AN60">
        <f t="shared" si="19"/>
        <v>0</v>
      </c>
      <c r="AO60">
        <f t="shared" si="20"/>
        <v>0</v>
      </c>
      <c r="AP60">
        <f t="shared" si="21"/>
        <v>0</v>
      </c>
      <c r="AQ60">
        <v>9</v>
      </c>
      <c r="AR60">
        <v>10</v>
      </c>
      <c r="AS60">
        <v>9</v>
      </c>
    </row>
    <row r="61" spans="1:45" x14ac:dyDescent="0.2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f t="shared" si="5"/>
        <v>1</v>
      </c>
      <c r="H61">
        <v>4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1</v>
      </c>
      <c r="N61">
        <v>2</v>
      </c>
      <c r="O61">
        <f t="shared" si="0"/>
        <v>0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11"/>
        <v>0</v>
      </c>
      <c r="U61">
        <f t="shared" si="12"/>
        <v>0</v>
      </c>
      <c r="V61">
        <f t="shared" si="13"/>
        <v>1</v>
      </c>
      <c r="W61">
        <f t="shared" si="14"/>
        <v>0</v>
      </c>
      <c r="X61" t="s">
        <v>49</v>
      </c>
      <c r="Y61" t="s">
        <v>46</v>
      </c>
      <c r="Z61" t="s">
        <v>41</v>
      </c>
      <c r="AA61" t="s">
        <v>42</v>
      </c>
      <c r="AB61">
        <v>1</v>
      </c>
      <c r="AC61">
        <v>2</v>
      </c>
      <c r="AD61">
        <v>0</v>
      </c>
      <c r="AE61" t="s">
        <v>44</v>
      </c>
      <c r="AF61" t="s">
        <v>43</v>
      </c>
      <c r="AG61">
        <f t="shared" si="15"/>
        <v>1</v>
      </c>
      <c r="AH61" t="s">
        <v>44</v>
      </c>
      <c r="AI61">
        <f t="shared" si="16"/>
        <v>0</v>
      </c>
      <c r="AJ61" t="s">
        <v>43</v>
      </c>
      <c r="AK61">
        <f t="shared" si="17"/>
        <v>1</v>
      </c>
      <c r="AL61">
        <f t="shared" si="18"/>
        <v>0</v>
      </c>
      <c r="AM61">
        <v>2</v>
      </c>
      <c r="AN61">
        <f t="shared" si="19"/>
        <v>0</v>
      </c>
      <c r="AO61">
        <f t="shared" si="20"/>
        <v>0</v>
      </c>
      <c r="AP61">
        <f t="shared" si="21"/>
        <v>0</v>
      </c>
      <c r="AQ61">
        <v>15</v>
      </c>
      <c r="AR61">
        <v>16</v>
      </c>
      <c r="AS61">
        <v>16</v>
      </c>
    </row>
    <row r="62" spans="1:45" x14ac:dyDescent="0.2">
      <c r="A62" t="s">
        <v>34</v>
      </c>
      <c r="B62" t="s">
        <v>35</v>
      </c>
      <c r="C62">
        <v>16</v>
      </c>
      <c r="D62" t="s">
        <v>53</v>
      </c>
      <c r="E62" t="s">
        <v>37</v>
      </c>
      <c r="F62" t="s">
        <v>45</v>
      </c>
      <c r="G62">
        <f t="shared" si="5"/>
        <v>1</v>
      </c>
      <c r="H62">
        <v>4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1</v>
      </c>
      <c r="N62">
        <v>4</v>
      </c>
      <c r="O62">
        <f t="shared" si="0"/>
        <v>0</v>
      </c>
      <c r="P62">
        <f t="shared" si="1"/>
        <v>0</v>
      </c>
      <c r="Q62">
        <f t="shared" si="2"/>
        <v>0</v>
      </c>
      <c r="R62">
        <f t="shared" si="3"/>
        <v>0</v>
      </c>
      <c r="S62">
        <f t="shared" si="4"/>
        <v>1</v>
      </c>
      <c r="T62">
        <f t="shared" si="11"/>
        <v>1</v>
      </c>
      <c r="U62">
        <f t="shared" si="12"/>
        <v>0</v>
      </c>
      <c r="V62">
        <f t="shared" si="13"/>
        <v>0</v>
      </c>
      <c r="W62">
        <f t="shared" si="14"/>
        <v>0</v>
      </c>
      <c r="X62" t="s">
        <v>29</v>
      </c>
      <c r="Y62" t="s">
        <v>40</v>
      </c>
      <c r="Z62" t="s">
        <v>46</v>
      </c>
      <c r="AA62" t="s">
        <v>42</v>
      </c>
      <c r="AB62">
        <v>1</v>
      </c>
      <c r="AC62">
        <v>2</v>
      </c>
      <c r="AD62">
        <v>0</v>
      </c>
      <c r="AE62" t="s">
        <v>44</v>
      </c>
      <c r="AF62" t="s">
        <v>43</v>
      </c>
      <c r="AG62">
        <f t="shared" si="15"/>
        <v>1</v>
      </c>
      <c r="AH62" t="s">
        <v>44</v>
      </c>
      <c r="AI62">
        <f t="shared" si="16"/>
        <v>0</v>
      </c>
      <c r="AJ62" t="s">
        <v>44</v>
      </c>
      <c r="AK62">
        <f t="shared" si="17"/>
        <v>0</v>
      </c>
      <c r="AL62">
        <f t="shared" si="18"/>
        <v>0</v>
      </c>
      <c r="AM62">
        <v>6</v>
      </c>
      <c r="AN62">
        <f t="shared" si="19"/>
        <v>0</v>
      </c>
      <c r="AO62">
        <f t="shared" si="20"/>
        <v>0</v>
      </c>
      <c r="AP62">
        <f t="shared" si="21"/>
        <v>0</v>
      </c>
      <c r="AQ62">
        <v>10</v>
      </c>
      <c r="AR62">
        <v>11</v>
      </c>
      <c r="AS62">
        <v>11</v>
      </c>
    </row>
    <row r="63" spans="1:45" x14ac:dyDescent="0.2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f t="shared" si="5"/>
        <v>1</v>
      </c>
      <c r="H63">
        <v>1</v>
      </c>
      <c r="I63">
        <f t="shared" si="6"/>
        <v>0</v>
      </c>
      <c r="J63">
        <f t="shared" si="7"/>
        <v>1</v>
      </c>
      <c r="K63">
        <f t="shared" si="8"/>
        <v>0</v>
      </c>
      <c r="L63">
        <f t="shared" si="9"/>
        <v>0</v>
      </c>
      <c r="M63">
        <f t="shared" si="10"/>
        <v>0</v>
      </c>
      <c r="N63">
        <v>1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11"/>
        <v>0</v>
      </c>
      <c r="U63">
        <f t="shared" si="12"/>
        <v>0</v>
      </c>
      <c r="V63">
        <f t="shared" si="13"/>
        <v>0</v>
      </c>
      <c r="W63">
        <f t="shared" si="14"/>
        <v>0</v>
      </c>
      <c r="X63" t="s">
        <v>49</v>
      </c>
      <c r="Y63" t="s">
        <v>49</v>
      </c>
      <c r="Z63" t="s">
        <v>41</v>
      </c>
      <c r="AA63" t="s">
        <v>47</v>
      </c>
      <c r="AB63">
        <v>4</v>
      </c>
      <c r="AC63">
        <v>1</v>
      </c>
      <c r="AD63">
        <v>0</v>
      </c>
      <c r="AE63" t="s">
        <v>43</v>
      </c>
      <c r="AF63" t="s">
        <v>43</v>
      </c>
      <c r="AG63">
        <f t="shared" si="15"/>
        <v>1</v>
      </c>
      <c r="AH63" t="s">
        <v>44</v>
      </c>
      <c r="AI63">
        <f t="shared" si="16"/>
        <v>0</v>
      </c>
      <c r="AJ63" t="s">
        <v>43</v>
      </c>
      <c r="AK63">
        <f t="shared" si="17"/>
        <v>1</v>
      </c>
      <c r="AL63">
        <f t="shared" si="18"/>
        <v>0</v>
      </c>
      <c r="AM63">
        <v>6</v>
      </c>
      <c r="AN63">
        <f t="shared" si="19"/>
        <v>0</v>
      </c>
      <c r="AO63">
        <f t="shared" si="20"/>
        <v>0</v>
      </c>
      <c r="AP63">
        <f t="shared" si="21"/>
        <v>0</v>
      </c>
      <c r="AQ63">
        <v>10</v>
      </c>
      <c r="AR63">
        <v>8</v>
      </c>
      <c r="AS63">
        <v>11</v>
      </c>
    </row>
    <row r="64" spans="1:45" x14ac:dyDescent="0.2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f t="shared" si="5"/>
        <v>1</v>
      </c>
      <c r="H64">
        <v>1</v>
      </c>
      <c r="I64">
        <f t="shared" si="6"/>
        <v>0</v>
      </c>
      <c r="J64">
        <f t="shared" si="7"/>
        <v>1</v>
      </c>
      <c r="K64">
        <f t="shared" si="8"/>
        <v>0</v>
      </c>
      <c r="L64">
        <f t="shared" si="9"/>
        <v>0</v>
      </c>
      <c r="M64">
        <f t="shared" si="10"/>
        <v>0</v>
      </c>
      <c r="N64">
        <v>2</v>
      </c>
      <c r="O64">
        <f t="shared" si="0"/>
        <v>0</v>
      </c>
      <c r="P64">
        <f t="shared" si="1"/>
        <v>0</v>
      </c>
      <c r="Q64">
        <f t="shared" si="2"/>
        <v>1</v>
      </c>
      <c r="R64">
        <f t="shared" si="3"/>
        <v>0</v>
      </c>
      <c r="S64">
        <f t="shared" si="4"/>
        <v>0</v>
      </c>
      <c r="T64">
        <f t="shared" si="11"/>
        <v>0</v>
      </c>
      <c r="U64">
        <f t="shared" si="12"/>
        <v>0</v>
      </c>
      <c r="V64">
        <f t="shared" si="13"/>
        <v>0</v>
      </c>
      <c r="W64">
        <f t="shared" si="14"/>
        <v>0</v>
      </c>
      <c r="X64" t="s">
        <v>46</v>
      </c>
      <c r="Y64" t="s">
        <v>49</v>
      </c>
      <c r="Z64" t="s">
        <v>52</v>
      </c>
      <c r="AA64" t="s">
        <v>47</v>
      </c>
      <c r="AB64">
        <v>1</v>
      </c>
      <c r="AC64">
        <v>2</v>
      </c>
      <c r="AD64">
        <v>0</v>
      </c>
      <c r="AE64" t="s">
        <v>43</v>
      </c>
      <c r="AF64" t="s">
        <v>44</v>
      </c>
      <c r="AG64">
        <f t="shared" si="15"/>
        <v>0</v>
      </c>
      <c r="AH64" t="s">
        <v>44</v>
      </c>
      <c r="AI64">
        <f t="shared" si="16"/>
        <v>0</v>
      </c>
      <c r="AJ64" t="s">
        <v>43</v>
      </c>
      <c r="AK64">
        <f t="shared" si="17"/>
        <v>1</v>
      </c>
      <c r="AL64">
        <f t="shared" si="18"/>
        <v>0</v>
      </c>
      <c r="AM64">
        <v>4</v>
      </c>
      <c r="AN64">
        <f t="shared" si="19"/>
        <v>0</v>
      </c>
      <c r="AO64">
        <f t="shared" si="20"/>
        <v>0</v>
      </c>
      <c r="AP64">
        <f t="shared" si="21"/>
        <v>0</v>
      </c>
      <c r="AQ64">
        <v>8</v>
      </c>
      <c r="AR64">
        <v>10</v>
      </c>
      <c r="AS64">
        <v>9</v>
      </c>
    </row>
    <row r="65" spans="1:45" x14ac:dyDescent="0.2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f t="shared" si="5"/>
        <v>1</v>
      </c>
      <c r="H65">
        <v>4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1</v>
      </c>
      <c r="N65">
        <v>3</v>
      </c>
      <c r="O65">
        <f t="shared" si="0"/>
        <v>0</v>
      </c>
      <c r="P65">
        <f t="shared" si="1"/>
        <v>0</v>
      </c>
      <c r="Q65">
        <f t="shared" si="2"/>
        <v>0</v>
      </c>
      <c r="R65">
        <f t="shared" si="3"/>
        <v>1</v>
      </c>
      <c r="S65">
        <f t="shared" si="4"/>
        <v>0</v>
      </c>
      <c r="T65">
        <f t="shared" si="11"/>
        <v>0</v>
      </c>
      <c r="U65">
        <f t="shared" si="12"/>
        <v>1</v>
      </c>
      <c r="V65">
        <f t="shared" si="13"/>
        <v>0</v>
      </c>
      <c r="W65">
        <f t="shared" si="14"/>
        <v>0</v>
      </c>
      <c r="X65" t="s">
        <v>40</v>
      </c>
      <c r="Y65" t="s">
        <v>29</v>
      </c>
      <c r="Z65" t="s">
        <v>50</v>
      </c>
      <c r="AA65" t="s">
        <v>42</v>
      </c>
      <c r="AB65">
        <v>1</v>
      </c>
      <c r="AC65">
        <v>3</v>
      </c>
      <c r="AD65">
        <v>0</v>
      </c>
      <c r="AE65" t="s">
        <v>43</v>
      </c>
      <c r="AF65" t="s">
        <v>43</v>
      </c>
      <c r="AG65">
        <f t="shared" si="15"/>
        <v>1</v>
      </c>
      <c r="AH65" t="s">
        <v>43</v>
      </c>
      <c r="AI65">
        <f t="shared" si="16"/>
        <v>1</v>
      </c>
      <c r="AJ65" t="s">
        <v>43</v>
      </c>
      <c r="AK65">
        <f t="shared" si="17"/>
        <v>1</v>
      </c>
      <c r="AL65">
        <f t="shared" si="18"/>
        <v>1</v>
      </c>
      <c r="AM65">
        <v>2</v>
      </c>
      <c r="AN65">
        <f t="shared" si="19"/>
        <v>0</v>
      </c>
      <c r="AO65">
        <f t="shared" si="20"/>
        <v>1</v>
      </c>
      <c r="AP65">
        <f t="shared" si="21"/>
        <v>0</v>
      </c>
      <c r="AQ65">
        <v>10</v>
      </c>
      <c r="AR65">
        <v>9</v>
      </c>
      <c r="AS65">
        <v>9</v>
      </c>
    </row>
    <row r="66" spans="1:45" x14ac:dyDescent="0.2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f t="shared" si="5"/>
        <v>1</v>
      </c>
      <c r="H66">
        <v>4</v>
      </c>
      <c r="I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1</v>
      </c>
      <c r="N66">
        <v>3</v>
      </c>
      <c r="O66">
        <f t="shared" ref="O66:O129" si="22" xml:space="preserve"> IF($N66=0,1,0)</f>
        <v>0</v>
      </c>
      <c r="P66">
        <f t="shared" ref="P66:P129" si="23" xml:space="preserve"> IF($N66=1,1,0)</f>
        <v>0</v>
      </c>
      <c r="Q66">
        <f t="shared" ref="Q66:Q129" si="24" xml:space="preserve"> IF($N66=2,1,0)</f>
        <v>0</v>
      </c>
      <c r="R66">
        <f t="shared" ref="R66:R129" si="25" xml:space="preserve"> IF($N66=3,1,0)</f>
        <v>1</v>
      </c>
      <c r="S66">
        <f t="shared" ref="S66:S129" si="26" xml:space="preserve"> IF($N66=4,1,0)</f>
        <v>0</v>
      </c>
      <c r="T66">
        <f t="shared" si="11"/>
        <v>0</v>
      </c>
      <c r="U66">
        <f t="shared" si="12"/>
        <v>1</v>
      </c>
      <c r="V66">
        <f t="shared" si="13"/>
        <v>0</v>
      </c>
      <c r="W66">
        <f t="shared" si="14"/>
        <v>0</v>
      </c>
      <c r="X66" t="s">
        <v>49</v>
      </c>
      <c r="Y66" t="s">
        <v>49</v>
      </c>
      <c r="Z66" t="s">
        <v>52</v>
      </c>
      <c r="AA66" t="s">
        <v>47</v>
      </c>
      <c r="AB66">
        <v>1</v>
      </c>
      <c r="AC66">
        <v>2</v>
      </c>
      <c r="AD66">
        <v>0</v>
      </c>
      <c r="AE66" t="s">
        <v>43</v>
      </c>
      <c r="AF66" t="s">
        <v>44</v>
      </c>
      <c r="AG66">
        <f t="shared" si="15"/>
        <v>0</v>
      </c>
      <c r="AH66" t="s">
        <v>44</v>
      </c>
      <c r="AI66">
        <f t="shared" si="16"/>
        <v>0</v>
      </c>
      <c r="AJ66" t="s">
        <v>43</v>
      </c>
      <c r="AK66">
        <f t="shared" si="17"/>
        <v>1</v>
      </c>
      <c r="AL66">
        <f t="shared" si="18"/>
        <v>0</v>
      </c>
      <c r="AM66">
        <v>0</v>
      </c>
      <c r="AN66">
        <f t="shared" si="19"/>
        <v>0</v>
      </c>
      <c r="AO66">
        <f t="shared" si="20"/>
        <v>0</v>
      </c>
      <c r="AP66">
        <f t="shared" si="21"/>
        <v>0</v>
      </c>
      <c r="AQ66">
        <v>10</v>
      </c>
      <c r="AR66">
        <v>10</v>
      </c>
      <c r="AS66">
        <v>10</v>
      </c>
    </row>
    <row r="67" spans="1:45" x14ac:dyDescent="0.2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f t="shared" ref="G67:G130" si="27">IF(F67="T",1,0)</f>
        <v>1</v>
      </c>
      <c r="H67">
        <v>4</v>
      </c>
      <c r="I67">
        <f t="shared" ref="I67:I130" si="28" xml:space="preserve"> IF($H67=0,1,0)</f>
        <v>0</v>
      </c>
      <c r="J67">
        <f t="shared" ref="J67:J130" si="29" xml:space="preserve"> IF($H67=1,1,0)</f>
        <v>0</v>
      </c>
      <c r="K67">
        <f t="shared" ref="K67:K130" si="30" xml:space="preserve"> IF($H67=2,1,0)</f>
        <v>0</v>
      </c>
      <c r="L67">
        <f t="shared" ref="L67:L130" si="31" xml:space="preserve"> IF($H67=3,1,0)</f>
        <v>0</v>
      </c>
      <c r="M67">
        <f t="shared" ref="M67:M130" si="32" xml:space="preserve"> IF($H67=4,1,0)</f>
        <v>1</v>
      </c>
      <c r="N67">
        <v>3</v>
      </c>
      <c r="O67">
        <f t="shared" si="22"/>
        <v>0</v>
      </c>
      <c r="P67">
        <f t="shared" si="23"/>
        <v>0</v>
      </c>
      <c r="Q67">
        <f t="shared" si="24"/>
        <v>0</v>
      </c>
      <c r="R67">
        <f t="shared" si="25"/>
        <v>1</v>
      </c>
      <c r="S67">
        <f t="shared" si="26"/>
        <v>0</v>
      </c>
      <c r="T67">
        <f t="shared" ref="T67:T130" si="33">IF(AND(M67=1,S67=1),1,0)</f>
        <v>0</v>
      </c>
      <c r="U67">
        <f t="shared" ref="U67:U130" si="34">IF(AND(M67=1,R67=1),1,0)</f>
        <v>1</v>
      </c>
      <c r="V67">
        <f t="shared" ref="V67:V130" si="35">IF(OR(AND(M67=1,Q67=1),AND(M67=1,P67=1)),1,0)</f>
        <v>0</v>
      </c>
      <c r="W67">
        <f t="shared" ref="W67:W130" si="36">IF(AND(L67=1,S67=1),1,0)</f>
        <v>0</v>
      </c>
      <c r="X67" t="s">
        <v>40</v>
      </c>
      <c r="Y67" t="s">
        <v>49</v>
      </c>
      <c r="Z67" t="s">
        <v>41</v>
      </c>
      <c r="AA67" t="s">
        <v>42</v>
      </c>
      <c r="AB67">
        <v>3</v>
      </c>
      <c r="AC67">
        <v>2</v>
      </c>
      <c r="AD67">
        <v>0</v>
      </c>
      <c r="AE67" t="s">
        <v>44</v>
      </c>
      <c r="AF67" t="s">
        <v>43</v>
      </c>
      <c r="AG67">
        <f t="shared" ref="AG67:AG130" si="37">IF(AF67="yes",1,0)</f>
        <v>1</v>
      </c>
      <c r="AH67" t="s">
        <v>44</v>
      </c>
      <c r="AI67">
        <f t="shared" ref="AI67:AI130" si="38">IF(AH67="yes",1,0)</f>
        <v>0</v>
      </c>
      <c r="AJ67" t="s">
        <v>43</v>
      </c>
      <c r="AK67">
        <f t="shared" ref="AK67:AK130" si="39">IF(AJ67="yes",1,0)</f>
        <v>1</v>
      </c>
      <c r="AL67">
        <f t="shared" ref="AL67:AL130" si="40">IF(AND(AI67=1,AK67=1),1,0)</f>
        <v>0</v>
      </c>
      <c r="AM67">
        <v>2</v>
      </c>
      <c r="AN67">
        <f t="shared" ref="AN67:AN130" si="41">IF(AND(M67=1,G67=0),1,0)</f>
        <v>0</v>
      </c>
      <c r="AO67">
        <f t="shared" ref="AO67:AO130" si="42">IF(AND(M67=1,AI67=1),1,0)</f>
        <v>0</v>
      </c>
      <c r="AP67">
        <f t="shared" ref="AP67:AP130" si="43">IF(AND(L67=1,AI67=1),1,0)</f>
        <v>0</v>
      </c>
      <c r="AQ67">
        <v>16</v>
      </c>
      <c r="AR67">
        <v>15</v>
      </c>
      <c r="AS67">
        <v>15</v>
      </c>
    </row>
    <row r="68" spans="1:45" x14ac:dyDescent="0.2">
      <c r="A68" t="s">
        <v>34</v>
      </c>
      <c r="B68" t="s">
        <v>51</v>
      </c>
      <c r="C68">
        <v>15</v>
      </c>
      <c r="D68" t="s">
        <v>36</v>
      </c>
      <c r="E68" t="s">
        <v>37</v>
      </c>
      <c r="F68" t="s">
        <v>38</v>
      </c>
      <c r="G68">
        <f t="shared" si="27"/>
        <v>0</v>
      </c>
      <c r="H68">
        <v>4</v>
      </c>
      <c r="I68">
        <f t="shared" si="28"/>
        <v>0</v>
      </c>
      <c r="J68">
        <f t="shared" si="29"/>
        <v>0</v>
      </c>
      <c r="K68">
        <f t="shared" si="30"/>
        <v>0</v>
      </c>
      <c r="L68">
        <f t="shared" si="31"/>
        <v>0</v>
      </c>
      <c r="M68">
        <f t="shared" si="32"/>
        <v>1</v>
      </c>
      <c r="N68">
        <v>4</v>
      </c>
      <c r="O68">
        <f t="shared" si="22"/>
        <v>0</v>
      </c>
      <c r="P68">
        <f t="shared" si="23"/>
        <v>0</v>
      </c>
      <c r="Q68">
        <f t="shared" si="24"/>
        <v>0</v>
      </c>
      <c r="R68">
        <f t="shared" si="25"/>
        <v>0</v>
      </c>
      <c r="S68">
        <f t="shared" si="26"/>
        <v>1</v>
      </c>
      <c r="T68">
        <f t="shared" si="33"/>
        <v>1</v>
      </c>
      <c r="U68">
        <f t="shared" si="34"/>
        <v>0</v>
      </c>
      <c r="V68">
        <f t="shared" si="35"/>
        <v>0</v>
      </c>
      <c r="W68">
        <f t="shared" si="36"/>
        <v>0</v>
      </c>
      <c r="X68" t="s">
        <v>46</v>
      </c>
      <c r="Y68" t="s">
        <v>49</v>
      </c>
      <c r="Z68" t="s">
        <v>52</v>
      </c>
      <c r="AA68" t="s">
        <v>42</v>
      </c>
      <c r="AB68">
        <v>1</v>
      </c>
      <c r="AC68">
        <v>4</v>
      </c>
      <c r="AD68">
        <v>0</v>
      </c>
      <c r="AE68" t="s">
        <v>44</v>
      </c>
      <c r="AF68" t="s">
        <v>43</v>
      </c>
      <c r="AG68">
        <f t="shared" si="37"/>
        <v>1</v>
      </c>
      <c r="AH68" t="s">
        <v>44</v>
      </c>
      <c r="AI68">
        <f t="shared" si="38"/>
        <v>0</v>
      </c>
      <c r="AJ68" t="s">
        <v>43</v>
      </c>
      <c r="AK68">
        <f t="shared" si="39"/>
        <v>1</v>
      </c>
      <c r="AL68">
        <f t="shared" si="40"/>
        <v>0</v>
      </c>
      <c r="AM68">
        <v>4</v>
      </c>
      <c r="AN68">
        <f t="shared" si="41"/>
        <v>1</v>
      </c>
      <c r="AO68">
        <f t="shared" si="42"/>
        <v>0</v>
      </c>
      <c r="AP68">
        <f t="shared" si="43"/>
        <v>0</v>
      </c>
      <c r="AQ68">
        <v>13</v>
      </c>
      <c r="AR68">
        <v>13</v>
      </c>
      <c r="AS68">
        <v>12</v>
      </c>
    </row>
    <row r="69" spans="1:45" x14ac:dyDescent="0.2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f t="shared" si="27"/>
        <v>1</v>
      </c>
      <c r="H69">
        <v>3</v>
      </c>
      <c r="I69">
        <f t="shared" si="28"/>
        <v>0</v>
      </c>
      <c r="J69">
        <f t="shared" si="29"/>
        <v>0</v>
      </c>
      <c r="K69">
        <f t="shared" si="30"/>
        <v>0</v>
      </c>
      <c r="L69">
        <f t="shared" si="31"/>
        <v>1</v>
      </c>
      <c r="M69">
        <f t="shared" si="32"/>
        <v>0</v>
      </c>
      <c r="N69">
        <v>1</v>
      </c>
      <c r="O69">
        <f t="shared" si="22"/>
        <v>0</v>
      </c>
      <c r="P69">
        <f t="shared" si="23"/>
        <v>1</v>
      </c>
      <c r="Q69">
        <f t="shared" si="24"/>
        <v>0</v>
      </c>
      <c r="R69">
        <f t="shared" si="25"/>
        <v>0</v>
      </c>
      <c r="S69">
        <f t="shared" si="26"/>
        <v>0</v>
      </c>
      <c r="T69">
        <f t="shared" si="33"/>
        <v>0</v>
      </c>
      <c r="U69">
        <f t="shared" si="34"/>
        <v>0</v>
      </c>
      <c r="V69">
        <f t="shared" si="35"/>
        <v>0</v>
      </c>
      <c r="W69">
        <f t="shared" si="36"/>
        <v>0</v>
      </c>
      <c r="X69" t="s">
        <v>49</v>
      </c>
      <c r="Y69" t="s">
        <v>46</v>
      </c>
      <c r="Z69" t="s">
        <v>41</v>
      </c>
      <c r="AA69" t="s">
        <v>42</v>
      </c>
      <c r="AB69">
        <v>1</v>
      </c>
      <c r="AC69">
        <v>4</v>
      </c>
      <c r="AD69">
        <v>0</v>
      </c>
      <c r="AE69" t="s">
        <v>43</v>
      </c>
      <c r="AF69" t="s">
        <v>43</v>
      </c>
      <c r="AG69">
        <f t="shared" si="37"/>
        <v>1</v>
      </c>
      <c r="AH69" t="s">
        <v>43</v>
      </c>
      <c r="AI69">
        <f t="shared" si="38"/>
        <v>1</v>
      </c>
      <c r="AJ69" t="s">
        <v>43</v>
      </c>
      <c r="AK69">
        <f t="shared" si="39"/>
        <v>1</v>
      </c>
      <c r="AL69">
        <f t="shared" si="40"/>
        <v>1</v>
      </c>
      <c r="AM69">
        <v>4</v>
      </c>
      <c r="AN69">
        <f t="shared" si="41"/>
        <v>0</v>
      </c>
      <c r="AO69">
        <f t="shared" si="42"/>
        <v>0</v>
      </c>
      <c r="AP69">
        <f t="shared" si="43"/>
        <v>1</v>
      </c>
      <c r="AQ69">
        <v>7</v>
      </c>
      <c r="AR69">
        <v>7</v>
      </c>
      <c r="AS69">
        <v>6</v>
      </c>
    </row>
    <row r="70" spans="1:45" x14ac:dyDescent="0.2">
      <c r="A70" t="s">
        <v>34</v>
      </c>
      <c r="B70" t="s">
        <v>35</v>
      </c>
      <c r="C70">
        <v>15</v>
      </c>
      <c r="D70" t="s">
        <v>53</v>
      </c>
      <c r="E70" t="s">
        <v>48</v>
      </c>
      <c r="F70" t="s">
        <v>45</v>
      </c>
      <c r="G70">
        <f t="shared" si="27"/>
        <v>1</v>
      </c>
      <c r="H70">
        <v>2</v>
      </c>
      <c r="I70">
        <f t="shared" si="28"/>
        <v>0</v>
      </c>
      <c r="J70">
        <f t="shared" si="29"/>
        <v>0</v>
      </c>
      <c r="K70">
        <f t="shared" si="30"/>
        <v>1</v>
      </c>
      <c r="L70">
        <f t="shared" si="31"/>
        <v>0</v>
      </c>
      <c r="M70">
        <f t="shared" si="32"/>
        <v>0</v>
      </c>
      <c r="N70">
        <v>2</v>
      </c>
      <c r="O70">
        <f t="shared" si="22"/>
        <v>0</v>
      </c>
      <c r="P70">
        <f t="shared" si="23"/>
        <v>0</v>
      </c>
      <c r="Q70">
        <f t="shared" si="24"/>
        <v>1</v>
      </c>
      <c r="R70">
        <f t="shared" si="25"/>
        <v>0</v>
      </c>
      <c r="S70">
        <f t="shared" si="26"/>
        <v>0</v>
      </c>
      <c r="T70">
        <f t="shared" si="33"/>
        <v>0</v>
      </c>
      <c r="U70">
        <f t="shared" si="34"/>
        <v>0</v>
      </c>
      <c r="V70">
        <f t="shared" si="35"/>
        <v>0</v>
      </c>
      <c r="W70">
        <f t="shared" si="36"/>
        <v>0</v>
      </c>
      <c r="X70" t="s">
        <v>29</v>
      </c>
      <c r="Y70" t="s">
        <v>49</v>
      </c>
      <c r="Z70" t="s">
        <v>52</v>
      </c>
      <c r="AA70" t="s">
        <v>42</v>
      </c>
      <c r="AB70">
        <v>2</v>
      </c>
      <c r="AC70">
        <v>2</v>
      </c>
      <c r="AD70">
        <v>0</v>
      </c>
      <c r="AE70" t="s">
        <v>43</v>
      </c>
      <c r="AF70" t="s">
        <v>43</v>
      </c>
      <c r="AG70">
        <f t="shared" si="37"/>
        <v>1</v>
      </c>
      <c r="AH70" t="s">
        <v>43</v>
      </c>
      <c r="AI70">
        <f t="shared" si="38"/>
        <v>1</v>
      </c>
      <c r="AJ70" t="s">
        <v>43</v>
      </c>
      <c r="AK70">
        <f t="shared" si="39"/>
        <v>1</v>
      </c>
      <c r="AL70">
        <f t="shared" si="40"/>
        <v>1</v>
      </c>
      <c r="AM70">
        <v>2</v>
      </c>
      <c r="AN70">
        <f t="shared" si="41"/>
        <v>0</v>
      </c>
      <c r="AO70">
        <f t="shared" si="42"/>
        <v>0</v>
      </c>
      <c r="AP70">
        <f t="shared" si="43"/>
        <v>0</v>
      </c>
      <c r="AQ70">
        <v>8</v>
      </c>
      <c r="AR70">
        <v>9</v>
      </c>
      <c r="AS70">
        <v>8</v>
      </c>
    </row>
    <row r="71" spans="1:45" x14ac:dyDescent="0.2">
      <c r="A71" t="s">
        <v>34</v>
      </c>
      <c r="B71" t="s">
        <v>35</v>
      </c>
      <c r="C71">
        <v>15</v>
      </c>
      <c r="D71" t="s">
        <v>53</v>
      </c>
      <c r="E71" t="s">
        <v>48</v>
      </c>
      <c r="F71" t="s">
        <v>45</v>
      </c>
      <c r="G71">
        <f t="shared" si="27"/>
        <v>1</v>
      </c>
      <c r="H71">
        <v>3</v>
      </c>
      <c r="I71">
        <f t="shared" si="28"/>
        <v>0</v>
      </c>
      <c r="J71">
        <f t="shared" si="29"/>
        <v>0</v>
      </c>
      <c r="K71">
        <f t="shared" si="30"/>
        <v>0</v>
      </c>
      <c r="L71">
        <f t="shared" si="31"/>
        <v>1</v>
      </c>
      <c r="M71">
        <f t="shared" si="32"/>
        <v>0</v>
      </c>
      <c r="N71">
        <v>1</v>
      </c>
      <c r="O71">
        <f t="shared" si="22"/>
        <v>0</v>
      </c>
      <c r="P71">
        <f t="shared" si="23"/>
        <v>1</v>
      </c>
      <c r="Q71">
        <f t="shared" si="24"/>
        <v>0</v>
      </c>
      <c r="R71">
        <f t="shared" si="25"/>
        <v>0</v>
      </c>
      <c r="S71">
        <f t="shared" si="26"/>
        <v>0</v>
      </c>
      <c r="T71">
        <f t="shared" si="33"/>
        <v>0</v>
      </c>
      <c r="U71">
        <f t="shared" si="34"/>
        <v>0</v>
      </c>
      <c r="V71">
        <f t="shared" si="35"/>
        <v>0</v>
      </c>
      <c r="W71">
        <f t="shared" si="36"/>
        <v>0</v>
      </c>
      <c r="X71" t="s">
        <v>46</v>
      </c>
      <c r="Y71" t="s">
        <v>46</v>
      </c>
      <c r="Z71" t="s">
        <v>52</v>
      </c>
      <c r="AA71" t="s">
        <v>47</v>
      </c>
      <c r="AB71">
        <v>2</v>
      </c>
      <c r="AC71">
        <v>4</v>
      </c>
      <c r="AD71">
        <v>0</v>
      </c>
      <c r="AE71" t="s">
        <v>44</v>
      </c>
      <c r="AF71" t="s">
        <v>43</v>
      </c>
      <c r="AG71">
        <f t="shared" si="37"/>
        <v>1</v>
      </c>
      <c r="AH71" t="s">
        <v>44</v>
      </c>
      <c r="AI71">
        <f t="shared" si="38"/>
        <v>0</v>
      </c>
      <c r="AJ71" t="s">
        <v>43</v>
      </c>
      <c r="AK71">
        <f t="shared" si="39"/>
        <v>1</v>
      </c>
      <c r="AL71">
        <f t="shared" si="40"/>
        <v>0</v>
      </c>
      <c r="AM71">
        <v>12</v>
      </c>
      <c r="AN71">
        <f t="shared" si="41"/>
        <v>0</v>
      </c>
      <c r="AO71">
        <f t="shared" si="42"/>
        <v>0</v>
      </c>
      <c r="AP71">
        <f t="shared" si="43"/>
        <v>0</v>
      </c>
      <c r="AQ71">
        <v>16</v>
      </c>
      <c r="AR71">
        <v>16</v>
      </c>
      <c r="AS71">
        <v>16</v>
      </c>
    </row>
    <row r="72" spans="1:45" x14ac:dyDescent="0.2">
      <c r="A72" t="s">
        <v>34</v>
      </c>
      <c r="B72" t="s">
        <v>51</v>
      </c>
      <c r="C72">
        <v>16</v>
      </c>
      <c r="D72" t="s">
        <v>36</v>
      </c>
      <c r="E72" t="s">
        <v>37</v>
      </c>
      <c r="F72" t="s">
        <v>45</v>
      </c>
      <c r="G72">
        <f t="shared" si="27"/>
        <v>1</v>
      </c>
      <c r="H72">
        <v>3</v>
      </c>
      <c r="I72">
        <f t="shared" si="28"/>
        <v>0</v>
      </c>
      <c r="J72">
        <f t="shared" si="29"/>
        <v>0</v>
      </c>
      <c r="K72">
        <f t="shared" si="30"/>
        <v>0</v>
      </c>
      <c r="L72">
        <f t="shared" si="31"/>
        <v>1</v>
      </c>
      <c r="M72">
        <f t="shared" si="32"/>
        <v>0</v>
      </c>
      <c r="N72">
        <v>1</v>
      </c>
      <c r="O72">
        <f t="shared" si="22"/>
        <v>0</v>
      </c>
      <c r="P72">
        <f t="shared" si="23"/>
        <v>1</v>
      </c>
      <c r="Q72">
        <f t="shared" si="24"/>
        <v>0</v>
      </c>
      <c r="R72">
        <f t="shared" si="25"/>
        <v>0</v>
      </c>
      <c r="S72">
        <f t="shared" si="26"/>
        <v>0</v>
      </c>
      <c r="T72">
        <f t="shared" si="33"/>
        <v>0</v>
      </c>
      <c r="U72">
        <f t="shared" si="34"/>
        <v>0</v>
      </c>
      <c r="V72">
        <f t="shared" si="35"/>
        <v>0</v>
      </c>
      <c r="W72">
        <f t="shared" si="36"/>
        <v>0</v>
      </c>
      <c r="X72" t="s">
        <v>46</v>
      </c>
      <c r="Y72" t="s">
        <v>46</v>
      </c>
      <c r="Z72" t="s">
        <v>52</v>
      </c>
      <c r="AA72" t="s">
        <v>47</v>
      </c>
      <c r="AB72">
        <v>2</v>
      </c>
      <c r="AC72">
        <v>4</v>
      </c>
      <c r="AD72">
        <v>0</v>
      </c>
      <c r="AE72" t="s">
        <v>44</v>
      </c>
      <c r="AF72" t="s">
        <v>43</v>
      </c>
      <c r="AG72">
        <f t="shared" si="37"/>
        <v>1</v>
      </c>
      <c r="AH72" t="s">
        <v>43</v>
      </c>
      <c r="AI72">
        <f t="shared" si="38"/>
        <v>1</v>
      </c>
      <c r="AJ72" t="s">
        <v>43</v>
      </c>
      <c r="AK72">
        <f t="shared" si="39"/>
        <v>1</v>
      </c>
      <c r="AL72">
        <f t="shared" si="40"/>
        <v>1</v>
      </c>
      <c r="AM72">
        <v>0</v>
      </c>
      <c r="AN72">
        <f t="shared" si="41"/>
        <v>0</v>
      </c>
      <c r="AO72">
        <f t="shared" si="42"/>
        <v>0</v>
      </c>
      <c r="AP72">
        <f t="shared" si="43"/>
        <v>1</v>
      </c>
      <c r="AQ72">
        <v>13</v>
      </c>
      <c r="AR72">
        <v>15</v>
      </c>
      <c r="AS72">
        <v>15</v>
      </c>
    </row>
    <row r="73" spans="1:45" x14ac:dyDescent="0.2">
      <c r="A73" t="s">
        <v>34</v>
      </c>
      <c r="B73" t="s">
        <v>51</v>
      </c>
      <c r="C73">
        <v>15</v>
      </c>
      <c r="D73" t="s">
        <v>36</v>
      </c>
      <c r="E73" t="s">
        <v>37</v>
      </c>
      <c r="F73" t="s">
        <v>45</v>
      </c>
      <c r="G73">
        <f t="shared" si="27"/>
        <v>1</v>
      </c>
      <c r="H73">
        <v>4</v>
      </c>
      <c r="I73">
        <f t="shared" si="28"/>
        <v>0</v>
      </c>
      <c r="J73">
        <f t="shared" si="29"/>
        <v>0</v>
      </c>
      <c r="K73">
        <f t="shared" si="30"/>
        <v>0</v>
      </c>
      <c r="L73">
        <f t="shared" si="31"/>
        <v>0</v>
      </c>
      <c r="M73">
        <f t="shared" si="32"/>
        <v>1</v>
      </c>
      <c r="N73">
        <v>2</v>
      </c>
      <c r="O73">
        <f t="shared" si="22"/>
        <v>0</v>
      </c>
      <c r="P73">
        <f t="shared" si="23"/>
        <v>0</v>
      </c>
      <c r="Q73">
        <f t="shared" si="24"/>
        <v>1</v>
      </c>
      <c r="R73">
        <f t="shared" si="25"/>
        <v>0</v>
      </c>
      <c r="S73">
        <f t="shared" si="26"/>
        <v>0</v>
      </c>
      <c r="T73">
        <f t="shared" si="33"/>
        <v>0</v>
      </c>
      <c r="U73">
        <f t="shared" si="34"/>
        <v>0</v>
      </c>
      <c r="V73">
        <f t="shared" si="35"/>
        <v>1</v>
      </c>
      <c r="W73">
        <f t="shared" si="36"/>
        <v>0</v>
      </c>
      <c r="X73" t="s">
        <v>46</v>
      </c>
      <c r="Y73" t="s">
        <v>46</v>
      </c>
      <c r="Z73" t="s">
        <v>41</v>
      </c>
      <c r="AA73" t="s">
        <v>42</v>
      </c>
      <c r="AB73">
        <v>1</v>
      </c>
      <c r="AC73">
        <v>4</v>
      </c>
      <c r="AD73">
        <v>0</v>
      </c>
      <c r="AE73" t="s">
        <v>44</v>
      </c>
      <c r="AF73" t="s">
        <v>44</v>
      </c>
      <c r="AG73">
        <f t="shared" si="37"/>
        <v>0</v>
      </c>
      <c r="AH73" t="s">
        <v>44</v>
      </c>
      <c r="AI73">
        <f t="shared" si="38"/>
        <v>0</v>
      </c>
      <c r="AJ73" t="s">
        <v>43</v>
      </c>
      <c r="AK73">
        <f t="shared" si="39"/>
        <v>1</v>
      </c>
      <c r="AL73">
        <f t="shared" si="40"/>
        <v>0</v>
      </c>
      <c r="AM73">
        <v>0</v>
      </c>
      <c r="AN73">
        <f t="shared" si="41"/>
        <v>0</v>
      </c>
      <c r="AO73">
        <f t="shared" si="42"/>
        <v>0</v>
      </c>
      <c r="AP73">
        <f t="shared" si="43"/>
        <v>0</v>
      </c>
      <c r="AQ73">
        <v>10</v>
      </c>
      <c r="AR73">
        <v>10</v>
      </c>
      <c r="AS73">
        <v>10</v>
      </c>
    </row>
    <row r="74" spans="1:45" x14ac:dyDescent="0.2">
      <c r="A74" t="s">
        <v>34</v>
      </c>
      <c r="B74" t="s">
        <v>35</v>
      </c>
      <c r="C74">
        <v>15</v>
      </c>
      <c r="D74" t="s">
        <v>53</v>
      </c>
      <c r="E74" t="s">
        <v>37</v>
      </c>
      <c r="F74" t="s">
        <v>45</v>
      </c>
      <c r="G74">
        <f t="shared" si="27"/>
        <v>1</v>
      </c>
      <c r="H74">
        <v>1</v>
      </c>
      <c r="I74">
        <f t="shared" si="28"/>
        <v>0</v>
      </c>
      <c r="J74">
        <f t="shared" si="29"/>
        <v>1</v>
      </c>
      <c r="K74">
        <f t="shared" si="30"/>
        <v>0</v>
      </c>
      <c r="L74">
        <f t="shared" si="31"/>
        <v>0</v>
      </c>
      <c r="M74">
        <f t="shared" si="32"/>
        <v>0</v>
      </c>
      <c r="N74">
        <v>1</v>
      </c>
      <c r="O74">
        <f t="shared" si="22"/>
        <v>0</v>
      </c>
      <c r="P74">
        <f t="shared" si="23"/>
        <v>1</v>
      </c>
      <c r="Q74">
        <f t="shared" si="24"/>
        <v>0</v>
      </c>
      <c r="R74">
        <f t="shared" si="25"/>
        <v>0</v>
      </c>
      <c r="S74">
        <f t="shared" si="26"/>
        <v>0</v>
      </c>
      <c r="T74">
        <f t="shared" si="33"/>
        <v>0</v>
      </c>
      <c r="U74">
        <f t="shared" si="34"/>
        <v>0</v>
      </c>
      <c r="V74">
        <f t="shared" si="35"/>
        <v>0</v>
      </c>
      <c r="W74">
        <f t="shared" si="36"/>
        <v>0</v>
      </c>
      <c r="X74" t="s">
        <v>46</v>
      </c>
      <c r="Y74" t="s">
        <v>46</v>
      </c>
      <c r="Z74" t="s">
        <v>52</v>
      </c>
      <c r="AA74" t="s">
        <v>42</v>
      </c>
      <c r="AB74">
        <v>1</v>
      </c>
      <c r="AC74">
        <v>2</v>
      </c>
      <c r="AD74">
        <v>2</v>
      </c>
      <c r="AE74" t="s">
        <v>43</v>
      </c>
      <c r="AF74" t="s">
        <v>43</v>
      </c>
      <c r="AG74">
        <f t="shared" si="37"/>
        <v>1</v>
      </c>
      <c r="AH74" t="s">
        <v>44</v>
      </c>
      <c r="AI74">
        <f t="shared" si="38"/>
        <v>0</v>
      </c>
      <c r="AJ74" t="s">
        <v>43</v>
      </c>
      <c r="AK74">
        <f t="shared" si="39"/>
        <v>1</v>
      </c>
      <c r="AL74">
        <f t="shared" si="40"/>
        <v>0</v>
      </c>
      <c r="AM74">
        <v>2</v>
      </c>
      <c r="AN74">
        <f t="shared" si="41"/>
        <v>0</v>
      </c>
      <c r="AO74">
        <f t="shared" si="42"/>
        <v>0</v>
      </c>
      <c r="AP74">
        <f t="shared" si="43"/>
        <v>0</v>
      </c>
      <c r="AQ74">
        <v>8</v>
      </c>
      <c r="AR74">
        <v>6</v>
      </c>
      <c r="AS74">
        <v>5</v>
      </c>
    </row>
    <row r="75" spans="1:45" x14ac:dyDescent="0.2">
      <c r="A75" t="s">
        <v>34</v>
      </c>
      <c r="B75" t="s">
        <v>51</v>
      </c>
      <c r="C75">
        <v>16</v>
      </c>
      <c r="D75" t="s">
        <v>36</v>
      </c>
      <c r="E75" t="s">
        <v>37</v>
      </c>
      <c r="F75" t="s">
        <v>45</v>
      </c>
      <c r="G75">
        <f t="shared" si="27"/>
        <v>1</v>
      </c>
      <c r="H75">
        <v>3</v>
      </c>
      <c r="I75">
        <f t="shared" si="28"/>
        <v>0</v>
      </c>
      <c r="J75">
        <f t="shared" si="29"/>
        <v>0</v>
      </c>
      <c r="K75">
        <f t="shared" si="30"/>
        <v>0</v>
      </c>
      <c r="L75">
        <f t="shared" si="31"/>
        <v>1</v>
      </c>
      <c r="M75">
        <f t="shared" si="32"/>
        <v>0</v>
      </c>
      <c r="N75">
        <v>1</v>
      </c>
      <c r="O75">
        <f t="shared" si="22"/>
        <v>0</v>
      </c>
      <c r="P75">
        <f t="shared" si="23"/>
        <v>1</v>
      </c>
      <c r="Q75">
        <f t="shared" si="24"/>
        <v>0</v>
      </c>
      <c r="R75">
        <f t="shared" si="25"/>
        <v>0</v>
      </c>
      <c r="S75">
        <f t="shared" si="26"/>
        <v>0</v>
      </c>
      <c r="T75">
        <f t="shared" si="33"/>
        <v>0</v>
      </c>
      <c r="U75">
        <f t="shared" si="34"/>
        <v>0</v>
      </c>
      <c r="V75">
        <f t="shared" si="35"/>
        <v>0</v>
      </c>
      <c r="W75">
        <f t="shared" si="36"/>
        <v>0</v>
      </c>
      <c r="X75" t="s">
        <v>46</v>
      </c>
      <c r="Y75" t="s">
        <v>46</v>
      </c>
      <c r="Z75" t="s">
        <v>52</v>
      </c>
      <c r="AA75" t="s">
        <v>42</v>
      </c>
      <c r="AB75">
        <v>1</v>
      </c>
      <c r="AC75">
        <v>1</v>
      </c>
      <c r="AD75">
        <v>0</v>
      </c>
      <c r="AE75" t="s">
        <v>44</v>
      </c>
      <c r="AF75" t="s">
        <v>44</v>
      </c>
      <c r="AG75">
        <f t="shared" si="37"/>
        <v>0</v>
      </c>
      <c r="AH75" t="s">
        <v>44</v>
      </c>
      <c r="AI75">
        <f t="shared" si="38"/>
        <v>0</v>
      </c>
      <c r="AJ75" t="s">
        <v>44</v>
      </c>
      <c r="AK75">
        <f t="shared" si="39"/>
        <v>0</v>
      </c>
      <c r="AL75">
        <f t="shared" si="40"/>
        <v>0</v>
      </c>
      <c r="AM75">
        <v>2</v>
      </c>
      <c r="AN75">
        <f t="shared" si="41"/>
        <v>0</v>
      </c>
      <c r="AO75">
        <f t="shared" si="42"/>
        <v>0</v>
      </c>
      <c r="AP75">
        <f t="shared" si="43"/>
        <v>0</v>
      </c>
      <c r="AQ75">
        <v>12</v>
      </c>
      <c r="AR75">
        <v>12</v>
      </c>
      <c r="AS75">
        <v>14</v>
      </c>
    </row>
    <row r="76" spans="1:45" x14ac:dyDescent="0.2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f t="shared" si="27"/>
        <v>1</v>
      </c>
      <c r="H76">
        <v>3</v>
      </c>
      <c r="I76">
        <f t="shared" si="28"/>
        <v>0</v>
      </c>
      <c r="J76">
        <f t="shared" si="29"/>
        <v>0</v>
      </c>
      <c r="K76">
        <f t="shared" si="30"/>
        <v>0</v>
      </c>
      <c r="L76">
        <f t="shared" si="31"/>
        <v>1</v>
      </c>
      <c r="M76">
        <f t="shared" si="32"/>
        <v>0</v>
      </c>
      <c r="N76">
        <v>3</v>
      </c>
      <c r="O76">
        <f t="shared" si="22"/>
        <v>0</v>
      </c>
      <c r="P76">
        <f t="shared" si="23"/>
        <v>0</v>
      </c>
      <c r="Q76">
        <f t="shared" si="24"/>
        <v>0</v>
      </c>
      <c r="R76">
        <f t="shared" si="25"/>
        <v>1</v>
      </c>
      <c r="S76">
        <f t="shared" si="26"/>
        <v>0</v>
      </c>
      <c r="T76">
        <f t="shared" si="33"/>
        <v>0</v>
      </c>
      <c r="U76">
        <f t="shared" si="34"/>
        <v>0</v>
      </c>
      <c r="V76">
        <f t="shared" si="35"/>
        <v>0</v>
      </c>
      <c r="W76">
        <f t="shared" si="36"/>
        <v>0</v>
      </c>
      <c r="X76" t="s">
        <v>46</v>
      </c>
      <c r="Y76" t="s">
        <v>49</v>
      </c>
      <c r="Z76" t="s">
        <v>50</v>
      </c>
      <c r="AA76" t="s">
        <v>42</v>
      </c>
      <c r="AB76">
        <v>1</v>
      </c>
      <c r="AC76">
        <v>2</v>
      </c>
      <c r="AD76">
        <v>0</v>
      </c>
      <c r="AE76" t="s">
        <v>43</v>
      </c>
      <c r="AF76" t="s">
        <v>43</v>
      </c>
      <c r="AG76">
        <f t="shared" si="37"/>
        <v>1</v>
      </c>
      <c r="AH76" t="s">
        <v>43</v>
      </c>
      <c r="AI76">
        <f t="shared" si="38"/>
        <v>1</v>
      </c>
      <c r="AJ76" t="s">
        <v>43</v>
      </c>
      <c r="AK76">
        <f t="shared" si="39"/>
        <v>1</v>
      </c>
      <c r="AL76">
        <f t="shared" si="40"/>
        <v>1</v>
      </c>
      <c r="AM76">
        <v>54</v>
      </c>
      <c r="AN76">
        <f t="shared" si="41"/>
        <v>0</v>
      </c>
      <c r="AO76">
        <f t="shared" si="42"/>
        <v>0</v>
      </c>
      <c r="AP76">
        <f t="shared" si="43"/>
        <v>1</v>
      </c>
      <c r="AQ76">
        <v>11</v>
      </c>
      <c r="AR76">
        <v>12</v>
      </c>
      <c r="AS76">
        <v>11</v>
      </c>
    </row>
    <row r="77" spans="1:45" x14ac:dyDescent="0.2">
      <c r="A77" t="s">
        <v>34</v>
      </c>
      <c r="B77" t="s">
        <v>51</v>
      </c>
      <c r="C77">
        <v>15</v>
      </c>
      <c r="D77" t="s">
        <v>36</v>
      </c>
      <c r="E77" t="s">
        <v>37</v>
      </c>
      <c r="F77" t="s">
        <v>45</v>
      </c>
      <c r="G77">
        <f t="shared" si="27"/>
        <v>1</v>
      </c>
      <c r="H77">
        <v>4</v>
      </c>
      <c r="I77">
        <f t="shared" si="28"/>
        <v>0</v>
      </c>
      <c r="J77">
        <f t="shared" si="29"/>
        <v>0</v>
      </c>
      <c r="K77">
        <f t="shared" si="30"/>
        <v>0</v>
      </c>
      <c r="L77">
        <f t="shared" si="31"/>
        <v>0</v>
      </c>
      <c r="M77">
        <f t="shared" si="32"/>
        <v>1</v>
      </c>
      <c r="N77">
        <v>3</v>
      </c>
      <c r="O77">
        <f t="shared" si="22"/>
        <v>0</v>
      </c>
      <c r="P77">
        <f t="shared" si="23"/>
        <v>0</v>
      </c>
      <c r="Q77">
        <f t="shared" si="24"/>
        <v>0</v>
      </c>
      <c r="R77">
        <f t="shared" si="25"/>
        <v>1</v>
      </c>
      <c r="S77">
        <f t="shared" si="26"/>
        <v>0</v>
      </c>
      <c r="T77">
        <f t="shared" si="33"/>
        <v>0</v>
      </c>
      <c r="U77">
        <f t="shared" si="34"/>
        <v>1</v>
      </c>
      <c r="V77">
        <f t="shared" si="35"/>
        <v>0</v>
      </c>
      <c r="W77">
        <f t="shared" si="36"/>
        <v>0</v>
      </c>
      <c r="X77" t="s">
        <v>40</v>
      </c>
      <c r="Y77" t="s">
        <v>46</v>
      </c>
      <c r="Z77" t="s">
        <v>50</v>
      </c>
      <c r="AA77" t="s">
        <v>42</v>
      </c>
      <c r="AB77">
        <v>1</v>
      </c>
      <c r="AC77">
        <v>2</v>
      </c>
      <c r="AD77">
        <v>0</v>
      </c>
      <c r="AE77" t="s">
        <v>44</v>
      </c>
      <c r="AF77" t="s">
        <v>43</v>
      </c>
      <c r="AG77">
        <f t="shared" si="37"/>
        <v>1</v>
      </c>
      <c r="AH77" t="s">
        <v>43</v>
      </c>
      <c r="AI77">
        <f t="shared" si="38"/>
        <v>1</v>
      </c>
      <c r="AJ77" t="s">
        <v>43</v>
      </c>
      <c r="AK77">
        <f t="shared" si="39"/>
        <v>1</v>
      </c>
      <c r="AL77">
        <f t="shared" si="40"/>
        <v>1</v>
      </c>
      <c r="AM77">
        <v>6</v>
      </c>
      <c r="AN77">
        <f t="shared" si="41"/>
        <v>0</v>
      </c>
      <c r="AO77">
        <f t="shared" si="42"/>
        <v>1</v>
      </c>
      <c r="AP77">
        <f t="shared" si="43"/>
        <v>0</v>
      </c>
      <c r="AQ77">
        <v>9</v>
      </c>
      <c r="AR77">
        <v>9</v>
      </c>
      <c r="AS77">
        <v>10</v>
      </c>
    </row>
    <row r="78" spans="1:45" x14ac:dyDescent="0.2">
      <c r="A78" t="s">
        <v>34</v>
      </c>
      <c r="B78" t="s">
        <v>51</v>
      </c>
      <c r="C78">
        <v>15</v>
      </c>
      <c r="D78" t="s">
        <v>36</v>
      </c>
      <c r="E78" t="s">
        <v>37</v>
      </c>
      <c r="F78" t="s">
        <v>45</v>
      </c>
      <c r="G78">
        <f t="shared" si="27"/>
        <v>1</v>
      </c>
      <c r="H78">
        <v>4</v>
      </c>
      <c r="I78">
        <f t="shared" si="28"/>
        <v>0</v>
      </c>
      <c r="J78">
        <f t="shared" si="29"/>
        <v>0</v>
      </c>
      <c r="K78">
        <f t="shared" si="30"/>
        <v>0</v>
      </c>
      <c r="L78">
        <f t="shared" si="31"/>
        <v>0</v>
      </c>
      <c r="M78">
        <f t="shared" si="32"/>
        <v>1</v>
      </c>
      <c r="N78">
        <v>0</v>
      </c>
      <c r="O78">
        <f t="shared" si="22"/>
        <v>1</v>
      </c>
      <c r="P78">
        <f t="shared" si="23"/>
        <v>0</v>
      </c>
      <c r="Q78">
        <f t="shared" si="24"/>
        <v>0</v>
      </c>
      <c r="R78">
        <f t="shared" si="25"/>
        <v>0</v>
      </c>
      <c r="S78">
        <f t="shared" si="26"/>
        <v>0</v>
      </c>
      <c r="T78">
        <f t="shared" si="33"/>
        <v>0</v>
      </c>
      <c r="U78">
        <f t="shared" si="34"/>
        <v>0</v>
      </c>
      <c r="V78">
        <f t="shared" si="35"/>
        <v>0</v>
      </c>
      <c r="W78">
        <f t="shared" si="36"/>
        <v>0</v>
      </c>
      <c r="X78" t="s">
        <v>40</v>
      </c>
      <c r="Y78" t="s">
        <v>46</v>
      </c>
      <c r="Z78" t="s">
        <v>41</v>
      </c>
      <c r="AA78" t="s">
        <v>42</v>
      </c>
      <c r="AB78">
        <v>2</v>
      </c>
      <c r="AC78">
        <v>4</v>
      </c>
      <c r="AD78">
        <v>0</v>
      </c>
      <c r="AE78" t="s">
        <v>44</v>
      </c>
      <c r="AF78" t="s">
        <v>44</v>
      </c>
      <c r="AG78">
        <f t="shared" si="37"/>
        <v>0</v>
      </c>
      <c r="AH78" t="s">
        <v>44</v>
      </c>
      <c r="AI78">
        <f t="shared" si="38"/>
        <v>0</v>
      </c>
      <c r="AJ78" t="s">
        <v>43</v>
      </c>
      <c r="AK78">
        <f t="shared" si="39"/>
        <v>1</v>
      </c>
      <c r="AL78">
        <f t="shared" si="40"/>
        <v>0</v>
      </c>
      <c r="AM78">
        <v>8</v>
      </c>
      <c r="AN78">
        <f t="shared" si="41"/>
        <v>0</v>
      </c>
      <c r="AO78">
        <f t="shared" si="42"/>
        <v>0</v>
      </c>
      <c r="AP78">
        <f t="shared" si="43"/>
        <v>0</v>
      </c>
      <c r="AQ78">
        <v>11</v>
      </c>
      <c r="AR78">
        <v>11</v>
      </c>
      <c r="AS78">
        <v>10</v>
      </c>
    </row>
    <row r="79" spans="1:45" x14ac:dyDescent="0.2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f t="shared" si="27"/>
        <v>1</v>
      </c>
      <c r="H79">
        <v>2</v>
      </c>
      <c r="I79">
        <f t="shared" si="28"/>
        <v>0</v>
      </c>
      <c r="J79">
        <f t="shared" si="29"/>
        <v>0</v>
      </c>
      <c r="K79">
        <f t="shared" si="30"/>
        <v>1</v>
      </c>
      <c r="L79">
        <f t="shared" si="31"/>
        <v>0</v>
      </c>
      <c r="M79">
        <f t="shared" si="32"/>
        <v>0</v>
      </c>
      <c r="N79">
        <v>2</v>
      </c>
      <c r="O79">
        <f t="shared" si="22"/>
        <v>0</v>
      </c>
      <c r="P79">
        <f t="shared" si="23"/>
        <v>0</v>
      </c>
      <c r="Q79">
        <f t="shared" si="24"/>
        <v>1</v>
      </c>
      <c r="R79">
        <f t="shared" si="25"/>
        <v>0</v>
      </c>
      <c r="S79">
        <f t="shared" si="26"/>
        <v>0</v>
      </c>
      <c r="T79">
        <f t="shared" si="33"/>
        <v>0</v>
      </c>
      <c r="U79">
        <f t="shared" si="34"/>
        <v>0</v>
      </c>
      <c r="V79">
        <f t="shared" si="35"/>
        <v>0</v>
      </c>
      <c r="W79">
        <f t="shared" si="36"/>
        <v>0</v>
      </c>
      <c r="X79" t="s">
        <v>46</v>
      </c>
      <c r="Y79" t="s">
        <v>46</v>
      </c>
      <c r="Z79" t="s">
        <v>52</v>
      </c>
      <c r="AA79" t="s">
        <v>42</v>
      </c>
      <c r="AB79">
        <v>1</v>
      </c>
      <c r="AC79">
        <v>4</v>
      </c>
      <c r="AD79">
        <v>0</v>
      </c>
      <c r="AE79" t="s">
        <v>44</v>
      </c>
      <c r="AF79" t="s">
        <v>44</v>
      </c>
      <c r="AG79">
        <f t="shared" si="37"/>
        <v>0</v>
      </c>
      <c r="AH79" t="s">
        <v>43</v>
      </c>
      <c r="AI79">
        <f t="shared" si="38"/>
        <v>1</v>
      </c>
      <c r="AJ79" t="s">
        <v>43</v>
      </c>
      <c r="AK79">
        <f t="shared" si="39"/>
        <v>1</v>
      </c>
      <c r="AL79">
        <f t="shared" si="40"/>
        <v>1</v>
      </c>
      <c r="AM79">
        <v>0</v>
      </c>
      <c r="AN79">
        <f t="shared" si="41"/>
        <v>0</v>
      </c>
      <c r="AO79">
        <f t="shared" si="42"/>
        <v>0</v>
      </c>
      <c r="AP79">
        <f t="shared" si="43"/>
        <v>0</v>
      </c>
      <c r="AQ79">
        <v>11</v>
      </c>
      <c r="AR79">
        <v>11</v>
      </c>
      <c r="AS79">
        <v>11</v>
      </c>
    </row>
    <row r="80" spans="1:45" x14ac:dyDescent="0.2">
      <c r="A80" t="s">
        <v>34</v>
      </c>
      <c r="B80" t="s">
        <v>51</v>
      </c>
      <c r="C80">
        <v>17</v>
      </c>
      <c r="D80" t="s">
        <v>36</v>
      </c>
      <c r="E80" t="s">
        <v>37</v>
      </c>
      <c r="F80" t="s">
        <v>45</v>
      </c>
      <c r="G80">
        <f t="shared" si="27"/>
        <v>1</v>
      </c>
      <c r="H80">
        <v>2</v>
      </c>
      <c r="I80">
        <f t="shared" si="28"/>
        <v>0</v>
      </c>
      <c r="J80">
        <f t="shared" si="29"/>
        <v>0</v>
      </c>
      <c r="K80">
        <f t="shared" si="30"/>
        <v>1</v>
      </c>
      <c r="L80">
        <f t="shared" si="31"/>
        <v>0</v>
      </c>
      <c r="M80">
        <f t="shared" si="32"/>
        <v>0</v>
      </c>
      <c r="N80">
        <v>1</v>
      </c>
      <c r="O80">
        <f t="shared" si="22"/>
        <v>0</v>
      </c>
      <c r="P80">
        <f t="shared" si="23"/>
        <v>1</v>
      </c>
      <c r="Q80">
        <f t="shared" si="24"/>
        <v>0</v>
      </c>
      <c r="R80">
        <f t="shared" si="25"/>
        <v>0</v>
      </c>
      <c r="S80">
        <f t="shared" si="26"/>
        <v>0</v>
      </c>
      <c r="T80">
        <f t="shared" si="33"/>
        <v>0</v>
      </c>
      <c r="U80">
        <f t="shared" si="34"/>
        <v>0</v>
      </c>
      <c r="V80">
        <f t="shared" si="35"/>
        <v>0</v>
      </c>
      <c r="W80">
        <f t="shared" si="36"/>
        <v>0</v>
      </c>
      <c r="X80" t="s">
        <v>46</v>
      </c>
      <c r="Y80" t="s">
        <v>46</v>
      </c>
      <c r="Z80" t="s">
        <v>50</v>
      </c>
      <c r="AA80" t="s">
        <v>42</v>
      </c>
      <c r="AB80">
        <v>2</v>
      </c>
      <c r="AC80">
        <v>1</v>
      </c>
      <c r="AD80">
        <v>3</v>
      </c>
      <c r="AE80" t="s">
        <v>43</v>
      </c>
      <c r="AF80" t="s">
        <v>43</v>
      </c>
      <c r="AG80">
        <f t="shared" si="37"/>
        <v>1</v>
      </c>
      <c r="AH80" t="s">
        <v>44</v>
      </c>
      <c r="AI80">
        <f t="shared" si="38"/>
        <v>0</v>
      </c>
      <c r="AJ80" t="s">
        <v>43</v>
      </c>
      <c r="AK80">
        <f t="shared" si="39"/>
        <v>1</v>
      </c>
      <c r="AL80">
        <f t="shared" si="40"/>
        <v>0</v>
      </c>
      <c r="AM80">
        <v>2</v>
      </c>
      <c r="AN80">
        <f t="shared" si="41"/>
        <v>0</v>
      </c>
      <c r="AO80">
        <f t="shared" si="42"/>
        <v>0</v>
      </c>
      <c r="AP80">
        <f t="shared" si="43"/>
        <v>0</v>
      </c>
      <c r="AQ80">
        <v>8</v>
      </c>
      <c r="AR80">
        <v>8</v>
      </c>
      <c r="AS80">
        <v>10</v>
      </c>
    </row>
    <row r="81" spans="1:45" x14ac:dyDescent="0.2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f t="shared" si="27"/>
        <v>1</v>
      </c>
      <c r="H81">
        <v>3</v>
      </c>
      <c r="I81">
        <f t="shared" si="28"/>
        <v>0</v>
      </c>
      <c r="J81">
        <f t="shared" si="29"/>
        <v>0</v>
      </c>
      <c r="K81">
        <f t="shared" si="30"/>
        <v>0</v>
      </c>
      <c r="L81">
        <f t="shared" si="31"/>
        <v>1</v>
      </c>
      <c r="M81">
        <f t="shared" si="32"/>
        <v>0</v>
      </c>
      <c r="N81">
        <v>4</v>
      </c>
      <c r="O81">
        <f t="shared" si="22"/>
        <v>0</v>
      </c>
      <c r="P81">
        <f t="shared" si="23"/>
        <v>0</v>
      </c>
      <c r="Q81">
        <f t="shared" si="24"/>
        <v>0</v>
      </c>
      <c r="R81">
        <f t="shared" si="25"/>
        <v>0</v>
      </c>
      <c r="S81">
        <f t="shared" si="26"/>
        <v>1</v>
      </c>
      <c r="T81">
        <f t="shared" si="33"/>
        <v>0</v>
      </c>
      <c r="U81">
        <f t="shared" si="34"/>
        <v>0</v>
      </c>
      <c r="V81">
        <f t="shared" si="35"/>
        <v>0</v>
      </c>
      <c r="W81">
        <f t="shared" si="36"/>
        <v>1</v>
      </c>
      <c r="X81" t="s">
        <v>39</v>
      </c>
      <c r="Y81" t="s">
        <v>46</v>
      </c>
      <c r="Z81" t="s">
        <v>41</v>
      </c>
      <c r="AA81" t="s">
        <v>42</v>
      </c>
      <c r="AB81">
        <v>1</v>
      </c>
      <c r="AC81">
        <v>2</v>
      </c>
      <c r="AD81">
        <v>0</v>
      </c>
      <c r="AE81" t="s">
        <v>44</v>
      </c>
      <c r="AF81" t="s">
        <v>43</v>
      </c>
      <c r="AG81">
        <f t="shared" si="37"/>
        <v>1</v>
      </c>
      <c r="AH81" t="s">
        <v>44</v>
      </c>
      <c r="AI81">
        <f t="shared" si="38"/>
        <v>0</v>
      </c>
      <c r="AJ81" t="s">
        <v>43</v>
      </c>
      <c r="AK81">
        <f t="shared" si="39"/>
        <v>1</v>
      </c>
      <c r="AL81">
        <f t="shared" si="40"/>
        <v>0</v>
      </c>
      <c r="AM81">
        <v>12</v>
      </c>
      <c r="AN81">
        <f t="shared" si="41"/>
        <v>0</v>
      </c>
      <c r="AO81">
        <f t="shared" si="42"/>
        <v>0</v>
      </c>
      <c r="AP81">
        <f t="shared" si="43"/>
        <v>0</v>
      </c>
      <c r="AQ81">
        <v>5</v>
      </c>
      <c r="AR81">
        <v>5</v>
      </c>
      <c r="AS81">
        <v>5</v>
      </c>
    </row>
    <row r="82" spans="1:45" x14ac:dyDescent="0.2">
      <c r="A82" t="s">
        <v>34</v>
      </c>
      <c r="B82" t="s">
        <v>51</v>
      </c>
      <c r="C82">
        <v>15</v>
      </c>
      <c r="D82" t="s">
        <v>36</v>
      </c>
      <c r="E82" t="s">
        <v>37</v>
      </c>
      <c r="F82" t="s">
        <v>45</v>
      </c>
      <c r="G82">
        <f t="shared" si="27"/>
        <v>1</v>
      </c>
      <c r="H82">
        <v>2</v>
      </c>
      <c r="I82">
        <f t="shared" si="28"/>
        <v>0</v>
      </c>
      <c r="J82">
        <f t="shared" si="29"/>
        <v>0</v>
      </c>
      <c r="K82">
        <f t="shared" si="30"/>
        <v>1</v>
      </c>
      <c r="L82">
        <f t="shared" si="31"/>
        <v>0</v>
      </c>
      <c r="M82">
        <f t="shared" si="32"/>
        <v>0</v>
      </c>
      <c r="N82">
        <v>3</v>
      </c>
      <c r="O82">
        <f t="shared" si="22"/>
        <v>0</v>
      </c>
      <c r="P82">
        <f t="shared" si="23"/>
        <v>0</v>
      </c>
      <c r="Q82">
        <f t="shared" si="24"/>
        <v>0</v>
      </c>
      <c r="R82">
        <f t="shared" si="25"/>
        <v>1</v>
      </c>
      <c r="S82">
        <f t="shared" si="26"/>
        <v>0</v>
      </c>
      <c r="T82">
        <f t="shared" si="33"/>
        <v>0</v>
      </c>
      <c r="U82">
        <f t="shared" si="34"/>
        <v>0</v>
      </c>
      <c r="V82">
        <f t="shared" si="35"/>
        <v>0</v>
      </c>
      <c r="W82">
        <f t="shared" si="36"/>
        <v>0</v>
      </c>
      <c r="X82" t="s">
        <v>46</v>
      </c>
      <c r="Y82" t="s">
        <v>49</v>
      </c>
      <c r="Z82" t="s">
        <v>41</v>
      </c>
      <c r="AA82" t="s">
        <v>47</v>
      </c>
      <c r="AB82">
        <v>1</v>
      </c>
      <c r="AC82">
        <v>1</v>
      </c>
      <c r="AD82">
        <v>0</v>
      </c>
      <c r="AE82" t="s">
        <v>43</v>
      </c>
      <c r="AF82" t="s">
        <v>43</v>
      </c>
      <c r="AG82">
        <f t="shared" si="37"/>
        <v>1</v>
      </c>
      <c r="AH82" t="s">
        <v>43</v>
      </c>
      <c r="AI82">
        <f t="shared" si="38"/>
        <v>1</v>
      </c>
      <c r="AJ82" t="s">
        <v>43</v>
      </c>
      <c r="AK82">
        <f t="shared" si="39"/>
        <v>1</v>
      </c>
      <c r="AL82">
        <f t="shared" si="40"/>
        <v>1</v>
      </c>
      <c r="AM82">
        <v>2</v>
      </c>
      <c r="AN82">
        <f t="shared" si="41"/>
        <v>0</v>
      </c>
      <c r="AO82">
        <f t="shared" si="42"/>
        <v>0</v>
      </c>
      <c r="AP82">
        <f t="shared" si="43"/>
        <v>0</v>
      </c>
      <c r="AQ82">
        <v>10</v>
      </c>
      <c r="AR82">
        <v>12</v>
      </c>
      <c r="AS82">
        <v>12</v>
      </c>
    </row>
    <row r="83" spans="1:45" x14ac:dyDescent="0.2">
      <c r="A83" t="s">
        <v>34</v>
      </c>
      <c r="B83" t="s">
        <v>51</v>
      </c>
      <c r="C83">
        <v>15</v>
      </c>
      <c r="D83" t="s">
        <v>36</v>
      </c>
      <c r="E83" t="s">
        <v>37</v>
      </c>
      <c r="F83" t="s">
        <v>45</v>
      </c>
      <c r="G83">
        <f t="shared" si="27"/>
        <v>1</v>
      </c>
      <c r="H83">
        <v>2</v>
      </c>
      <c r="I83">
        <f t="shared" si="28"/>
        <v>0</v>
      </c>
      <c r="J83">
        <f t="shared" si="29"/>
        <v>0</v>
      </c>
      <c r="K83">
        <f t="shared" si="30"/>
        <v>1</v>
      </c>
      <c r="L83">
        <f t="shared" si="31"/>
        <v>0</v>
      </c>
      <c r="M83">
        <f t="shared" si="32"/>
        <v>0</v>
      </c>
      <c r="N83">
        <v>3</v>
      </c>
      <c r="O83">
        <f t="shared" si="22"/>
        <v>0</v>
      </c>
      <c r="P83">
        <f t="shared" si="23"/>
        <v>0</v>
      </c>
      <c r="Q83">
        <f t="shared" si="24"/>
        <v>0</v>
      </c>
      <c r="R83">
        <f t="shared" si="25"/>
        <v>1</v>
      </c>
      <c r="S83">
        <f t="shared" si="26"/>
        <v>0</v>
      </c>
      <c r="T83">
        <f t="shared" si="33"/>
        <v>0</v>
      </c>
      <c r="U83">
        <f t="shared" si="34"/>
        <v>0</v>
      </c>
      <c r="V83">
        <f t="shared" si="35"/>
        <v>0</v>
      </c>
      <c r="W83">
        <f t="shared" si="36"/>
        <v>0</v>
      </c>
      <c r="X83" t="s">
        <v>46</v>
      </c>
      <c r="Y83" t="s">
        <v>46</v>
      </c>
      <c r="Z83" t="s">
        <v>50</v>
      </c>
      <c r="AA83" t="s">
        <v>42</v>
      </c>
      <c r="AB83">
        <v>1</v>
      </c>
      <c r="AC83">
        <v>3</v>
      </c>
      <c r="AD83">
        <v>0</v>
      </c>
      <c r="AE83" t="s">
        <v>43</v>
      </c>
      <c r="AF83" t="s">
        <v>44</v>
      </c>
      <c r="AG83">
        <f t="shared" si="37"/>
        <v>0</v>
      </c>
      <c r="AH83" t="s">
        <v>43</v>
      </c>
      <c r="AI83">
        <f t="shared" si="38"/>
        <v>1</v>
      </c>
      <c r="AJ83" t="s">
        <v>43</v>
      </c>
      <c r="AK83">
        <f t="shared" si="39"/>
        <v>1</v>
      </c>
      <c r="AL83">
        <f t="shared" si="40"/>
        <v>1</v>
      </c>
      <c r="AM83">
        <v>4</v>
      </c>
      <c r="AN83">
        <f t="shared" si="41"/>
        <v>0</v>
      </c>
      <c r="AO83">
        <f t="shared" si="42"/>
        <v>0</v>
      </c>
      <c r="AP83">
        <f t="shared" si="43"/>
        <v>0</v>
      </c>
      <c r="AQ83">
        <v>11</v>
      </c>
      <c r="AR83">
        <v>10</v>
      </c>
      <c r="AS83">
        <v>11</v>
      </c>
    </row>
    <row r="84" spans="1:45" x14ac:dyDescent="0.2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f t="shared" si="27"/>
        <v>1</v>
      </c>
      <c r="H84">
        <v>3</v>
      </c>
      <c r="I84">
        <f t="shared" si="28"/>
        <v>0</v>
      </c>
      <c r="J84">
        <f t="shared" si="29"/>
        <v>0</v>
      </c>
      <c r="K84">
        <f t="shared" si="30"/>
        <v>0</v>
      </c>
      <c r="L84">
        <f t="shared" si="31"/>
        <v>1</v>
      </c>
      <c r="M84">
        <f t="shared" si="32"/>
        <v>0</v>
      </c>
      <c r="N84">
        <v>2</v>
      </c>
      <c r="O84">
        <f t="shared" si="22"/>
        <v>0</v>
      </c>
      <c r="P84">
        <f t="shared" si="23"/>
        <v>0</v>
      </c>
      <c r="Q84">
        <f t="shared" si="24"/>
        <v>1</v>
      </c>
      <c r="R84">
        <f t="shared" si="25"/>
        <v>0</v>
      </c>
      <c r="S84">
        <f t="shared" si="26"/>
        <v>0</v>
      </c>
      <c r="T84">
        <f t="shared" si="33"/>
        <v>0</v>
      </c>
      <c r="U84">
        <f t="shared" si="34"/>
        <v>0</v>
      </c>
      <c r="V84">
        <f t="shared" si="35"/>
        <v>0</v>
      </c>
      <c r="W84">
        <f t="shared" si="36"/>
        <v>0</v>
      </c>
      <c r="X84" t="s">
        <v>49</v>
      </c>
      <c r="Y84" t="s">
        <v>46</v>
      </c>
      <c r="Z84" t="s">
        <v>52</v>
      </c>
      <c r="AA84" t="s">
        <v>42</v>
      </c>
      <c r="AB84">
        <v>1</v>
      </c>
      <c r="AC84">
        <v>2</v>
      </c>
      <c r="AD84">
        <v>0</v>
      </c>
      <c r="AE84" t="s">
        <v>44</v>
      </c>
      <c r="AF84" t="s">
        <v>43</v>
      </c>
      <c r="AG84">
        <f t="shared" si="37"/>
        <v>1</v>
      </c>
      <c r="AH84" t="s">
        <v>43</v>
      </c>
      <c r="AI84">
        <f t="shared" si="38"/>
        <v>1</v>
      </c>
      <c r="AJ84" t="s">
        <v>43</v>
      </c>
      <c r="AK84">
        <f t="shared" si="39"/>
        <v>1</v>
      </c>
      <c r="AL84">
        <f t="shared" si="40"/>
        <v>1</v>
      </c>
      <c r="AM84">
        <v>10</v>
      </c>
      <c r="AN84">
        <f t="shared" si="41"/>
        <v>0</v>
      </c>
      <c r="AO84">
        <f t="shared" si="42"/>
        <v>0</v>
      </c>
      <c r="AP84">
        <f t="shared" si="43"/>
        <v>1</v>
      </c>
      <c r="AQ84">
        <v>7</v>
      </c>
      <c r="AR84">
        <v>6</v>
      </c>
      <c r="AS84">
        <v>6</v>
      </c>
    </row>
    <row r="85" spans="1:45" x14ac:dyDescent="0.2">
      <c r="A85" t="s">
        <v>34</v>
      </c>
      <c r="B85" t="s">
        <v>51</v>
      </c>
      <c r="C85">
        <v>15</v>
      </c>
      <c r="D85" t="s">
        <v>36</v>
      </c>
      <c r="E85" t="s">
        <v>48</v>
      </c>
      <c r="F85" t="s">
        <v>45</v>
      </c>
      <c r="G85">
        <f t="shared" si="27"/>
        <v>1</v>
      </c>
      <c r="H85">
        <v>2</v>
      </c>
      <c r="I85">
        <f t="shared" si="28"/>
        <v>0</v>
      </c>
      <c r="J85">
        <f t="shared" si="29"/>
        <v>0</v>
      </c>
      <c r="K85">
        <f t="shared" si="30"/>
        <v>1</v>
      </c>
      <c r="L85">
        <f t="shared" si="31"/>
        <v>0</v>
      </c>
      <c r="M85">
        <f t="shared" si="32"/>
        <v>0</v>
      </c>
      <c r="N85">
        <v>2</v>
      </c>
      <c r="O85">
        <f t="shared" si="22"/>
        <v>0</v>
      </c>
      <c r="P85">
        <f t="shared" si="23"/>
        <v>0</v>
      </c>
      <c r="Q85">
        <f t="shared" si="24"/>
        <v>1</v>
      </c>
      <c r="R85">
        <f t="shared" si="25"/>
        <v>0</v>
      </c>
      <c r="S85">
        <f t="shared" si="26"/>
        <v>0</v>
      </c>
      <c r="T85">
        <f t="shared" si="33"/>
        <v>0</v>
      </c>
      <c r="U85">
        <f t="shared" si="34"/>
        <v>0</v>
      </c>
      <c r="V85">
        <f t="shared" si="35"/>
        <v>0</v>
      </c>
      <c r="W85">
        <f t="shared" si="36"/>
        <v>0</v>
      </c>
      <c r="X85" t="s">
        <v>49</v>
      </c>
      <c r="Y85" t="s">
        <v>49</v>
      </c>
      <c r="Z85" t="s">
        <v>50</v>
      </c>
      <c r="AA85" t="s">
        <v>42</v>
      </c>
      <c r="AB85">
        <v>2</v>
      </c>
      <c r="AC85">
        <v>2</v>
      </c>
      <c r="AD85">
        <v>0</v>
      </c>
      <c r="AE85" t="s">
        <v>44</v>
      </c>
      <c r="AF85" t="s">
        <v>44</v>
      </c>
      <c r="AG85">
        <f t="shared" si="37"/>
        <v>0</v>
      </c>
      <c r="AH85" t="s">
        <v>43</v>
      </c>
      <c r="AI85">
        <f t="shared" si="38"/>
        <v>1</v>
      </c>
      <c r="AJ85" t="s">
        <v>43</v>
      </c>
      <c r="AK85">
        <f t="shared" si="39"/>
        <v>1</v>
      </c>
      <c r="AL85">
        <f t="shared" si="40"/>
        <v>1</v>
      </c>
      <c r="AM85">
        <v>4</v>
      </c>
      <c r="AN85">
        <f t="shared" si="41"/>
        <v>0</v>
      </c>
      <c r="AO85">
        <f t="shared" si="42"/>
        <v>0</v>
      </c>
      <c r="AP85">
        <f t="shared" si="43"/>
        <v>0</v>
      </c>
      <c r="AQ85">
        <v>15</v>
      </c>
      <c r="AR85">
        <v>15</v>
      </c>
      <c r="AS85">
        <v>15</v>
      </c>
    </row>
    <row r="86" spans="1:45" x14ac:dyDescent="0.2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f t="shared" si="27"/>
        <v>1</v>
      </c>
      <c r="H86">
        <v>1</v>
      </c>
      <c r="I86">
        <f t="shared" si="28"/>
        <v>0</v>
      </c>
      <c r="J86">
        <f t="shared" si="29"/>
        <v>1</v>
      </c>
      <c r="K86">
        <f t="shared" si="30"/>
        <v>0</v>
      </c>
      <c r="L86">
        <f t="shared" si="31"/>
        <v>0</v>
      </c>
      <c r="M86">
        <f t="shared" si="32"/>
        <v>0</v>
      </c>
      <c r="N86">
        <v>1</v>
      </c>
      <c r="O86">
        <f t="shared" si="22"/>
        <v>0</v>
      </c>
      <c r="P86">
        <f t="shared" si="23"/>
        <v>1</v>
      </c>
      <c r="Q86">
        <f t="shared" si="24"/>
        <v>0</v>
      </c>
      <c r="R86">
        <f t="shared" si="25"/>
        <v>0</v>
      </c>
      <c r="S86">
        <f t="shared" si="26"/>
        <v>0</v>
      </c>
      <c r="T86">
        <f t="shared" si="33"/>
        <v>0</v>
      </c>
      <c r="U86">
        <f t="shared" si="34"/>
        <v>0</v>
      </c>
      <c r="V86">
        <f t="shared" si="35"/>
        <v>0</v>
      </c>
      <c r="W86">
        <f t="shared" si="36"/>
        <v>0</v>
      </c>
      <c r="X86" t="s">
        <v>46</v>
      </c>
      <c r="Y86" t="s">
        <v>46</v>
      </c>
      <c r="Z86" t="s">
        <v>50</v>
      </c>
      <c r="AA86" t="s">
        <v>47</v>
      </c>
      <c r="AB86">
        <v>1</v>
      </c>
      <c r="AC86">
        <v>2</v>
      </c>
      <c r="AD86">
        <v>0</v>
      </c>
      <c r="AE86" t="s">
        <v>44</v>
      </c>
      <c r="AF86" t="s">
        <v>43</v>
      </c>
      <c r="AG86">
        <f t="shared" si="37"/>
        <v>1</v>
      </c>
      <c r="AH86" t="s">
        <v>44</v>
      </c>
      <c r="AI86">
        <f t="shared" si="38"/>
        <v>0</v>
      </c>
      <c r="AJ86" t="s">
        <v>43</v>
      </c>
      <c r="AK86">
        <f t="shared" si="39"/>
        <v>1</v>
      </c>
      <c r="AL86">
        <f t="shared" si="40"/>
        <v>0</v>
      </c>
      <c r="AM86">
        <v>2</v>
      </c>
      <c r="AN86">
        <f t="shared" si="41"/>
        <v>0</v>
      </c>
      <c r="AO86">
        <f t="shared" si="42"/>
        <v>0</v>
      </c>
      <c r="AP86">
        <f t="shared" si="43"/>
        <v>0</v>
      </c>
      <c r="AQ86">
        <v>9</v>
      </c>
      <c r="AR86">
        <v>10</v>
      </c>
      <c r="AS86">
        <v>10</v>
      </c>
    </row>
    <row r="87" spans="1:45" x14ac:dyDescent="0.2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f t="shared" si="27"/>
        <v>1</v>
      </c>
      <c r="H87">
        <v>4</v>
      </c>
      <c r="I87">
        <f t="shared" si="28"/>
        <v>0</v>
      </c>
      <c r="J87">
        <f t="shared" si="29"/>
        <v>0</v>
      </c>
      <c r="K87">
        <f t="shared" si="30"/>
        <v>0</v>
      </c>
      <c r="L87">
        <f t="shared" si="31"/>
        <v>0</v>
      </c>
      <c r="M87">
        <f t="shared" si="32"/>
        <v>1</v>
      </c>
      <c r="N87">
        <v>4</v>
      </c>
      <c r="O87">
        <f t="shared" si="22"/>
        <v>0</v>
      </c>
      <c r="P87">
        <f t="shared" si="23"/>
        <v>0</v>
      </c>
      <c r="Q87">
        <f t="shared" si="24"/>
        <v>0</v>
      </c>
      <c r="R87">
        <f t="shared" si="25"/>
        <v>0</v>
      </c>
      <c r="S87">
        <f t="shared" si="26"/>
        <v>1</v>
      </c>
      <c r="T87">
        <f t="shared" si="33"/>
        <v>1</v>
      </c>
      <c r="U87">
        <f t="shared" si="34"/>
        <v>0</v>
      </c>
      <c r="V87">
        <f t="shared" si="35"/>
        <v>0</v>
      </c>
      <c r="W87">
        <f t="shared" si="36"/>
        <v>0</v>
      </c>
      <c r="X87" t="s">
        <v>49</v>
      </c>
      <c r="Y87" t="s">
        <v>49</v>
      </c>
      <c r="Z87" t="s">
        <v>52</v>
      </c>
      <c r="AA87" t="s">
        <v>47</v>
      </c>
      <c r="AB87">
        <v>2</v>
      </c>
      <c r="AC87">
        <v>2</v>
      </c>
      <c r="AD87">
        <v>2</v>
      </c>
      <c r="AE87" t="s">
        <v>44</v>
      </c>
      <c r="AF87" t="s">
        <v>44</v>
      </c>
      <c r="AG87">
        <f t="shared" si="37"/>
        <v>0</v>
      </c>
      <c r="AH87" t="s">
        <v>43</v>
      </c>
      <c r="AI87">
        <f t="shared" si="38"/>
        <v>1</v>
      </c>
      <c r="AJ87" t="s">
        <v>43</v>
      </c>
      <c r="AK87">
        <f t="shared" si="39"/>
        <v>1</v>
      </c>
      <c r="AL87">
        <f t="shared" si="40"/>
        <v>1</v>
      </c>
      <c r="AM87">
        <v>6</v>
      </c>
      <c r="AN87">
        <f t="shared" si="41"/>
        <v>0</v>
      </c>
      <c r="AO87">
        <f t="shared" si="42"/>
        <v>1</v>
      </c>
      <c r="AP87">
        <f t="shared" si="43"/>
        <v>0</v>
      </c>
      <c r="AQ87">
        <v>7</v>
      </c>
      <c r="AR87">
        <v>9</v>
      </c>
      <c r="AS87">
        <v>8</v>
      </c>
    </row>
    <row r="88" spans="1:45" x14ac:dyDescent="0.2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f t="shared" si="27"/>
        <v>1</v>
      </c>
      <c r="H88">
        <v>2</v>
      </c>
      <c r="I88">
        <f t="shared" si="28"/>
        <v>0</v>
      </c>
      <c r="J88">
        <f t="shared" si="29"/>
        <v>0</v>
      </c>
      <c r="K88">
        <f t="shared" si="30"/>
        <v>1</v>
      </c>
      <c r="L88">
        <f t="shared" si="31"/>
        <v>0</v>
      </c>
      <c r="M88">
        <f t="shared" si="32"/>
        <v>0</v>
      </c>
      <c r="N88">
        <v>2</v>
      </c>
      <c r="O88">
        <f t="shared" si="22"/>
        <v>0</v>
      </c>
      <c r="P88">
        <f t="shared" si="23"/>
        <v>0</v>
      </c>
      <c r="Q88">
        <f t="shared" si="24"/>
        <v>1</v>
      </c>
      <c r="R88">
        <f t="shared" si="25"/>
        <v>0</v>
      </c>
      <c r="S88">
        <f t="shared" si="26"/>
        <v>0</v>
      </c>
      <c r="T88">
        <f t="shared" si="33"/>
        <v>0</v>
      </c>
      <c r="U88">
        <f t="shared" si="34"/>
        <v>0</v>
      </c>
      <c r="V88">
        <f t="shared" si="35"/>
        <v>0</v>
      </c>
      <c r="W88">
        <f t="shared" si="36"/>
        <v>0</v>
      </c>
      <c r="X88" t="s">
        <v>39</v>
      </c>
      <c r="Y88" t="s">
        <v>46</v>
      </c>
      <c r="Z88" t="s">
        <v>41</v>
      </c>
      <c r="AA88" t="s">
        <v>42</v>
      </c>
      <c r="AB88">
        <v>1</v>
      </c>
      <c r="AC88">
        <v>2</v>
      </c>
      <c r="AD88">
        <v>0</v>
      </c>
      <c r="AE88" t="s">
        <v>44</v>
      </c>
      <c r="AF88" t="s">
        <v>43</v>
      </c>
      <c r="AG88">
        <f t="shared" si="37"/>
        <v>1</v>
      </c>
      <c r="AH88" t="s">
        <v>44</v>
      </c>
      <c r="AI88">
        <f t="shared" si="38"/>
        <v>0</v>
      </c>
      <c r="AJ88" t="s">
        <v>44</v>
      </c>
      <c r="AK88">
        <f t="shared" si="39"/>
        <v>0</v>
      </c>
      <c r="AL88">
        <f t="shared" si="40"/>
        <v>0</v>
      </c>
      <c r="AM88">
        <v>4</v>
      </c>
      <c r="AN88">
        <f t="shared" si="41"/>
        <v>0</v>
      </c>
      <c r="AO88">
        <f t="shared" si="42"/>
        <v>0</v>
      </c>
      <c r="AP88">
        <f t="shared" si="43"/>
        <v>0</v>
      </c>
      <c r="AQ88">
        <v>8</v>
      </c>
      <c r="AR88">
        <v>7</v>
      </c>
      <c r="AS88">
        <v>6</v>
      </c>
    </row>
    <row r="89" spans="1:45" x14ac:dyDescent="0.2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f t="shared" si="27"/>
        <v>1</v>
      </c>
      <c r="H89">
        <v>4</v>
      </c>
      <c r="I89">
        <f t="shared" si="28"/>
        <v>0</v>
      </c>
      <c r="J89">
        <f t="shared" si="29"/>
        <v>0</v>
      </c>
      <c r="K89">
        <f t="shared" si="30"/>
        <v>0</v>
      </c>
      <c r="L89">
        <f t="shared" si="31"/>
        <v>0</v>
      </c>
      <c r="M89">
        <f t="shared" si="32"/>
        <v>1</v>
      </c>
      <c r="N89">
        <v>2</v>
      </c>
      <c r="O89">
        <f t="shared" si="22"/>
        <v>0</v>
      </c>
      <c r="P89">
        <f t="shared" si="23"/>
        <v>0</v>
      </c>
      <c r="Q89">
        <f t="shared" si="24"/>
        <v>1</v>
      </c>
      <c r="R89">
        <f t="shared" si="25"/>
        <v>0</v>
      </c>
      <c r="S89">
        <f t="shared" si="26"/>
        <v>0</v>
      </c>
      <c r="T89">
        <f t="shared" si="33"/>
        <v>0</v>
      </c>
      <c r="U89">
        <f t="shared" si="34"/>
        <v>0</v>
      </c>
      <c r="V89">
        <f t="shared" si="35"/>
        <v>1</v>
      </c>
      <c r="W89">
        <f t="shared" si="36"/>
        <v>0</v>
      </c>
      <c r="X89" t="s">
        <v>46</v>
      </c>
      <c r="Y89" t="s">
        <v>46</v>
      </c>
      <c r="Z89" t="s">
        <v>52</v>
      </c>
      <c r="AA89" t="s">
        <v>42</v>
      </c>
      <c r="AB89">
        <v>1</v>
      </c>
      <c r="AC89">
        <v>3</v>
      </c>
      <c r="AD89">
        <v>0</v>
      </c>
      <c r="AE89" t="s">
        <v>44</v>
      </c>
      <c r="AF89" t="s">
        <v>43</v>
      </c>
      <c r="AG89">
        <f t="shared" si="37"/>
        <v>1</v>
      </c>
      <c r="AH89" t="s">
        <v>44</v>
      </c>
      <c r="AI89">
        <f t="shared" si="38"/>
        <v>0</v>
      </c>
      <c r="AJ89" t="s">
        <v>43</v>
      </c>
      <c r="AK89">
        <f t="shared" si="39"/>
        <v>1</v>
      </c>
      <c r="AL89">
        <f t="shared" si="40"/>
        <v>0</v>
      </c>
      <c r="AM89">
        <v>4</v>
      </c>
      <c r="AN89">
        <f t="shared" si="41"/>
        <v>0</v>
      </c>
      <c r="AO89">
        <f t="shared" si="42"/>
        <v>0</v>
      </c>
      <c r="AP89">
        <f t="shared" si="43"/>
        <v>0</v>
      </c>
      <c r="AQ89">
        <v>13</v>
      </c>
      <c r="AR89">
        <v>14</v>
      </c>
      <c r="AS89">
        <v>14</v>
      </c>
    </row>
    <row r="90" spans="1:45" x14ac:dyDescent="0.2">
      <c r="A90" t="s">
        <v>34</v>
      </c>
      <c r="B90" t="s">
        <v>51</v>
      </c>
      <c r="C90">
        <v>16</v>
      </c>
      <c r="D90" t="s">
        <v>36</v>
      </c>
      <c r="E90" t="s">
        <v>37</v>
      </c>
      <c r="F90" t="s">
        <v>45</v>
      </c>
      <c r="G90">
        <f t="shared" si="27"/>
        <v>1</v>
      </c>
      <c r="H90">
        <v>2</v>
      </c>
      <c r="I90">
        <f t="shared" si="28"/>
        <v>0</v>
      </c>
      <c r="J90">
        <f t="shared" si="29"/>
        <v>0</v>
      </c>
      <c r="K90">
        <f t="shared" si="30"/>
        <v>1</v>
      </c>
      <c r="L90">
        <f t="shared" si="31"/>
        <v>0</v>
      </c>
      <c r="M90">
        <f t="shared" si="32"/>
        <v>0</v>
      </c>
      <c r="N90">
        <v>2</v>
      </c>
      <c r="O90">
        <f t="shared" si="22"/>
        <v>0</v>
      </c>
      <c r="P90">
        <f t="shared" si="23"/>
        <v>0</v>
      </c>
      <c r="Q90">
        <f t="shared" si="24"/>
        <v>1</v>
      </c>
      <c r="R90">
        <f t="shared" si="25"/>
        <v>0</v>
      </c>
      <c r="S90">
        <f t="shared" si="26"/>
        <v>0</v>
      </c>
      <c r="T90">
        <f t="shared" si="33"/>
        <v>0</v>
      </c>
      <c r="U90">
        <f t="shared" si="34"/>
        <v>0</v>
      </c>
      <c r="V90">
        <f t="shared" si="35"/>
        <v>0</v>
      </c>
      <c r="W90">
        <f t="shared" si="36"/>
        <v>0</v>
      </c>
      <c r="X90" t="s">
        <v>49</v>
      </c>
      <c r="Y90" t="s">
        <v>46</v>
      </c>
      <c r="Z90" t="s">
        <v>52</v>
      </c>
      <c r="AA90" t="s">
        <v>47</v>
      </c>
      <c r="AB90">
        <v>2</v>
      </c>
      <c r="AC90">
        <v>2</v>
      </c>
      <c r="AD90">
        <v>1</v>
      </c>
      <c r="AE90" t="s">
        <v>44</v>
      </c>
      <c r="AF90" t="s">
        <v>44</v>
      </c>
      <c r="AG90">
        <f t="shared" si="37"/>
        <v>0</v>
      </c>
      <c r="AH90" t="s">
        <v>43</v>
      </c>
      <c r="AI90">
        <f t="shared" si="38"/>
        <v>1</v>
      </c>
      <c r="AJ90" t="s">
        <v>43</v>
      </c>
      <c r="AK90">
        <f t="shared" si="39"/>
        <v>1</v>
      </c>
      <c r="AL90">
        <f t="shared" si="40"/>
        <v>1</v>
      </c>
      <c r="AM90">
        <v>12</v>
      </c>
      <c r="AN90">
        <f t="shared" si="41"/>
        <v>0</v>
      </c>
      <c r="AO90">
        <f t="shared" si="42"/>
        <v>0</v>
      </c>
      <c r="AP90">
        <f t="shared" si="43"/>
        <v>0</v>
      </c>
      <c r="AQ90">
        <v>11</v>
      </c>
      <c r="AR90">
        <v>10</v>
      </c>
      <c r="AS90">
        <v>10</v>
      </c>
    </row>
    <row r="91" spans="1:45" x14ac:dyDescent="0.2">
      <c r="A91" t="s">
        <v>34</v>
      </c>
      <c r="B91" t="s">
        <v>51</v>
      </c>
      <c r="C91">
        <v>16</v>
      </c>
      <c r="D91" t="s">
        <v>36</v>
      </c>
      <c r="E91" t="s">
        <v>48</v>
      </c>
      <c r="F91" t="s">
        <v>38</v>
      </c>
      <c r="G91">
        <f t="shared" si="27"/>
        <v>0</v>
      </c>
      <c r="H91">
        <v>4</v>
      </c>
      <c r="I91">
        <f t="shared" si="28"/>
        <v>0</v>
      </c>
      <c r="J91">
        <f t="shared" si="29"/>
        <v>0</v>
      </c>
      <c r="K91">
        <f t="shared" si="30"/>
        <v>0</v>
      </c>
      <c r="L91">
        <f t="shared" si="31"/>
        <v>0</v>
      </c>
      <c r="M91">
        <f t="shared" si="32"/>
        <v>1</v>
      </c>
      <c r="N91">
        <v>4</v>
      </c>
      <c r="O91">
        <f t="shared" si="22"/>
        <v>0</v>
      </c>
      <c r="P91">
        <f t="shared" si="23"/>
        <v>0</v>
      </c>
      <c r="Q91">
        <f t="shared" si="24"/>
        <v>0</v>
      </c>
      <c r="R91">
        <f t="shared" si="25"/>
        <v>0</v>
      </c>
      <c r="S91">
        <f t="shared" si="26"/>
        <v>1</v>
      </c>
      <c r="T91">
        <f t="shared" si="33"/>
        <v>1</v>
      </c>
      <c r="U91">
        <f t="shared" si="34"/>
        <v>0</v>
      </c>
      <c r="V91">
        <f t="shared" si="35"/>
        <v>0</v>
      </c>
      <c r="W91">
        <f t="shared" si="36"/>
        <v>0</v>
      </c>
      <c r="X91" t="s">
        <v>40</v>
      </c>
      <c r="Y91" t="s">
        <v>29</v>
      </c>
      <c r="Z91" t="s">
        <v>52</v>
      </c>
      <c r="AA91" t="s">
        <v>42</v>
      </c>
      <c r="AB91">
        <v>1</v>
      </c>
      <c r="AC91">
        <v>2</v>
      </c>
      <c r="AD91">
        <v>0</v>
      </c>
      <c r="AE91" t="s">
        <v>44</v>
      </c>
      <c r="AF91" t="s">
        <v>43</v>
      </c>
      <c r="AG91">
        <f t="shared" si="37"/>
        <v>1</v>
      </c>
      <c r="AH91" t="s">
        <v>44</v>
      </c>
      <c r="AI91">
        <f t="shared" si="38"/>
        <v>0</v>
      </c>
      <c r="AJ91" t="s">
        <v>44</v>
      </c>
      <c r="AK91">
        <f t="shared" si="39"/>
        <v>0</v>
      </c>
      <c r="AL91">
        <f t="shared" si="40"/>
        <v>0</v>
      </c>
      <c r="AM91">
        <v>18</v>
      </c>
      <c r="AN91">
        <f t="shared" si="41"/>
        <v>1</v>
      </c>
      <c r="AO91">
        <f t="shared" si="42"/>
        <v>0</v>
      </c>
      <c r="AP91">
        <f t="shared" si="43"/>
        <v>0</v>
      </c>
      <c r="AQ91">
        <v>8</v>
      </c>
      <c r="AR91">
        <v>6</v>
      </c>
      <c r="AS91">
        <v>7</v>
      </c>
    </row>
    <row r="92" spans="1:45" x14ac:dyDescent="0.2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f t="shared" si="27"/>
        <v>1</v>
      </c>
      <c r="H92">
        <v>3</v>
      </c>
      <c r="I92">
        <f t="shared" si="28"/>
        <v>0</v>
      </c>
      <c r="J92">
        <f t="shared" si="29"/>
        <v>0</v>
      </c>
      <c r="K92">
        <f t="shared" si="30"/>
        <v>0</v>
      </c>
      <c r="L92">
        <f t="shared" si="31"/>
        <v>1</v>
      </c>
      <c r="M92">
        <f t="shared" si="32"/>
        <v>0</v>
      </c>
      <c r="N92">
        <v>3</v>
      </c>
      <c r="O92">
        <f t="shared" si="22"/>
        <v>0</v>
      </c>
      <c r="P92">
        <f t="shared" si="23"/>
        <v>0</v>
      </c>
      <c r="Q92">
        <f t="shared" si="24"/>
        <v>0</v>
      </c>
      <c r="R92">
        <f t="shared" si="25"/>
        <v>1</v>
      </c>
      <c r="S92">
        <f t="shared" si="26"/>
        <v>0</v>
      </c>
      <c r="T92">
        <f t="shared" si="33"/>
        <v>0</v>
      </c>
      <c r="U92">
        <f t="shared" si="34"/>
        <v>0</v>
      </c>
      <c r="V92">
        <f t="shared" si="35"/>
        <v>0</v>
      </c>
      <c r="W92">
        <f t="shared" si="36"/>
        <v>0</v>
      </c>
      <c r="X92" t="s">
        <v>46</v>
      </c>
      <c r="Y92" t="s">
        <v>46</v>
      </c>
      <c r="Z92" t="s">
        <v>50</v>
      </c>
      <c r="AA92" t="s">
        <v>42</v>
      </c>
      <c r="AB92">
        <v>1</v>
      </c>
      <c r="AC92">
        <v>3</v>
      </c>
      <c r="AD92">
        <v>0</v>
      </c>
      <c r="AE92" t="s">
        <v>44</v>
      </c>
      <c r="AF92" t="s">
        <v>43</v>
      </c>
      <c r="AG92">
        <f t="shared" si="37"/>
        <v>1</v>
      </c>
      <c r="AH92" t="s">
        <v>43</v>
      </c>
      <c r="AI92">
        <f t="shared" si="38"/>
        <v>1</v>
      </c>
      <c r="AJ92" t="s">
        <v>43</v>
      </c>
      <c r="AK92">
        <f t="shared" si="39"/>
        <v>1</v>
      </c>
      <c r="AL92">
        <f t="shared" si="40"/>
        <v>1</v>
      </c>
      <c r="AM92">
        <v>0</v>
      </c>
      <c r="AN92">
        <f t="shared" si="41"/>
        <v>0</v>
      </c>
      <c r="AO92">
        <f t="shared" si="42"/>
        <v>0</v>
      </c>
      <c r="AP92">
        <f t="shared" si="43"/>
        <v>1</v>
      </c>
      <c r="AQ92">
        <v>7</v>
      </c>
      <c r="AR92">
        <v>7</v>
      </c>
      <c r="AS92">
        <v>8</v>
      </c>
    </row>
    <row r="93" spans="1:45" x14ac:dyDescent="0.2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f t="shared" si="27"/>
        <v>1</v>
      </c>
      <c r="H93">
        <v>4</v>
      </c>
      <c r="I93">
        <f t="shared" si="28"/>
        <v>0</v>
      </c>
      <c r="J93">
        <f t="shared" si="29"/>
        <v>0</v>
      </c>
      <c r="K93">
        <f t="shared" si="30"/>
        <v>0</v>
      </c>
      <c r="L93">
        <f t="shared" si="31"/>
        <v>0</v>
      </c>
      <c r="M93">
        <f t="shared" si="32"/>
        <v>1</v>
      </c>
      <c r="N93">
        <v>3</v>
      </c>
      <c r="O93">
        <f t="shared" si="22"/>
        <v>0</v>
      </c>
      <c r="P93">
        <f t="shared" si="23"/>
        <v>0</v>
      </c>
      <c r="Q93">
        <f t="shared" si="24"/>
        <v>0</v>
      </c>
      <c r="R93">
        <f t="shared" si="25"/>
        <v>1</v>
      </c>
      <c r="S93">
        <f t="shared" si="26"/>
        <v>0</v>
      </c>
      <c r="T93">
        <f t="shared" si="33"/>
        <v>0</v>
      </c>
      <c r="U93">
        <f t="shared" si="34"/>
        <v>1</v>
      </c>
      <c r="V93">
        <f t="shared" si="35"/>
        <v>0</v>
      </c>
      <c r="W93">
        <f t="shared" si="36"/>
        <v>0</v>
      </c>
      <c r="X93" t="s">
        <v>49</v>
      </c>
      <c r="Y93" t="s">
        <v>46</v>
      </c>
      <c r="Z93" t="s">
        <v>52</v>
      </c>
      <c r="AA93" t="s">
        <v>42</v>
      </c>
      <c r="AB93">
        <v>1</v>
      </c>
      <c r="AC93">
        <v>1</v>
      </c>
      <c r="AD93">
        <v>0</v>
      </c>
      <c r="AE93" t="s">
        <v>44</v>
      </c>
      <c r="AF93" t="s">
        <v>44</v>
      </c>
      <c r="AG93">
        <f t="shared" si="37"/>
        <v>0</v>
      </c>
      <c r="AH93" t="s">
        <v>43</v>
      </c>
      <c r="AI93">
        <f t="shared" si="38"/>
        <v>1</v>
      </c>
      <c r="AJ93" t="s">
        <v>43</v>
      </c>
      <c r="AK93">
        <f t="shared" si="39"/>
        <v>1</v>
      </c>
      <c r="AL93">
        <f t="shared" si="40"/>
        <v>1</v>
      </c>
      <c r="AM93">
        <v>4</v>
      </c>
      <c r="AN93">
        <f t="shared" si="41"/>
        <v>0</v>
      </c>
      <c r="AO93">
        <f t="shared" si="42"/>
        <v>1</v>
      </c>
      <c r="AP93">
        <f t="shared" si="43"/>
        <v>0</v>
      </c>
      <c r="AQ93">
        <v>16</v>
      </c>
      <c r="AR93">
        <v>17</v>
      </c>
      <c r="AS93">
        <v>18</v>
      </c>
    </row>
    <row r="94" spans="1:45" x14ac:dyDescent="0.2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f t="shared" si="27"/>
        <v>1</v>
      </c>
      <c r="H94">
        <v>3</v>
      </c>
      <c r="I94">
        <f t="shared" si="28"/>
        <v>0</v>
      </c>
      <c r="J94">
        <f t="shared" si="29"/>
        <v>0</v>
      </c>
      <c r="K94">
        <f t="shared" si="30"/>
        <v>0</v>
      </c>
      <c r="L94">
        <f t="shared" si="31"/>
        <v>1</v>
      </c>
      <c r="M94">
        <f t="shared" si="32"/>
        <v>0</v>
      </c>
      <c r="N94">
        <v>1</v>
      </c>
      <c r="O94">
        <f t="shared" si="22"/>
        <v>0</v>
      </c>
      <c r="P94">
        <f t="shared" si="23"/>
        <v>1</v>
      </c>
      <c r="Q94">
        <f t="shared" si="24"/>
        <v>0</v>
      </c>
      <c r="R94">
        <f t="shared" si="25"/>
        <v>0</v>
      </c>
      <c r="S94">
        <f t="shared" si="26"/>
        <v>0</v>
      </c>
      <c r="T94">
        <f t="shared" si="33"/>
        <v>0</v>
      </c>
      <c r="U94">
        <f t="shared" si="34"/>
        <v>0</v>
      </c>
      <c r="V94">
        <f t="shared" si="35"/>
        <v>0</v>
      </c>
      <c r="W94">
        <f t="shared" si="36"/>
        <v>0</v>
      </c>
      <c r="X94" t="s">
        <v>46</v>
      </c>
      <c r="Y94" t="s">
        <v>46</v>
      </c>
      <c r="Z94" t="s">
        <v>50</v>
      </c>
      <c r="AA94" t="s">
        <v>47</v>
      </c>
      <c r="AB94">
        <v>1</v>
      </c>
      <c r="AC94">
        <v>2</v>
      </c>
      <c r="AD94">
        <v>0</v>
      </c>
      <c r="AE94" t="s">
        <v>43</v>
      </c>
      <c r="AF94" t="s">
        <v>43</v>
      </c>
      <c r="AG94">
        <f t="shared" si="37"/>
        <v>1</v>
      </c>
      <c r="AH94" t="s">
        <v>44</v>
      </c>
      <c r="AI94">
        <f t="shared" si="38"/>
        <v>0</v>
      </c>
      <c r="AJ94" t="s">
        <v>44</v>
      </c>
      <c r="AK94">
        <f t="shared" si="39"/>
        <v>0</v>
      </c>
      <c r="AL94">
        <f t="shared" si="40"/>
        <v>0</v>
      </c>
      <c r="AM94">
        <v>4</v>
      </c>
      <c r="AN94">
        <f t="shared" si="41"/>
        <v>0</v>
      </c>
      <c r="AO94">
        <f t="shared" si="42"/>
        <v>0</v>
      </c>
      <c r="AP94">
        <f t="shared" si="43"/>
        <v>0</v>
      </c>
      <c r="AQ94">
        <v>7</v>
      </c>
      <c r="AR94">
        <v>6</v>
      </c>
      <c r="AS94">
        <v>6</v>
      </c>
    </row>
    <row r="95" spans="1:45" x14ac:dyDescent="0.2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f t="shared" si="27"/>
        <v>1</v>
      </c>
      <c r="H95">
        <v>4</v>
      </c>
      <c r="I95">
        <f t="shared" si="28"/>
        <v>0</v>
      </c>
      <c r="J95">
        <f t="shared" si="29"/>
        <v>0</v>
      </c>
      <c r="K95">
        <f t="shared" si="30"/>
        <v>0</v>
      </c>
      <c r="L95">
        <f t="shared" si="31"/>
        <v>0</v>
      </c>
      <c r="M95">
        <f t="shared" si="32"/>
        <v>1</v>
      </c>
      <c r="N95">
        <v>2</v>
      </c>
      <c r="O95">
        <f t="shared" si="22"/>
        <v>0</v>
      </c>
      <c r="P95">
        <f t="shared" si="23"/>
        <v>0</v>
      </c>
      <c r="Q95">
        <f t="shared" si="24"/>
        <v>1</v>
      </c>
      <c r="R95">
        <f t="shared" si="25"/>
        <v>0</v>
      </c>
      <c r="S95">
        <f t="shared" si="26"/>
        <v>0</v>
      </c>
      <c r="T95">
        <f t="shared" si="33"/>
        <v>0</v>
      </c>
      <c r="U95">
        <f t="shared" si="34"/>
        <v>0</v>
      </c>
      <c r="V95">
        <f t="shared" si="35"/>
        <v>1</v>
      </c>
      <c r="W95">
        <f t="shared" si="36"/>
        <v>0</v>
      </c>
      <c r="X95" t="s">
        <v>40</v>
      </c>
      <c r="Y95" t="s">
        <v>49</v>
      </c>
      <c r="Z95" t="s">
        <v>50</v>
      </c>
      <c r="AA95" t="s">
        <v>42</v>
      </c>
      <c r="AB95">
        <v>2</v>
      </c>
      <c r="AC95">
        <v>2</v>
      </c>
      <c r="AD95">
        <v>0</v>
      </c>
      <c r="AE95" t="s">
        <v>44</v>
      </c>
      <c r="AF95" t="s">
        <v>43</v>
      </c>
      <c r="AG95">
        <f t="shared" si="37"/>
        <v>1</v>
      </c>
      <c r="AH95" t="s">
        <v>43</v>
      </c>
      <c r="AI95">
        <f t="shared" si="38"/>
        <v>1</v>
      </c>
      <c r="AJ95" t="s">
        <v>43</v>
      </c>
      <c r="AK95">
        <f t="shared" si="39"/>
        <v>1</v>
      </c>
      <c r="AL95">
        <f t="shared" si="40"/>
        <v>1</v>
      </c>
      <c r="AM95">
        <v>0</v>
      </c>
      <c r="AN95">
        <f t="shared" si="41"/>
        <v>0</v>
      </c>
      <c r="AO95">
        <f t="shared" si="42"/>
        <v>1</v>
      </c>
      <c r="AP95">
        <f t="shared" si="43"/>
        <v>0</v>
      </c>
      <c r="AQ95">
        <v>11</v>
      </c>
      <c r="AR95">
        <v>10</v>
      </c>
      <c r="AS95">
        <v>10</v>
      </c>
    </row>
    <row r="96" spans="1:45" x14ac:dyDescent="0.2">
      <c r="A96" t="s">
        <v>34</v>
      </c>
      <c r="B96" t="s">
        <v>51</v>
      </c>
      <c r="C96">
        <v>15</v>
      </c>
      <c r="D96" t="s">
        <v>36</v>
      </c>
      <c r="E96" t="s">
        <v>48</v>
      </c>
      <c r="F96" t="s">
        <v>45</v>
      </c>
      <c r="G96">
        <f t="shared" si="27"/>
        <v>1</v>
      </c>
      <c r="H96">
        <v>2</v>
      </c>
      <c r="I96">
        <f t="shared" si="28"/>
        <v>0</v>
      </c>
      <c r="J96">
        <f t="shared" si="29"/>
        <v>0</v>
      </c>
      <c r="K96">
        <f t="shared" si="30"/>
        <v>1</v>
      </c>
      <c r="L96">
        <f t="shared" si="31"/>
        <v>0</v>
      </c>
      <c r="M96">
        <f t="shared" si="32"/>
        <v>0</v>
      </c>
      <c r="N96">
        <v>2</v>
      </c>
      <c r="O96">
        <f t="shared" si="22"/>
        <v>0</v>
      </c>
      <c r="P96">
        <f t="shared" si="23"/>
        <v>0</v>
      </c>
      <c r="Q96">
        <f t="shared" si="24"/>
        <v>1</v>
      </c>
      <c r="R96">
        <f t="shared" si="25"/>
        <v>0</v>
      </c>
      <c r="S96">
        <f t="shared" si="26"/>
        <v>0</v>
      </c>
      <c r="T96">
        <f t="shared" si="33"/>
        <v>0</v>
      </c>
      <c r="U96">
        <f t="shared" si="34"/>
        <v>0</v>
      </c>
      <c r="V96">
        <f t="shared" si="35"/>
        <v>0</v>
      </c>
      <c r="W96">
        <f t="shared" si="36"/>
        <v>0</v>
      </c>
      <c r="X96" t="s">
        <v>49</v>
      </c>
      <c r="Y96" t="s">
        <v>29</v>
      </c>
      <c r="Z96" t="s">
        <v>52</v>
      </c>
      <c r="AA96" t="s">
        <v>42</v>
      </c>
      <c r="AB96">
        <v>1</v>
      </c>
      <c r="AC96">
        <v>4</v>
      </c>
      <c r="AD96">
        <v>0</v>
      </c>
      <c r="AE96" t="s">
        <v>44</v>
      </c>
      <c r="AF96" t="s">
        <v>43</v>
      </c>
      <c r="AG96">
        <f t="shared" si="37"/>
        <v>1</v>
      </c>
      <c r="AH96" t="s">
        <v>44</v>
      </c>
      <c r="AI96">
        <f t="shared" si="38"/>
        <v>0</v>
      </c>
      <c r="AJ96" t="s">
        <v>43</v>
      </c>
      <c r="AK96">
        <f t="shared" si="39"/>
        <v>1</v>
      </c>
      <c r="AL96">
        <f t="shared" si="40"/>
        <v>0</v>
      </c>
      <c r="AM96">
        <v>6</v>
      </c>
      <c r="AN96">
        <f t="shared" si="41"/>
        <v>0</v>
      </c>
      <c r="AO96">
        <f t="shared" si="42"/>
        <v>0</v>
      </c>
      <c r="AP96">
        <f t="shared" si="43"/>
        <v>0</v>
      </c>
      <c r="AQ96">
        <v>11</v>
      </c>
      <c r="AR96">
        <v>13</v>
      </c>
      <c r="AS96">
        <v>14</v>
      </c>
    </row>
    <row r="97" spans="1:45" x14ac:dyDescent="0.2">
      <c r="A97" t="s">
        <v>34</v>
      </c>
      <c r="B97" t="s">
        <v>35</v>
      </c>
      <c r="C97">
        <v>15</v>
      </c>
      <c r="D97" t="s">
        <v>53</v>
      </c>
      <c r="E97" t="s">
        <v>37</v>
      </c>
      <c r="F97" t="s">
        <v>45</v>
      </c>
      <c r="G97">
        <f t="shared" si="27"/>
        <v>1</v>
      </c>
      <c r="H97">
        <v>1</v>
      </c>
      <c r="I97">
        <f t="shared" si="28"/>
        <v>0</v>
      </c>
      <c r="J97">
        <f t="shared" si="29"/>
        <v>1</v>
      </c>
      <c r="K97">
        <f t="shared" si="30"/>
        <v>0</v>
      </c>
      <c r="L97">
        <f t="shared" si="31"/>
        <v>0</v>
      </c>
      <c r="M97">
        <f t="shared" si="32"/>
        <v>0</v>
      </c>
      <c r="N97">
        <v>1</v>
      </c>
      <c r="O97">
        <f t="shared" si="22"/>
        <v>0</v>
      </c>
      <c r="P97">
        <f t="shared" si="23"/>
        <v>1</v>
      </c>
      <c r="Q97">
        <f t="shared" si="24"/>
        <v>0</v>
      </c>
      <c r="R97">
        <f t="shared" si="25"/>
        <v>0</v>
      </c>
      <c r="S97">
        <f t="shared" si="26"/>
        <v>0</v>
      </c>
      <c r="T97">
        <f t="shared" si="33"/>
        <v>0</v>
      </c>
      <c r="U97">
        <f t="shared" si="34"/>
        <v>0</v>
      </c>
      <c r="V97">
        <f t="shared" si="35"/>
        <v>0</v>
      </c>
      <c r="W97">
        <f t="shared" si="36"/>
        <v>0</v>
      </c>
      <c r="X97" t="s">
        <v>39</v>
      </c>
      <c r="Y97" t="s">
        <v>46</v>
      </c>
      <c r="Z97" t="s">
        <v>50</v>
      </c>
      <c r="AA97" t="s">
        <v>42</v>
      </c>
      <c r="AB97">
        <v>2</v>
      </c>
      <c r="AC97">
        <v>4</v>
      </c>
      <c r="AD97">
        <v>1</v>
      </c>
      <c r="AE97" t="s">
        <v>43</v>
      </c>
      <c r="AF97" t="s">
        <v>43</v>
      </c>
      <c r="AG97">
        <f t="shared" si="37"/>
        <v>1</v>
      </c>
      <c r="AH97" t="s">
        <v>43</v>
      </c>
      <c r="AI97">
        <f t="shared" si="38"/>
        <v>1</v>
      </c>
      <c r="AJ97" t="s">
        <v>43</v>
      </c>
      <c r="AK97">
        <f t="shared" si="39"/>
        <v>1</v>
      </c>
      <c r="AL97">
        <f t="shared" si="40"/>
        <v>1</v>
      </c>
      <c r="AM97">
        <v>2</v>
      </c>
      <c r="AN97">
        <f t="shared" si="41"/>
        <v>0</v>
      </c>
      <c r="AO97">
        <f t="shared" si="42"/>
        <v>0</v>
      </c>
      <c r="AP97">
        <f t="shared" si="43"/>
        <v>0</v>
      </c>
      <c r="AQ97">
        <v>7</v>
      </c>
      <c r="AR97">
        <v>10</v>
      </c>
      <c r="AS97">
        <v>10</v>
      </c>
    </row>
    <row r="98" spans="1:45" x14ac:dyDescent="0.2">
      <c r="A98" t="s">
        <v>34</v>
      </c>
      <c r="B98" t="s">
        <v>51</v>
      </c>
      <c r="C98">
        <v>16</v>
      </c>
      <c r="D98" t="s">
        <v>53</v>
      </c>
      <c r="E98" t="s">
        <v>37</v>
      </c>
      <c r="F98" t="s">
        <v>45</v>
      </c>
      <c r="G98">
        <f t="shared" si="27"/>
        <v>1</v>
      </c>
      <c r="H98">
        <v>4</v>
      </c>
      <c r="I98">
        <f t="shared" si="28"/>
        <v>0</v>
      </c>
      <c r="J98">
        <f t="shared" si="29"/>
        <v>0</v>
      </c>
      <c r="K98">
        <f t="shared" si="30"/>
        <v>0</v>
      </c>
      <c r="L98">
        <f t="shared" si="31"/>
        <v>0</v>
      </c>
      <c r="M98">
        <f t="shared" si="32"/>
        <v>1</v>
      </c>
      <c r="N98">
        <v>3</v>
      </c>
      <c r="O98">
        <f t="shared" si="22"/>
        <v>0</v>
      </c>
      <c r="P98">
        <f t="shared" si="23"/>
        <v>0</v>
      </c>
      <c r="Q98">
        <f t="shared" si="24"/>
        <v>0</v>
      </c>
      <c r="R98">
        <f t="shared" si="25"/>
        <v>1</v>
      </c>
      <c r="S98">
        <f t="shared" si="26"/>
        <v>0</v>
      </c>
      <c r="T98">
        <f t="shared" si="33"/>
        <v>0</v>
      </c>
      <c r="U98">
        <f t="shared" si="34"/>
        <v>1</v>
      </c>
      <c r="V98">
        <f t="shared" si="35"/>
        <v>0</v>
      </c>
      <c r="W98">
        <f t="shared" si="36"/>
        <v>0</v>
      </c>
      <c r="X98" t="s">
        <v>49</v>
      </c>
      <c r="Y98" t="s">
        <v>46</v>
      </c>
      <c r="Z98" t="s">
        <v>52</v>
      </c>
      <c r="AA98" t="s">
        <v>42</v>
      </c>
      <c r="AB98">
        <v>2</v>
      </c>
      <c r="AC98">
        <v>1</v>
      </c>
      <c r="AD98">
        <v>0</v>
      </c>
      <c r="AE98" t="s">
        <v>43</v>
      </c>
      <c r="AF98" t="s">
        <v>43</v>
      </c>
      <c r="AG98">
        <f t="shared" si="37"/>
        <v>1</v>
      </c>
      <c r="AH98" t="s">
        <v>44</v>
      </c>
      <c r="AI98">
        <f t="shared" si="38"/>
        <v>0</v>
      </c>
      <c r="AJ98" t="s">
        <v>43</v>
      </c>
      <c r="AK98">
        <f t="shared" si="39"/>
        <v>1</v>
      </c>
      <c r="AL98">
        <f t="shared" si="40"/>
        <v>0</v>
      </c>
      <c r="AM98">
        <v>2</v>
      </c>
      <c r="AN98">
        <f t="shared" si="41"/>
        <v>0</v>
      </c>
      <c r="AO98">
        <f t="shared" si="42"/>
        <v>0</v>
      </c>
      <c r="AP98">
        <f t="shared" si="43"/>
        <v>0</v>
      </c>
      <c r="AQ98">
        <v>11</v>
      </c>
      <c r="AR98">
        <v>15</v>
      </c>
      <c r="AS98">
        <v>15</v>
      </c>
    </row>
    <row r="99" spans="1:45" x14ac:dyDescent="0.2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f t="shared" si="27"/>
        <v>1</v>
      </c>
      <c r="H99">
        <v>2</v>
      </c>
      <c r="I99">
        <f t="shared" si="28"/>
        <v>0</v>
      </c>
      <c r="J99">
        <f t="shared" si="29"/>
        <v>0</v>
      </c>
      <c r="K99">
        <f t="shared" si="30"/>
        <v>1</v>
      </c>
      <c r="L99">
        <f t="shared" si="31"/>
        <v>0</v>
      </c>
      <c r="M99">
        <f t="shared" si="32"/>
        <v>0</v>
      </c>
      <c r="N99">
        <v>1</v>
      </c>
      <c r="O99">
        <f t="shared" si="22"/>
        <v>0</v>
      </c>
      <c r="P99">
        <f t="shared" si="23"/>
        <v>1</v>
      </c>
      <c r="Q99">
        <f t="shared" si="24"/>
        <v>0</v>
      </c>
      <c r="R99">
        <f t="shared" si="25"/>
        <v>0</v>
      </c>
      <c r="S99">
        <f t="shared" si="26"/>
        <v>0</v>
      </c>
      <c r="T99">
        <f t="shared" si="33"/>
        <v>0</v>
      </c>
      <c r="U99">
        <f t="shared" si="34"/>
        <v>0</v>
      </c>
      <c r="V99">
        <f t="shared" si="35"/>
        <v>0</v>
      </c>
      <c r="W99">
        <f t="shared" si="36"/>
        <v>0</v>
      </c>
      <c r="X99" t="s">
        <v>46</v>
      </c>
      <c r="Y99" t="s">
        <v>46</v>
      </c>
      <c r="Z99" t="s">
        <v>41</v>
      </c>
      <c r="AA99" t="s">
        <v>42</v>
      </c>
      <c r="AB99">
        <v>1</v>
      </c>
      <c r="AC99">
        <v>2</v>
      </c>
      <c r="AD99">
        <v>0</v>
      </c>
      <c r="AE99" t="s">
        <v>44</v>
      </c>
      <c r="AF99" t="s">
        <v>43</v>
      </c>
      <c r="AG99">
        <f t="shared" si="37"/>
        <v>1</v>
      </c>
      <c r="AH99" t="s">
        <v>43</v>
      </c>
      <c r="AI99">
        <f t="shared" si="38"/>
        <v>1</v>
      </c>
      <c r="AJ99" t="s">
        <v>44</v>
      </c>
      <c r="AK99">
        <f t="shared" si="39"/>
        <v>0</v>
      </c>
      <c r="AL99">
        <f t="shared" si="40"/>
        <v>0</v>
      </c>
      <c r="AM99">
        <v>2</v>
      </c>
      <c r="AN99">
        <f t="shared" si="41"/>
        <v>0</v>
      </c>
      <c r="AO99">
        <f t="shared" si="42"/>
        <v>0</v>
      </c>
      <c r="AP99">
        <f t="shared" si="43"/>
        <v>0</v>
      </c>
      <c r="AQ99">
        <v>8</v>
      </c>
      <c r="AR99">
        <v>9</v>
      </c>
      <c r="AS99">
        <v>10</v>
      </c>
    </row>
    <row r="100" spans="1:45" x14ac:dyDescent="0.2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f t="shared" si="27"/>
        <v>1</v>
      </c>
      <c r="H100">
        <v>4</v>
      </c>
      <c r="I100">
        <f t="shared" si="28"/>
        <v>0</v>
      </c>
      <c r="J100">
        <f t="shared" si="29"/>
        <v>0</v>
      </c>
      <c r="K100">
        <f t="shared" si="30"/>
        <v>0</v>
      </c>
      <c r="L100">
        <f t="shared" si="31"/>
        <v>0</v>
      </c>
      <c r="M100">
        <f t="shared" si="32"/>
        <v>1</v>
      </c>
      <c r="N100">
        <v>4</v>
      </c>
      <c r="O100">
        <f t="shared" si="22"/>
        <v>0</v>
      </c>
      <c r="P100">
        <f t="shared" si="23"/>
        <v>0</v>
      </c>
      <c r="Q100">
        <f t="shared" si="24"/>
        <v>0</v>
      </c>
      <c r="R100">
        <f t="shared" si="25"/>
        <v>0</v>
      </c>
      <c r="S100">
        <f t="shared" si="26"/>
        <v>1</v>
      </c>
      <c r="T100">
        <f t="shared" si="33"/>
        <v>1</v>
      </c>
      <c r="U100">
        <f t="shared" si="34"/>
        <v>0</v>
      </c>
      <c r="V100">
        <f t="shared" si="35"/>
        <v>0</v>
      </c>
      <c r="W100">
        <f t="shared" si="36"/>
        <v>0</v>
      </c>
      <c r="X100" t="s">
        <v>46</v>
      </c>
      <c r="Y100" t="s">
        <v>46</v>
      </c>
      <c r="Z100" t="s">
        <v>52</v>
      </c>
      <c r="AA100" t="s">
        <v>42</v>
      </c>
      <c r="AB100">
        <v>1</v>
      </c>
      <c r="AC100">
        <v>1</v>
      </c>
      <c r="AD100">
        <v>0</v>
      </c>
      <c r="AE100" t="s">
        <v>44</v>
      </c>
      <c r="AF100" t="s">
        <v>44</v>
      </c>
      <c r="AG100">
        <f t="shared" si="37"/>
        <v>0</v>
      </c>
      <c r="AH100" t="s">
        <v>44</v>
      </c>
      <c r="AI100">
        <f t="shared" si="38"/>
        <v>0</v>
      </c>
      <c r="AJ100" t="s">
        <v>43</v>
      </c>
      <c r="AK100">
        <f t="shared" si="39"/>
        <v>1</v>
      </c>
      <c r="AL100">
        <f t="shared" si="40"/>
        <v>0</v>
      </c>
      <c r="AM100">
        <v>6</v>
      </c>
      <c r="AN100">
        <f t="shared" si="41"/>
        <v>0</v>
      </c>
      <c r="AO100">
        <f t="shared" si="42"/>
        <v>0</v>
      </c>
      <c r="AP100">
        <f t="shared" si="43"/>
        <v>0</v>
      </c>
      <c r="AQ100">
        <v>11</v>
      </c>
      <c r="AR100">
        <v>14</v>
      </c>
      <c r="AS100">
        <v>14</v>
      </c>
    </row>
    <row r="101" spans="1:45" x14ac:dyDescent="0.2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f t="shared" si="27"/>
        <v>1</v>
      </c>
      <c r="H101">
        <v>4</v>
      </c>
      <c r="I101">
        <f t="shared" si="28"/>
        <v>0</v>
      </c>
      <c r="J101">
        <f t="shared" si="29"/>
        <v>0</v>
      </c>
      <c r="K101">
        <f t="shared" si="30"/>
        <v>0</v>
      </c>
      <c r="L101">
        <f t="shared" si="31"/>
        <v>0</v>
      </c>
      <c r="M101">
        <f t="shared" si="32"/>
        <v>1</v>
      </c>
      <c r="N101">
        <v>3</v>
      </c>
      <c r="O101">
        <f t="shared" si="22"/>
        <v>0</v>
      </c>
      <c r="P101">
        <f t="shared" si="23"/>
        <v>0</v>
      </c>
      <c r="Q101">
        <f t="shared" si="24"/>
        <v>0</v>
      </c>
      <c r="R101">
        <f t="shared" si="25"/>
        <v>1</v>
      </c>
      <c r="S101">
        <f t="shared" si="26"/>
        <v>0</v>
      </c>
      <c r="T101">
        <f t="shared" si="33"/>
        <v>0</v>
      </c>
      <c r="U101">
        <f t="shared" si="34"/>
        <v>1</v>
      </c>
      <c r="V101">
        <f t="shared" si="35"/>
        <v>0</v>
      </c>
      <c r="W101">
        <f t="shared" si="36"/>
        <v>0</v>
      </c>
      <c r="X101" t="s">
        <v>46</v>
      </c>
      <c r="Y101" t="s">
        <v>39</v>
      </c>
      <c r="Z101" t="s">
        <v>41</v>
      </c>
      <c r="AA101" t="s">
        <v>42</v>
      </c>
      <c r="AB101">
        <v>1</v>
      </c>
      <c r="AC101">
        <v>3</v>
      </c>
      <c r="AD101">
        <v>0</v>
      </c>
      <c r="AE101" t="s">
        <v>43</v>
      </c>
      <c r="AF101" t="s">
        <v>43</v>
      </c>
      <c r="AG101">
        <f t="shared" si="37"/>
        <v>1</v>
      </c>
      <c r="AH101" t="s">
        <v>43</v>
      </c>
      <c r="AI101">
        <f t="shared" si="38"/>
        <v>1</v>
      </c>
      <c r="AJ101" t="s">
        <v>43</v>
      </c>
      <c r="AK101">
        <f t="shared" si="39"/>
        <v>1</v>
      </c>
      <c r="AL101">
        <f t="shared" si="40"/>
        <v>1</v>
      </c>
      <c r="AM101">
        <v>0</v>
      </c>
      <c r="AN101">
        <f t="shared" si="41"/>
        <v>0</v>
      </c>
      <c r="AO101">
        <f t="shared" si="42"/>
        <v>1</v>
      </c>
      <c r="AP101">
        <f t="shared" si="43"/>
        <v>0</v>
      </c>
      <c r="AQ101">
        <v>7</v>
      </c>
      <c r="AR101">
        <v>9</v>
      </c>
      <c r="AS101">
        <v>8</v>
      </c>
    </row>
    <row r="102" spans="1:45" x14ac:dyDescent="0.2">
      <c r="A102" t="s">
        <v>34</v>
      </c>
      <c r="B102" t="s">
        <v>51</v>
      </c>
      <c r="C102">
        <v>16</v>
      </c>
      <c r="D102" t="s">
        <v>36</v>
      </c>
      <c r="E102" t="s">
        <v>37</v>
      </c>
      <c r="F102" t="s">
        <v>45</v>
      </c>
      <c r="G102">
        <f t="shared" si="27"/>
        <v>1</v>
      </c>
      <c r="H102">
        <v>4</v>
      </c>
      <c r="I102">
        <f t="shared" si="28"/>
        <v>0</v>
      </c>
      <c r="J102">
        <f t="shared" si="29"/>
        <v>0</v>
      </c>
      <c r="K102">
        <f t="shared" si="30"/>
        <v>0</v>
      </c>
      <c r="L102">
        <f t="shared" si="31"/>
        <v>0</v>
      </c>
      <c r="M102">
        <f t="shared" si="32"/>
        <v>1</v>
      </c>
      <c r="N102">
        <v>4</v>
      </c>
      <c r="O102">
        <f t="shared" si="22"/>
        <v>0</v>
      </c>
      <c r="P102">
        <f t="shared" si="23"/>
        <v>0</v>
      </c>
      <c r="Q102">
        <f t="shared" si="24"/>
        <v>0</v>
      </c>
      <c r="R102">
        <f t="shared" si="25"/>
        <v>0</v>
      </c>
      <c r="S102">
        <f t="shared" si="26"/>
        <v>1</v>
      </c>
      <c r="T102">
        <f t="shared" si="33"/>
        <v>1</v>
      </c>
      <c r="U102">
        <f t="shared" si="34"/>
        <v>0</v>
      </c>
      <c r="V102">
        <f t="shared" si="35"/>
        <v>0</v>
      </c>
      <c r="W102">
        <f t="shared" si="36"/>
        <v>0</v>
      </c>
      <c r="X102" t="s">
        <v>49</v>
      </c>
      <c r="Y102" t="s">
        <v>49</v>
      </c>
      <c r="Z102" t="s">
        <v>46</v>
      </c>
      <c r="AA102" t="s">
        <v>42</v>
      </c>
      <c r="AB102">
        <v>1</v>
      </c>
      <c r="AC102">
        <v>1</v>
      </c>
      <c r="AD102">
        <v>0</v>
      </c>
      <c r="AE102" t="s">
        <v>43</v>
      </c>
      <c r="AF102" t="s">
        <v>43</v>
      </c>
      <c r="AG102">
        <f t="shared" si="37"/>
        <v>1</v>
      </c>
      <c r="AH102" t="s">
        <v>43</v>
      </c>
      <c r="AI102">
        <f t="shared" si="38"/>
        <v>1</v>
      </c>
      <c r="AJ102" t="s">
        <v>43</v>
      </c>
      <c r="AK102">
        <f t="shared" si="39"/>
        <v>1</v>
      </c>
      <c r="AL102">
        <f t="shared" si="40"/>
        <v>1</v>
      </c>
      <c r="AM102">
        <v>14</v>
      </c>
      <c r="AN102">
        <f t="shared" si="41"/>
        <v>0</v>
      </c>
      <c r="AO102">
        <f t="shared" si="42"/>
        <v>1</v>
      </c>
      <c r="AP102">
        <f t="shared" si="43"/>
        <v>0</v>
      </c>
      <c r="AQ102">
        <v>7</v>
      </c>
      <c r="AR102">
        <v>7</v>
      </c>
      <c r="AS102">
        <v>5</v>
      </c>
    </row>
    <row r="103" spans="1:45" x14ac:dyDescent="0.2">
      <c r="A103" t="s">
        <v>34</v>
      </c>
      <c r="B103" t="s">
        <v>51</v>
      </c>
      <c r="C103">
        <v>16</v>
      </c>
      <c r="D103" t="s">
        <v>36</v>
      </c>
      <c r="E103" t="s">
        <v>37</v>
      </c>
      <c r="F103" t="s">
        <v>45</v>
      </c>
      <c r="G103">
        <f t="shared" si="27"/>
        <v>1</v>
      </c>
      <c r="H103">
        <v>4</v>
      </c>
      <c r="I103">
        <f t="shared" si="28"/>
        <v>0</v>
      </c>
      <c r="J103">
        <f t="shared" si="29"/>
        <v>0</v>
      </c>
      <c r="K103">
        <f t="shared" si="30"/>
        <v>0</v>
      </c>
      <c r="L103">
        <f t="shared" si="31"/>
        <v>0</v>
      </c>
      <c r="M103">
        <f t="shared" si="32"/>
        <v>1</v>
      </c>
      <c r="N103">
        <v>4</v>
      </c>
      <c r="O103">
        <f t="shared" si="22"/>
        <v>0</v>
      </c>
      <c r="P103">
        <f t="shared" si="23"/>
        <v>0</v>
      </c>
      <c r="Q103">
        <f t="shared" si="24"/>
        <v>0</v>
      </c>
      <c r="R103">
        <f t="shared" si="25"/>
        <v>0</v>
      </c>
      <c r="S103">
        <f t="shared" si="26"/>
        <v>1</v>
      </c>
      <c r="T103">
        <f t="shared" si="33"/>
        <v>1</v>
      </c>
      <c r="U103">
        <f t="shared" si="34"/>
        <v>0</v>
      </c>
      <c r="V103">
        <f t="shared" si="35"/>
        <v>0</v>
      </c>
      <c r="W103">
        <f t="shared" si="36"/>
        <v>0</v>
      </c>
      <c r="X103" t="s">
        <v>49</v>
      </c>
      <c r="Y103" t="s">
        <v>40</v>
      </c>
      <c r="Z103" t="s">
        <v>46</v>
      </c>
      <c r="AA103" t="s">
        <v>47</v>
      </c>
      <c r="AB103">
        <v>1</v>
      </c>
      <c r="AC103">
        <v>3</v>
      </c>
      <c r="AD103">
        <v>0</v>
      </c>
      <c r="AE103" t="s">
        <v>44</v>
      </c>
      <c r="AF103" t="s">
        <v>43</v>
      </c>
      <c r="AG103">
        <f t="shared" si="37"/>
        <v>1</v>
      </c>
      <c r="AH103" t="s">
        <v>44</v>
      </c>
      <c r="AI103">
        <f t="shared" si="38"/>
        <v>0</v>
      </c>
      <c r="AJ103" t="s">
        <v>43</v>
      </c>
      <c r="AK103">
        <f t="shared" si="39"/>
        <v>1</v>
      </c>
      <c r="AL103">
        <f t="shared" si="40"/>
        <v>0</v>
      </c>
      <c r="AM103">
        <v>0</v>
      </c>
      <c r="AN103">
        <f t="shared" si="41"/>
        <v>0</v>
      </c>
      <c r="AO103">
        <f t="shared" si="42"/>
        <v>0</v>
      </c>
      <c r="AP103">
        <f t="shared" si="43"/>
        <v>0</v>
      </c>
      <c r="AQ103">
        <v>16</v>
      </c>
      <c r="AR103">
        <v>17</v>
      </c>
      <c r="AS103">
        <v>17</v>
      </c>
    </row>
    <row r="104" spans="1:45" x14ac:dyDescent="0.2">
      <c r="A104" t="s">
        <v>34</v>
      </c>
      <c r="B104" t="s">
        <v>51</v>
      </c>
      <c r="C104">
        <v>15</v>
      </c>
      <c r="D104" t="s">
        <v>36</v>
      </c>
      <c r="E104" t="s">
        <v>37</v>
      </c>
      <c r="F104" t="s">
        <v>45</v>
      </c>
      <c r="G104">
        <f t="shared" si="27"/>
        <v>1</v>
      </c>
      <c r="H104">
        <v>4</v>
      </c>
      <c r="I104">
        <f t="shared" si="28"/>
        <v>0</v>
      </c>
      <c r="J104">
        <f t="shared" si="29"/>
        <v>0</v>
      </c>
      <c r="K104">
        <f t="shared" si="30"/>
        <v>0</v>
      </c>
      <c r="L104">
        <f t="shared" si="31"/>
        <v>0</v>
      </c>
      <c r="M104">
        <f t="shared" si="32"/>
        <v>1</v>
      </c>
      <c r="N104">
        <v>4</v>
      </c>
      <c r="O104">
        <f t="shared" si="22"/>
        <v>0</v>
      </c>
      <c r="P104">
        <f t="shared" si="23"/>
        <v>0</v>
      </c>
      <c r="Q104">
        <f t="shared" si="24"/>
        <v>0</v>
      </c>
      <c r="R104">
        <f t="shared" si="25"/>
        <v>0</v>
      </c>
      <c r="S104">
        <f t="shared" si="26"/>
        <v>1</v>
      </c>
      <c r="T104">
        <f t="shared" si="33"/>
        <v>1</v>
      </c>
      <c r="U104">
        <f t="shared" si="34"/>
        <v>0</v>
      </c>
      <c r="V104">
        <f t="shared" si="35"/>
        <v>0</v>
      </c>
      <c r="W104">
        <f t="shared" si="36"/>
        <v>0</v>
      </c>
      <c r="X104" t="s">
        <v>49</v>
      </c>
      <c r="Y104" t="s">
        <v>46</v>
      </c>
      <c r="Z104" t="s">
        <v>41</v>
      </c>
      <c r="AA104" t="s">
        <v>42</v>
      </c>
      <c r="AB104">
        <v>1</v>
      </c>
      <c r="AC104">
        <v>1</v>
      </c>
      <c r="AD104">
        <v>0</v>
      </c>
      <c r="AE104" t="s">
        <v>44</v>
      </c>
      <c r="AF104" t="s">
        <v>43</v>
      </c>
      <c r="AG104">
        <f t="shared" si="37"/>
        <v>1</v>
      </c>
      <c r="AH104" t="s">
        <v>44</v>
      </c>
      <c r="AI104">
        <f t="shared" si="38"/>
        <v>0</v>
      </c>
      <c r="AJ104" t="s">
        <v>43</v>
      </c>
      <c r="AK104">
        <f t="shared" si="39"/>
        <v>1</v>
      </c>
      <c r="AL104">
        <f t="shared" si="40"/>
        <v>0</v>
      </c>
      <c r="AM104">
        <v>4</v>
      </c>
      <c r="AN104">
        <f t="shared" si="41"/>
        <v>0</v>
      </c>
      <c r="AO104">
        <f t="shared" si="42"/>
        <v>0</v>
      </c>
      <c r="AP104">
        <f t="shared" si="43"/>
        <v>0</v>
      </c>
      <c r="AQ104">
        <v>10</v>
      </c>
      <c r="AR104">
        <v>13</v>
      </c>
      <c r="AS104">
        <v>14</v>
      </c>
    </row>
    <row r="105" spans="1:45" x14ac:dyDescent="0.2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f t="shared" si="27"/>
        <v>1</v>
      </c>
      <c r="H105">
        <v>3</v>
      </c>
      <c r="I105">
        <f t="shared" si="28"/>
        <v>0</v>
      </c>
      <c r="J105">
        <f t="shared" si="29"/>
        <v>0</v>
      </c>
      <c r="K105">
        <f t="shared" si="30"/>
        <v>0</v>
      </c>
      <c r="L105">
        <f t="shared" si="31"/>
        <v>1</v>
      </c>
      <c r="M105">
        <f t="shared" si="32"/>
        <v>0</v>
      </c>
      <c r="N105">
        <v>2</v>
      </c>
      <c r="O105">
        <f t="shared" si="22"/>
        <v>0</v>
      </c>
      <c r="P105">
        <f t="shared" si="23"/>
        <v>0</v>
      </c>
      <c r="Q105">
        <f t="shared" si="24"/>
        <v>1</v>
      </c>
      <c r="R105">
        <f t="shared" si="25"/>
        <v>0</v>
      </c>
      <c r="S105">
        <f t="shared" si="26"/>
        <v>0</v>
      </c>
      <c r="T105">
        <f t="shared" si="33"/>
        <v>0</v>
      </c>
      <c r="U105">
        <f t="shared" si="34"/>
        <v>0</v>
      </c>
      <c r="V105">
        <f t="shared" si="35"/>
        <v>0</v>
      </c>
      <c r="W105">
        <f t="shared" si="36"/>
        <v>0</v>
      </c>
      <c r="X105" t="s">
        <v>49</v>
      </c>
      <c r="Y105" t="s">
        <v>46</v>
      </c>
      <c r="Z105" t="s">
        <v>50</v>
      </c>
      <c r="AA105" t="s">
        <v>42</v>
      </c>
      <c r="AB105">
        <v>2</v>
      </c>
      <c r="AC105">
        <v>2</v>
      </c>
      <c r="AD105">
        <v>0</v>
      </c>
      <c r="AE105" t="s">
        <v>43</v>
      </c>
      <c r="AF105" t="s">
        <v>43</v>
      </c>
      <c r="AG105">
        <f t="shared" si="37"/>
        <v>1</v>
      </c>
      <c r="AH105" t="s">
        <v>43</v>
      </c>
      <c r="AI105">
        <f t="shared" si="38"/>
        <v>1</v>
      </c>
      <c r="AJ105" t="s">
        <v>43</v>
      </c>
      <c r="AK105">
        <f t="shared" si="39"/>
        <v>1</v>
      </c>
      <c r="AL105">
        <f t="shared" si="40"/>
        <v>1</v>
      </c>
      <c r="AM105">
        <v>26</v>
      </c>
      <c r="AN105">
        <f t="shared" si="41"/>
        <v>0</v>
      </c>
      <c r="AO105">
        <f t="shared" si="42"/>
        <v>0</v>
      </c>
      <c r="AP105">
        <f t="shared" si="43"/>
        <v>1</v>
      </c>
      <c r="AQ105">
        <v>7</v>
      </c>
      <c r="AR105">
        <v>6</v>
      </c>
      <c r="AS105">
        <v>6</v>
      </c>
    </row>
    <row r="106" spans="1:45" x14ac:dyDescent="0.2">
      <c r="A106" t="s">
        <v>34</v>
      </c>
      <c r="B106" t="s">
        <v>51</v>
      </c>
      <c r="C106">
        <v>15</v>
      </c>
      <c r="D106" t="s">
        <v>36</v>
      </c>
      <c r="E106" t="s">
        <v>37</v>
      </c>
      <c r="F106" t="s">
        <v>38</v>
      </c>
      <c r="G106">
        <f t="shared" si="27"/>
        <v>0</v>
      </c>
      <c r="H106">
        <v>3</v>
      </c>
      <c r="I106">
        <f t="shared" si="28"/>
        <v>0</v>
      </c>
      <c r="J106">
        <f t="shared" si="29"/>
        <v>0</v>
      </c>
      <c r="K106">
        <f t="shared" si="30"/>
        <v>0</v>
      </c>
      <c r="L106">
        <f t="shared" si="31"/>
        <v>1</v>
      </c>
      <c r="M106">
        <f t="shared" si="32"/>
        <v>0</v>
      </c>
      <c r="N106">
        <v>4</v>
      </c>
      <c r="O106">
        <f t="shared" si="22"/>
        <v>0</v>
      </c>
      <c r="P106">
        <f t="shared" si="23"/>
        <v>0</v>
      </c>
      <c r="Q106">
        <f t="shared" si="24"/>
        <v>0</v>
      </c>
      <c r="R106">
        <f t="shared" si="25"/>
        <v>0</v>
      </c>
      <c r="S106">
        <f t="shared" si="26"/>
        <v>1</v>
      </c>
      <c r="T106">
        <f t="shared" si="33"/>
        <v>0</v>
      </c>
      <c r="U106">
        <f t="shared" si="34"/>
        <v>0</v>
      </c>
      <c r="V106">
        <f t="shared" si="35"/>
        <v>0</v>
      </c>
      <c r="W106">
        <f t="shared" si="36"/>
        <v>1</v>
      </c>
      <c r="X106" t="s">
        <v>49</v>
      </c>
      <c r="Y106" t="s">
        <v>46</v>
      </c>
      <c r="Z106" t="s">
        <v>41</v>
      </c>
      <c r="AA106" t="s">
        <v>42</v>
      </c>
      <c r="AB106">
        <v>1</v>
      </c>
      <c r="AC106">
        <v>2</v>
      </c>
      <c r="AD106">
        <v>0</v>
      </c>
      <c r="AE106" t="s">
        <v>44</v>
      </c>
      <c r="AF106" t="s">
        <v>43</v>
      </c>
      <c r="AG106">
        <f t="shared" si="37"/>
        <v>1</v>
      </c>
      <c r="AH106" t="s">
        <v>43</v>
      </c>
      <c r="AI106">
        <f t="shared" si="38"/>
        <v>1</v>
      </c>
      <c r="AJ106" t="s">
        <v>43</v>
      </c>
      <c r="AK106">
        <f t="shared" si="39"/>
        <v>1</v>
      </c>
      <c r="AL106">
        <f t="shared" si="40"/>
        <v>1</v>
      </c>
      <c r="AM106">
        <v>0</v>
      </c>
      <c r="AN106">
        <f t="shared" si="41"/>
        <v>0</v>
      </c>
      <c r="AO106">
        <f t="shared" si="42"/>
        <v>0</v>
      </c>
      <c r="AP106">
        <f t="shared" si="43"/>
        <v>1</v>
      </c>
      <c r="AQ106">
        <v>16</v>
      </c>
      <c r="AR106">
        <v>18</v>
      </c>
      <c r="AS106">
        <v>18</v>
      </c>
    </row>
    <row r="107" spans="1:45" x14ac:dyDescent="0.2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f t="shared" si="27"/>
        <v>0</v>
      </c>
      <c r="H107">
        <v>3</v>
      </c>
      <c r="I107">
        <f t="shared" si="28"/>
        <v>0</v>
      </c>
      <c r="J107">
        <f t="shared" si="29"/>
        <v>0</v>
      </c>
      <c r="K107">
        <f t="shared" si="30"/>
        <v>0</v>
      </c>
      <c r="L107">
        <f t="shared" si="31"/>
        <v>1</v>
      </c>
      <c r="M107">
        <f t="shared" si="32"/>
        <v>0</v>
      </c>
      <c r="N107">
        <v>3</v>
      </c>
      <c r="O107">
        <f t="shared" si="22"/>
        <v>0</v>
      </c>
      <c r="P107">
        <f t="shared" si="23"/>
        <v>0</v>
      </c>
      <c r="Q107">
        <f t="shared" si="24"/>
        <v>0</v>
      </c>
      <c r="R107">
        <f t="shared" si="25"/>
        <v>1</v>
      </c>
      <c r="S107">
        <f t="shared" si="26"/>
        <v>0</v>
      </c>
      <c r="T107">
        <f t="shared" si="33"/>
        <v>0</v>
      </c>
      <c r="U107">
        <f t="shared" si="34"/>
        <v>0</v>
      </c>
      <c r="V107">
        <f t="shared" si="35"/>
        <v>0</v>
      </c>
      <c r="W107">
        <f t="shared" si="36"/>
        <v>0</v>
      </c>
      <c r="X107" t="s">
        <v>46</v>
      </c>
      <c r="Y107" t="s">
        <v>29</v>
      </c>
      <c r="Z107" t="s">
        <v>52</v>
      </c>
      <c r="AA107" t="s">
        <v>47</v>
      </c>
      <c r="AB107">
        <v>1</v>
      </c>
      <c r="AC107">
        <v>4</v>
      </c>
      <c r="AD107">
        <v>0</v>
      </c>
      <c r="AE107" t="s">
        <v>43</v>
      </c>
      <c r="AF107" t="s">
        <v>44</v>
      </c>
      <c r="AG107">
        <f t="shared" si="37"/>
        <v>0</v>
      </c>
      <c r="AH107" t="s">
        <v>44</v>
      </c>
      <c r="AI107">
        <f t="shared" si="38"/>
        <v>0</v>
      </c>
      <c r="AJ107" t="s">
        <v>44</v>
      </c>
      <c r="AK107">
        <f t="shared" si="39"/>
        <v>0</v>
      </c>
      <c r="AL107">
        <f t="shared" si="40"/>
        <v>0</v>
      </c>
      <c r="AM107">
        <v>10</v>
      </c>
      <c r="AN107">
        <f t="shared" si="41"/>
        <v>0</v>
      </c>
      <c r="AO107">
        <f t="shared" si="42"/>
        <v>0</v>
      </c>
      <c r="AP107">
        <f t="shared" si="43"/>
        <v>0</v>
      </c>
      <c r="AQ107">
        <v>10</v>
      </c>
      <c r="AR107">
        <v>11</v>
      </c>
      <c r="AS107">
        <v>11</v>
      </c>
    </row>
    <row r="108" spans="1:45" x14ac:dyDescent="0.2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f t="shared" si="27"/>
        <v>1</v>
      </c>
      <c r="H108">
        <v>2</v>
      </c>
      <c r="I108">
        <f t="shared" si="28"/>
        <v>0</v>
      </c>
      <c r="J108">
        <f t="shared" si="29"/>
        <v>0</v>
      </c>
      <c r="K108">
        <f t="shared" si="30"/>
        <v>1</v>
      </c>
      <c r="L108">
        <f t="shared" si="31"/>
        <v>0</v>
      </c>
      <c r="M108">
        <f t="shared" si="32"/>
        <v>0</v>
      </c>
      <c r="N108">
        <v>2</v>
      </c>
      <c r="O108">
        <f t="shared" si="22"/>
        <v>0</v>
      </c>
      <c r="P108">
        <f t="shared" si="23"/>
        <v>0</v>
      </c>
      <c r="Q108">
        <f t="shared" si="24"/>
        <v>1</v>
      </c>
      <c r="R108">
        <f t="shared" si="25"/>
        <v>0</v>
      </c>
      <c r="S108">
        <f t="shared" si="26"/>
        <v>0</v>
      </c>
      <c r="T108">
        <f t="shared" si="33"/>
        <v>0</v>
      </c>
      <c r="U108">
        <f t="shared" si="34"/>
        <v>0</v>
      </c>
      <c r="V108">
        <f t="shared" si="35"/>
        <v>0</v>
      </c>
      <c r="W108">
        <f t="shared" si="36"/>
        <v>0</v>
      </c>
      <c r="X108" t="s">
        <v>46</v>
      </c>
      <c r="Y108" t="s">
        <v>46</v>
      </c>
      <c r="Z108" t="s">
        <v>41</v>
      </c>
      <c r="AA108" t="s">
        <v>42</v>
      </c>
      <c r="AB108">
        <v>1</v>
      </c>
      <c r="AC108">
        <v>4</v>
      </c>
      <c r="AD108">
        <v>0</v>
      </c>
      <c r="AE108" t="s">
        <v>43</v>
      </c>
      <c r="AF108" t="s">
        <v>43</v>
      </c>
      <c r="AG108">
        <f t="shared" si="37"/>
        <v>1</v>
      </c>
      <c r="AH108" t="s">
        <v>43</v>
      </c>
      <c r="AI108">
        <f t="shared" si="38"/>
        <v>1</v>
      </c>
      <c r="AJ108" t="s">
        <v>43</v>
      </c>
      <c r="AK108">
        <f t="shared" si="39"/>
        <v>1</v>
      </c>
      <c r="AL108">
        <f t="shared" si="40"/>
        <v>1</v>
      </c>
      <c r="AM108">
        <v>8</v>
      </c>
      <c r="AN108">
        <f t="shared" si="41"/>
        <v>0</v>
      </c>
      <c r="AO108">
        <f t="shared" si="42"/>
        <v>0</v>
      </c>
      <c r="AP108">
        <f t="shared" si="43"/>
        <v>0</v>
      </c>
      <c r="AQ108">
        <v>7</v>
      </c>
      <c r="AR108">
        <v>8</v>
      </c>
      <c r="AS108">
        <v>8</v>
      </c>
    </row>
    <row r="109" spans="1:45" x14ac:dyDescent="0.2">
      <c r="A109" t="s">
        <v>34</v>
      </c>
      <c r="B109" t="s">
        <v>51</v>
      </c>
      <c r="C109">
        <v>16</v>
      </c>
      <c r="D109" t="s">
        <v>36</v>
      </c>
      <c r="E109" t="s">
        <v>37</v>
      </c>
      <c r="F109" t="s">
        <v>45</v>
      </c>
      <c r="G109">
        <f t="shared" si="27"/>
        <v>1</v>
      </c>
      <c r="H109">
        <v>3</v>
      </c>
      <c r="I109">
        <f t="shared" si="28"/>
        <v>0</v>
      </c>
      <c r="J109">
        <f t="shared" si="29"/>
        <v>0</v>
      </c>
      <c r="K109">
        <f t="shared" si="30"/>
        <v>0</v>
      </c>
      <c r="L109">
        <f t="shared" si="31"/>
        <v>1</v>
      </c>
      <c r="M109">
        <f t="shared" si="32"/>
        <v>0</v>
      </c>
      <c r="N109">
        <v>3</v>
      </c>
      <c r="O109">
        <f t="shared" si="22"/>
        <v>0</v>
      </c>
      <c r="P109">
        <f t="shared" si="23"/>
        <v>0</v>
      </c>
      <c r="Q109">
        <f t="shared" si="24"/>
        <v>0</v>
      </c>
      <c r="R109">
        <f t="shared" si="25"/>
        <v>1</v>
      </c>
      <c r="S109">
        <f t="shared" si="26"/>
        <v>0</v>
      </c>
      <c r="T109">
        <f t="shared" si="33"/>
        <v>0</v>
      </c>
      <c r="U109">
        <f t="shared" si="34"/>
        <v>0</v>
      </c>
      <c r="V109">
        <f t="shared" si="35"/>
        <v>0</v>
      </c>
      <c r="W109">
        <f t="shared" si="36"/>
        <v>0</v>
      </c>
      <c r="X109" t="s">
        <v>49</v>
      </c>
      <c r="Y109" t="s">
        <v>46</v>
      </c>
      <c r="Z109" t="s">
        <v>50</v>
      </c>
      <c r="AA109" t="s">
        <v>47</v>
      </c>
      <c r="AB109">
        <v>1</v>
      </c>
      <c r="AC109">
        <v>3</v>
      </c>
      <c r="AD109">
        <v>0</v>
      </c>
      <c r="AE109" t="s">
        <v>44</v>
      </c>
      <c r="AF109" t="s">
        <v>43</v>
      </c>
      <c r="AG109">
        <f t="shared" si="37"/>
        <v>1</v>
      </c>
      <c r="AH109" t="s">
        <v>44</v>
      </c>
      <c r="AI109">
        <f t="shared" si="38"/>
        <v>0</v>
      </c>
      <c r="AJ109" t="s">
        <v>43</v>
      </c>
      <c r="AK109">
        <f t="shared" si="39"/>
        <v>1</v>
      </c>
      <c r="AL109">
        <f t="shared" si="40"/>
        <v>0</v>
      </c>
      <c r="AM109">
        <v>2</v>
      </c>
      <c r="AN109">
        <f t="shared" si="41"/>
        <v>0</v>
      </c>
      <c r="AO109">
        <f t="shared" si="42"/>
        <v>0</v>
      </c>
      <c r="AP109">
        <f t="shared" si="43"/>
        <v>0</v>
      </c>
      <c r="AQ109">
        <v>16</v>
      </c>
      <c r="AR109">
        <v>18</v>
      </c>
      <c r="AS109">
        <v>18</v>
      </c>
    </row>
    <row r="110" spans="1:45" x14ac:dyDescent="0.2">
      <c r="A110" t="s">
        <v>34</v>
      </c>
      <c r="B110" t="s">
        <v>51</v>
      </c>
      <c r="C110">
        <v>15</v>
      </c>
      <c r="D110" t="s">
        <v>53</v>
      </c>
      <c r="E110" t="s">
        <v>37</v>
      </c>
      <c r="F110" t="s">
        <v>45</v>
      </c>
      <c r="G110">
        <f t="shared" si="27"/>
        <v>1</v>
      </c>
      <c r="H110">
        <v>4</v>
      </c>
      <c r="I110">
        <f t="shared" si="28"/>
        <v>0</v>
      </c>
      <c r="J110">
        <f t="shared" si="29"/>
        <v>0</v>
      </c>
      <c r="K110">
        <f t="shared" si="30"/>
        <v>0</v>
      </c>
      <c r="L110">
        <f t="shared" si="31"/>
        <v>0</v>
      </c>
      <c r="M110">
        <f t="shared" si="32"/>
        <v>1</v>
      </c>
      <c r="N110">
        <v>4</v>
      </c>
      <c r="O110">
        <f t="shared" si="22"/>
        <v>0</v>
      </c>
      <c r="P110">
        <f t="shared" si="23"/>
        <v>0</v>
      </c>
      <c r="Q110">
        <f t="shared" si="24"/>
        <v>0</v>
      </c>
      <c r="R110">
        <f t="shared" si="25"/>
        <v>0</v>
      </c>
      <c r="S110">
        <f t="shared" si="26"/>
        <v>1</v>
      </c>
      <c r="T110">
        <f t="shared" si="33"/>
        <v>1</v>
      </c>
      <c r="U110">
        <f t="shared" si="34"/>
        <v>0</v>
      </c>
      <c r="V110">
        <f t="shared" si="35"/>
        <v>0</v>
      </c>
      <c r="W110">
        <f t="shared" si="36"/>
        <v>0</v>
      </c>
      <c r="X110" t="s">
        <v>46</v>
      </c>
      <c r="Y110" t="s">
        <v>46</v>
      </c>
      <c r="Z110" t="s">
        <v>50</v>
      </c>
      <c r="AA110" t="s">
        <v>47</v>
      </c>
      <c r="AB110">
        <v>4</v>
      </c>
      <c r="AC110">
        <v>4</v>
      </c>
      <c r="AD110">
        <v>0</v>
      </c>
      <c r="AE110" t="s">
        <v>44</v>
      </c>
      <c r="AF110" t="s">
        <v>43</v>
      </c>
      <c r="AG110">
        <f t="shared" si="37"/>
        <v>1</v>
      </c>
      <c r="AH110" t="s">
        <v>43</v>
      </c>
      <c r="AI110">
        <f t="shared" si="38"/>
        <v>1</v>
      </c>
      <c r="AJ110" t="s">
        <v>43</v>
      </c>
      <c r="AK110">
        <f t="shared" si="39"/>
        <v>1</v>
      </c>
      <c r="AL110">
        <f t="shared" si="40"/>
        <v>1</v>
      </c>
      <c r="AM110">
        <v>6</v>
      </c>
      <c r="AN110">
        <f t="shared" si="41"/>
        <v>0</v>
      </c>
      <c r="AO110">
        <f t="shared" si="42"/>
        <v>1</v>
      </c>
      <c r="AP110">
        <f t="shared" si="43"/>
        <v>0</v>
      </c>
      <c r="AQ110">
        <v>10</v>
      </c>
      <c r="AR110">
        <v>13</v>
      </c>
      <c r="AS110">
        <v>13</v>
      </c>
    </row>
    <row r="111" spans="1:45" x14ac:dyDescent="0.2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f t="shared" si="27"/>
        <v>1</v>
      </c>
      <c r="H111">
        <v>4</v>
      </c>
      <c r="I111">
        <f t="shared" si="28"/>
        <v>0</v>
      </c>
      <c r="J111">
        <f t="shared" si="29"/>
        <v>0</v>
      </c>
      <c r="K111">
        <f t="shared" si="30"/>
        <v>0</v>
      </c>
      <c r="L111">
        <f t="shared" si="31"/>
        <v>0</v>
      </c>
      <c r="M111">
        <f t="shared" si="32"/>
        <v>1</v>
      </c>
      <c r="N111">
        <v>4</v>
      </c>
      <c r="O111">
        <f t="shared" si="22"/>
        <v>0</v>
      </c>
      <c r="P111">
        <f t="shared" si="23"/>
        <v>0</v>
      </c>
      <c r="Q111">
        <f t="shared" si="24"/>
        <v>0</v>
      </c>
      <c r="R111">
        <f t="shared" si="25"/>
        <v>0</v>
      </c>
      <c r="S111">
        <f t="shared" si="26"/>
        <v>1</v>
      </c>
      <c r="T111">
        <f t="shared" si="33"/>
        <v>1</v>
      </c>
      <c r="U111">
        <f t="shared" si="34"/>
        <v>0</v>
      </c>
      <c r="V111">
        <f t="shared" si="35"/>
        <v>0</v>
      </c>
      <c r="W111">
        <f t="shared" si="36"/>
        <v>0</v>
      </c>
      <c r="X111" t="s">
        <v>29</v>
      </c>
      <c r="Y111" t="s">
        <v>29</v>
      </c>
      <c r="Z111" t="s">
        <v>46</v>
      </c>
      <c r="AA111" t="s">
        <v>42</v>
      </c>
      <c r="AB111">
        <v>1</v>
      </c>
      <c r="AC111">
        <v>3</v>
      </c>
      <c r="AD111">
        <v>0</v>
      </c>
      <c r="AE111" t="s">
        <v>44</v>
      </c>
      <c r="AF111" t="s">
        <v>43</v>
      </c>
      <c r="AG111">
        <f t="shared" si="37"/>
        <v>1</v>
      </c>
      <c r="AH111" t="s">
        <v>43</v>
      </c>
      <c r="AI111">
        <f t="shared" si="38"/>
        <v>1</v>
      </c>
      <c r="AJ111" t="s">
        <v>43</v>
      </c>
      <c r="AK111">
        <f t="shared" si="39"/>
        <v>1</v>
      </c>
      <c r="AL111">
        <f t="shared" si="40"/>
        <v>1</v>
      </c>
      <c r="AM111">
        <v>4</v>
      </c>
      <c r="AN111">
        <f t="shared" si="41"/>
        <v>0</v>
      </c>
      <c r="AO111">
        <f t="shared" si="42"/>
        <v>1</v>
      </c>
      <c r="AP111">
        <f t="shared" si="43"/>
        <v>0</v>
      </c>
      <c r="AQ111">
        <v>14</v>
      </c>
      <c r="AR111">
        <v>15</v>
      </c>
      <c r="AS111">
        <v>16</v>
      </c>
    </row>
    <row r="112" spans="1:45" x14ac:dyDescent="0.2">
      <c r="A112" t="s">
        <v>34</v>
      </c>
      <c r="B112" t="s">
        <v>51</v>
      </c>
      <c r="C112">
        <v>15</v>
      </c>
      <c r="D112" t="s">
        <v>36</v>
      </c>
      <c r="E112" t="s">
        <v>48</v>
      </c>
      <c r="F112" t="s">
        <v>38</v>
      </c>
      <c r="G112">
        <f t="shared" si="27"/>
        <v>0</v>
      </c>
      <c r="H112">
        <v>4</v>
      </c>
      <c r="I112">
        <f t="shared" si="28"/>
        <v>0</v>
      </c>
      <c r="J112">
        <f t="shared" si="29"/>
        <v>0</v>
      </c>
      <c r="K112">
        <f t="shared" si="30"/>
        <v>0</v>
      </c>
      <c r="L112">
        <f t="shared" si="31"/>
        <v>0</v>
      </c>
      <c r="M112">
        <f t="shared" si="32"/>
        <v>1</v>
      </c>
      <c r="N112">
        <v>4</v>
      </c>
      <c r="O112">
        <f t="shared" si="22"/>
        <v>0</v>
      </c>
      <c r="P112">
        <f t="shared" si="23"/>
        <v>0</v>
      </c>
      <c r="Q112">
        <f t="shared" si="24"/>
        <v>0</v>
      </c>
      <c r="R112">
        <f t="shared" si="25"/>
        <v>0</v>
      </c>
      <c r="S112">
        <f t="shared" si="26"/>
        <v>1</v>
      </c>
      <c r="T112">
        <f t="shared" si="33"/>
        <v>1</v>
      </c>
      <c r="U112">
        <f t="shared" si="34"/>
        <v>0</v>
      </c>
      <c r="V112">
        <f t="shared" si="35"/>
        <v>0</v>
      </c>
      <c r="W112">
        <f t="shared" si="36"/>
        <v>0</v>
      </c>
      <c r="X112" t="s">
        <v>40</v>
      </c>
      <c r="Y112" t="s">
        <v>40</v>
      </c>
      <c r="Z112" t="s">
        <v>41</v>
      </c>
      <c r="AA112" t="s">
        <v>42</v>
      </c>
      <c r="AB112">
        <v>1</v>
      </c>
      <c r="AC112">
        <v>1</v>
      </c>
      <c r="AD112">
        <v>0</v>
      </c>
      <c r="AE112" t="s">
        <v>44</v>
      </c>
      <c r="AF112" t="s">
        <v>44</v>
      </c>
      <c r="AG112">
        <f t="shared" si="37"/>
        <v>0</v>
      </c>
      <c r="AH112" t="s">
        <v>44</v>
      </c>
      <c r="AI112">
        <f t="shared" si="38"/>
        <v>0</v>
      </c>
      <c r="AJ112" t="s">
        <v>43</v>
      </c>
      <c r="AK112">
        <f t="shared" si="39"/>
        <v>1</v>
      </c>
      <c r="AL112">
        <f t="shared" si="40"/>
        <v>0</v>
      </c>
      <c r="AM112">
        <v>6</v>
      </c>
      <c r="AN112">
        <f t="shared" si="41"/>
        <v>1</v>
      </c>
      <c r="AO112">
        <f t="shared" si="42"/>
        <v>0</v>
      </c>
      <c r="AP112">
        <f t="shared" si="43"/>
        <v>0</v>
      </c>
      <c r="AQ112">
        <v>18</v>
      </c>
      <c r="AR112">
        <v>19</v>
      </c>
      <c r="AS112">
        <v>19</v>
      </c>
    </row>
    <row r="113" spans="1:45" x14ac:dyDescent="0.2">
      <c r="A113" t="s">
        <v>34</v>
      </c>
      <c r="B113" t="s">
        <v>35</v>
      </c>
      <c r="C113">
        <v>16</v>
      </c>
      <c r="D113" t="s">
        <v>53</v>
      </c>
      <c r="E113" t="s">
        <v>37</v>
      </c>
      <c r="F113" t="s">
        <v>45</v>
      </c>
      <c r="G113">
        <f t="shared" si="27"/>
        <v>1</v>
      </c>
      <c r="H113">
        <v>3</v>
      </c>
      <c r="I113">
        <f t="shared" si="28"/>
        <v>0</v>
      </c>
      <c r="J113">
        <f t="shared" si="29"/>
        <v>0</v>
      </c>
      <c r="K113">
        <f t="shared" si="30"/>
        <v>0</v>
      </c>
      <c r="L113">
        <f t="shared" si="31"/>
        <v>1</v>
      </c>
      <c r="M113">
        <f t="shared" si="32"/>
        <v>0</v>
      </c>
      <c r="N113">
        <v>3</v>
      </c>
      <c r="O113">
        <f t="shared" si="22"/>
        <v>0</v>
      </c>
      <c r="P113">
        <f t="shared" si="23"/>
        <v>0</v>
      </c>
      <c r="Q113">
        <f t="shared" si="24"/>
        <v>0</v>
      </c>
      <c r="R113">
        <f t="shared" si="25"/>
        <v>1</v>
      </c>
      <c r="S113">
        <f t="shared" si="26"/>
        <v>0</v>
      </c>
      <c r="T113">
        <f t="shared" si="33"/>
        <v>0</v>
      </c>
      <c r="U113">
        <f t="shared" si="34"/>
        <v>0</v>
      </c>
      <c r="V113">
        <f t="shared" si="35"/>
        <v>0</v>
      </c>
      <c r="W113">
        <f t="shared" si="36"/>
        <v>0</v>
      </c>
      <c r="X113" t="s">
        <v>49</v>
      </c>
      <c r="Y113" t="s">
        <v>46</v>
      </c>
      <c r="Z113" t="s">
        <v>52</v>
      </c>
      <c r="AA113" t="s">
        <v>47</v>
      </c>
      <c r="AB113">
        <v>1</v>
      </c>
      <c r="AC113">
        <v>3</v>
      </c>
      <c r="AD113">
        <v>1</v>
      </c>
      <c r="AE113" t="s">
        <v>43</v>
      </c>
      <c r="AF113" t="s">
        <v>43</v>
      </c>
      <c r="AG113">
        <f t="shared" si="37"/>
        <v>1</v>
      </c>
      <c r="AH113" t="s">
        <v>44</v>
      </c>
      <c r="AI113">
        <f t="shared" si="38"/>
        <v>0</v>
      </c>
      <c r="AJ113" t="s">
        <v>43</v>
      </c>
      <c r="AK113">
        <f t="shared" si="39"/>
        <v>1</v>
      </c>
      <c r="AL113">
        <f t="shared" si="40"/>
        <v>0</v>
      </c>
      <c r="AM113">
        <v>0</v>
      </c>
      <c r="AN113">
        <f t="shared" si="41"/>
        <v>0</v>
      </c>
      <c r="AO113">
        <f t="shared" si="42"/>
        <v>0</v>
      </c>
      <c r="AP113">
        <f t="shared" si="43"/>
        <v>0</v>
      </c>
      <c r="AQ113">
        <v>7</v>
      </c>
      <c r="AR113">
        <v>10</v>
      </c>
      <c r="AS113">
        <v>10</v>
      </c>
    </row>
    <row r="114" spans="1:45" x14ac:dyDescent="0.2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f t="shared" si="27"/>
        <v>1</v>
      </c>
      <c r="H114">
        <v>2</v>
      </c>
      <c r="I114">
        <f t="shared" si="28"/>
        <v>0</v>
      </c>
      <c r="J114">
        <f t="shared" si="29"/>
        <v>0</v>
      </c>
      <c r="K114">
        <f t="shared" si="30"/>
        <v>1</v>
      </c>
      <c r="L114">
        <f t="shared" si="31"/>
        <v>0</v>
      </c>
      <c r="M114">
        <f t="shared" si="32"/>
        <v>0</v>
      </c>
      <c r="N114">
        <v>2</v>
      </c>
      <c r="O114">
        <f t="shared" si="22"/>
        <v>0</v>
      </c>
      <c r="P114">
        <f t="shared" si="23"/>
        <v>0</v>
      </c>
      <c r="Q114">
        <f t="shared" si="24"/>
        <v>1</v>
      </c>
      <c r="R114">
        <f t="shared" si="25"/>
        <v>0</v>
      </c>
      <c r="S114">
        <f t="shared" si="26"/>
        <v>0</v>
      </c>
      <c r="T114">
        <f t="shared" si="33"/>
        <v>0</v>
      </c>
      <c r="U114">
        <f t="shared" si="34"/>
        <v>0</v>
      </c>
      <c r="V114">
        <f t="shared" si="35"/>
        <v>0</v>
      </c>
      <c r="W114">
        <f t="shared" si="36"/>
        <v>0</v>
      </c>
      <c r="X114" t="s">
        <v>39</v>
      </c>
      <c r="Y114" t="s">
        <v>46</v>
      </c>
      <c r="Z114" t="s">
        <v>50</v>
      </c>
      <c r="AA114" t="s">
        <v>42</v>
      </c>
      <c r="AB114">
        <v>1</v>
      </c>
      <c r="AC114">
        <v>2</v>
      </c>
      <c r="AD114">
        <v>1</v>
      </c>
      <c r="AE114" t="s">
        <v>43</v>
      </c>
      <c r="AF114" t="s">
        <v>44</v>
      </c>
      <c r="AG114">
        <f t="shared" si="37"/>
        <v>0</v>
      </c>
      <c r="AH114" t="s">
        <v>44</v>
      </c>
      <c r="AI114">
        <f t="shared" si="38"/>
        <v>0</v>
      </c>
      <c r="AJ114" t="s">
        <v>43</v>
      </c>
      <c r="AK114">
        <f t="shared" si="39"/>
        <v>1</v>
      </c>
      <c r="AL114">
        <f t="shared" si="40"/>
        <v>0</v>
      </c>
      <c r="AM114">
        <v>6</v>
      </c>
      <c r="AN114">
        <f t="shared" si="41"/>
        <v>0</v>
      </c>
      <c r="AO114">
        <f t="shared" si="42"/>
        <v>0</v>
      </c>
      <c r="AP114">
        <f t="shared" si="43"/>
        <v>0</v>
      </c>
      <c r="AQ114">
        <v>10</v>
      </c>
      <c r="AR114">
        <v>13</v>
      </c>
      <c r="AS114">
        <v>13</v>
      </c>
    </row>
    <row r="115" spans="1:45" x14ac:dyDescent="0.2">
      <c r="A115" t="s">
        <v>34</v>
      </c>
      <c r="B115" t="s">
        <v>51</v>
      </c>
      <c r="C115">
        <v>15</v>
      </c>
      <c r="D115" t="s">
        <v>36</v>
      </c>
      <c r="E115" t="s">
        <v>48</v>
      </c>
      <c r="F115" t="s">
        <v>45</v>
      </c>
      <c r="G115">
        <f t="shared" si="27"/>
        <v>1</v>
      </c>
      <c r="H115">
        <v>4</v>
      </c>
      <c r="I115">
        <f t="shared" si="28"/>
        <v>0</v>
      </c>
      <c r="J115">
        <f t="shared" si="29"/>
        <v>0</v>
      </c>
      <c r="K115">
        <f t="shared" si="30"/>
        <v>0</v>
      </c>
      <c r="L115">
        <f t="shared" si="31"/>
        <v>0</v>
      </c>
      <c r="M115">
        <f t="shared" si="32"/>
        <v>1</v>
      </c>
      <c r="N115">
        <v>2</v>
      </c>
      <c r="O115">
        <f t="shared" si="22"/>
        <v>0</v>
      </c>
      <c r="P115">
        <f t="shared" si="23"/>
        <v>0</v>
      </c>
      <c r="Q115">
        <f t="shared" si="24"/>
        <v>1</v>
      </c>
      <c r="R115">
        <f t="shared" si="25"/>
        <v>0</v>
      </c>
      <c r="S115">
        <f t="shared" si="26"/>
        <v>0</v>
      </c>
      <c r="T115">
        <f t="shared" si="33"/>
        <v>0</v>
      </c>
      <c r="U115">
        <f t="shared" si="34"/>
        <v>0</v>
      </c>
      <c r="V115">
        <f t="shared" si="35"/>
        <v>1</v>
      </c>
      <c r="W115">
        <f t="shared" si="36"/>
        <v>0</v>
      </c>
      <c r="X115" t="s">
        <v>40</v>
      </c>
      <c r="Y115" t="s">
        <v>46</v>
      </c>
      <c r="Z115" t="s">
        <v>41</v>
      </c>
      <c r="AA115" t="s">
        <v>42</v>
      </c>
      <c r="AB115">
        <v>1</v>
      </c>
      <c r="AC115">
        <v>1</v>
      </c>
      <c r="AD115">
        <v>0</v>
      </c>
      <c r="AE115" t="s">
        <v>44</v>
      </c>
      <c r="AF115" t="s">
        <v>44</v>
      </c>
      <c r="AG115">
        <f t="shared" si="37"/>
        <v>0</v>
      </c>
      <c r="AH115" t="s">
        <v>44</v>
      </c>
      <c r="AI115">
        <f t="shared" si="38"/>
        <v>0</v>
      </c>
      <c r="AJ115" t="s">
        <v>43</v>
      </c>
      <c r="AK115">
        <f t="shared" si="39"/>
        <v>1</v>
      </c>
      <c r="AL115">
        <f t="shared" si="40"/>
        <v>0</v>
      </c>
      <c r="AM115">
        <v>10</v>
      </c>
      <c r="AN115">
        <f t="shared" si="41"/>
        <v>0</v>
      </c>
      <c r="AO115">
        <f t="shared" si="42"/>
        <v>0</v>
      </c>
      <c r="AP115">
        <f t="shared" si="43"/>
        <v>0</v>
      </c>
      <c r="AQ115">
        <v>18</v>
      </c>
      <c r="AR115">
        <v>19</v>
      </c>
      <c r="AS115">
        <v>19</v>
      </c>
    </row>
    <row r="116" spans="1:45" x14ac:dyDescent="0.2">
      <c r="A116" t="s">
        <v>34</v>
      </c>
      <c r="B116" t="s">
        <v>51</v>
      </c>
      <c r="C116">
        <v>15</v>
      </c>
      <c r="D116" t="s">
        <v>53</v>
      </c>
      <c r="E116" t="s">
        <v>37</v>
      </c>
      <c r="F116" t="s">
        <v>45</v>
      </c>
      <c r="G116">
        <f t="shared" si="27"/>
        <v>1</v>
      </c>
      <c r="H116">
        <v>2</v>
      </c>
      <c r="I116">
        <f t="shared" si="28"/>
        <v>0</v>
      </c>
      <c r="J116">
        <f t="shared" si="29"/>
        <v>0</v>
      </c>
      <c r="K116">
        <f t="shared" si="30"/>
        <v>1</v>
      </c>
      <c r="L116">
        <f t="shared" si="31"/>
        <v>0</v>
      </c>
      <c r="M116">
        <f t="shared" si="32"/>
        <v>0</v>
      </c>
      <c r="N116">
        <v>1</v>
      </c>
      <c r="O116">
        <f t="shared" si="22"/>
        <v>0</v>
      </c>
      <c r="P116">
        <f t="shared" si="23"/>
        <v>1</v>
      </c>
      <c r="Q116">
        <f t="shared" si="24"/>
        <v>0</v>
      </c>
      <c r="R116">
        <f t="shared" si="25"/>
        <v>0</v>
      </c>
      <c r="S116">
        <f t="shared" si="26"/>
        <v>0</v>
      </c>
      <c r="T116">
        <f t="shared" si="33"/>
        <v>0</v>
      </c>
      <c r="U116">
        <f t="shared" si="34"/>
        <v>0</v>
      </c>
      <c r="V116">
        <f t="shared" si="35"/>
        <v>0</v>
      </c>
      <c r="W116">
        <f t="shared" si="36"/>
        <v>0</v>
      </c>
      <c r="X116" t="s">
        <v>29</v>
      </c>
      <c r="Y116" t="s">
        <v>49</v>
      </c>
      <c r="Z116" t="s">
        <v>52</v>
      </c>
      <c r="AA116" t="s">
        <v>42</v>
      </c>
      <c r="AB116">
        <v>1</v>
      </c>
      <c r="AC116">
        <v>2</v>
      </c>
      <c r="AD116">
        <v>0</v>
      </c>
      <c r="AE116" t="s">
        <v>44</v>
      </c>
      <c r="AF116" t="s">
        <v>44</v>
      </c>
      <c r="AG116">
        <f t="shared" si="37"/>
        <v>0</v>
      </c>
      <c r="AH116" t="s">
        <v>44</v>
      </c>
      <c r="AI116">
        <f t="shared" si="38"/>
        <v>0</v>
      </c>
      <c r="AJ116" t="s">
        <v>43</v>
      </c>
      <c r="AK116">
        <f t="shared" si="39"/>
        <v>1</v>
      </c>
      <c r="AL116">
        <f t="shared" si="40"/>
        <v>0</v>
      </c>
      <c r="AM116">
        <v>8</v>
      </c>
      <c r="AN116">
        <f t="shared" si="41"/>
        <v>0</v>
      </c>
      <c r="AO116">
        <f t="shared" si="42"/>
        <v>0</v>
      </c>
      <c r="AP116">
        <f t="shared" si="43"/>
        <v>0</v>
      </c>
      <c r="AQ116">
        <v>9</v>
      </c>
      <c r="AR116">
        <v>9</v>
      </c>
      <c r="AS116">
        <v>9</v>
      </c>
    </row>
    <row r="117" spans="1:45" x14ac:dyDescent="0.2">
      <c r="A117" t="s">
        <v>34</v>
      </c>
      <c r="B117" t="s">
        <v>51</v>
      </c>
      <c r="C117">
        <v>16</v>
      </c>
      <c r="D117" t="s">
        <v>36</v>
      </c>
      <c r="E117" t="s">
        <v>37</v>
      </c>
      <c r="F117" t="s">
        <v>45</v>
      </c>
      <c r="G117">
        <f t="shared" si="27"/>
        <v>1</v>
      </c>
      <c r="H117">
        <v>4</v>
      </c>
      <c r="I117">
        <f t="shared" si="28"/>
        <v>0</v>
      </c>
      <c r="J117">
        <f t="shared" si="29"/>
        <v>0</v>
      </c>
      <c r="K117">
        <f t="shared" si="30"/>
        <v>0</v>
      </c>
      <c r="L117">
        <f t="shared" si="31"/>
        <v>0</v>
      </c>
      <c r="M117">
        <f t="shared" si="32"/>
        <v>1</v>
      </c>
      <c r="N117">
        <v>4</v>
      </c>
      <c r="O117">
        <f t="shared" si="22"/>
        <v>0</v>
      </c>
      <c r="P117">
        <f t="shared" si="23"/>
        <v>0</v>
      </c>
      <c r="Q117">
        <f t="shared" si="24"/>
        <v>0</v>
      </c>
      <c r="R117">
        <f t="shared" si="25"/>
        <v>0</v>
      </c>
      <c r="S117">
        <f t="shared" si="26"/>
        <v>1</v>
      </c>
      <c r="T117">
        <f t="shared" si="33"/>
        <v>1</v>
      </c>
      <c r="U117">
        <f t="shared" si="34"/>
        <v>0</v>
      </c>
      <c r="V117">
        <f t="shared" si="35"/>
        <v>0</v>
      </c>
      <c r="W117">
        <f t="shared" si="36"/>
        <v>0</v>
      </c>
      <c r="X117" t="s">
        <v>40</v>
      </c>
      <c r="Y117" t="s">
        <v>40</v>
      </c>
      <c r="Z117" t="s">
        <v>41</v>
      </c>
      <c r="AA117" t="s">
        <v>47</v>
      </c>
      <c r="AB117">
        <v>1</v>
      </c>
      <c r="AC117">
        <v>2</v>
      </c>
      <c r="AD117">
        <v>0</v>
      </c>
      <c r="AE117" t="s">
        <v>44</v>
      </c>
      <c r="AF117" t="s">
        <v>43</v>
      </c>
      <c r="AG117">
        <f t="shared" si="37"/>
        <v>1</v>
      </c>
      <c r="AH117" t="s">
        <v>44</v>
      </c>
      <c r="AI117">
        <f t="shared" si="38"/>
        <v>0</v>
      </c>
      <c r="AJ117" t="s">
        <v>43</v>
      </c>
      <c r="AK117">
        <f t="shared" si="39"/>
        <v>1</v>
      </c>
      <c r="AL117">
        <f t="shared" si="40"/>
        <v>0</v>
      </c>
      <c r="AM117">
        <v>2</v>
      </c>
      <c r="AN117">
        <f t="shared" si="41"/>
        <v>0</v>
      </c>
      <c r="AO117">
        <f t="shared" si="42"/>
        <v>0</v>
      </c>
      <c r="AP117">
        <f t="shared" si="43"/>
        <v>0</v>
      </c>
      <c r="AQ117">
        <v>15</v>
      </c>
      <c r="AR117">
        <v>15</v>
      </c>
      <c r="AS117">
        <v>16</v>
      </c>
    </row>
    <row r="118" spans="1:45" x14ac:dyDescent="0.2">
      <c r="A118" t="s">
        <v>34</v>
      </c>
      <c r="B118" t="s">
        <v>51</v>
      </c>
      <c r="C118">
        <v>15</v>
      </c>
      <c r="D118" t="s">
        <v>36</v>
      </c>
      <c r="E118" t="s">
        <v>37</v>
      </c>
      <c r="F118" t="s">
        <v>45</v>
      </c>
      <c r="G118">
        <f t="shared" si="27"/>
        <v>1</v>
      </c>
      <c r="H118">
        <v>4</v>
      </c>
      <c r="I118">
        <f t="shared" si="28"/>
        <v>0</v>
      </c>
      <c r="J118">
        <f t="shared" si="29"/>
        <v>0</v>
      </c>
      <c r="K118">
        <f t="shared" si="30"/>
        <v>0</v>
      </c>
      <c r="L118">
        <f t="shared" si="31"/>
        <v>0</v>
      </c>
      <c r="M118">
        <f t="shared" si="32"/>
        <v>1</v>
      </c>
      <c r="N118">
        <v>4</v>
      </c>
      <c r="O118">
        <f t="shared" si="22"/>
        <v>0</v>
      </c>
      <c r="P118">
        <f t="shared" si="23"/>
        <v>0</v>
      </c>
      <c r="Q118">
        <f t="shared" si="24"/>
        <v>0</v>
      </c>
      <c r="R118">
        <f t="shared" si="25"/>
        <v>0</v>
      </c>
      <c r="S118">
        <f t="shared" si="26"/>
        <v>1</v>
      </c>
      <c r="T118">
        <f t="shared" si="33"/>
        <v>1</v>
      </c>
      <c r="U118">
        <f t="shared" si="34"/>
        <v>0</v>
      </c>
      <c r="V118">
        <f t="shared" si="35"/>
        <v>0</v>
      </c>
      <c r="W118">
        <f t="shared" si="36"/>
        <v>0</v>
      </c>
      <c r="X118" t="s">
        <v>46</v>
      </c>
      <c r="Y118" t="s">
        <v>40</v>
      </c>
      <c r="Z118" t="s">
        <v>52</v>
      </c>
      <c r="AA118" t="s">
        <v>47</v>
      </c>
      <c r="AB118">
        <v>2</v>
      </c>
      <c r="AC118">
        <v>2</v>
      </c>
      <c r="AD118">
        <v>0</v>
      </c>
      <c r="AE118" t="s">
        <v>44</v>
      </c>
      <c r="AF118" t="s">
        <v>43</v>
      </c>
      <c r="AG118">
        <f t="shared" si="37"/>
        <v>1</v>
      </c>
      <c r="AH118" t="s">
        <v>44</v>
      </c>
      <c r="AI118">
        <f t="shared" si="38"/>
        <v>0</v>
      </c>
      <c r="AJ118" t="s">
        <v>44</v>
      </c>
      <c r="AK118">
        <f t="shared" si="39"/>
        <v>0</v>
      </c>
      <c r="AL118">
        <f t="shared" si="40"/>
        <v>0</v>
      </c>
      <c r="AM118">
        <v>2</v>
      </c>
      <c r="AN118">
        <f t="shared" si="41"/>
        <v>0</v>
      </c>
      <c r="AO118">
        <f t="shared" si="42"/>
        <v>0</v>
      </c>
      <c r="AP118">
        <f t="shared" si="43"/>
        <v>0</v>
      </c>
      <c r="AQ118">
        <v>11</v>
      </c>
      <c r="AR118">
        <v>13</v>
      </c>
      <c r="AS118">
        <v>14</v>
      </c>
    </row>
    <row r="119" spans="1:45" x14ac:dyDescent="0.2">
      <c r="A119" t="s">
        <v>34</v>
      </c>
      <c r="B119" t="s">
        <v>51</v>
      </c>
      <c r="C119">
        <v>16</v>
      </c>
      <c r="D119" t="s">
        <v>36</v>
      </c>
      <c r="E119" t="s">
        <v>37</v>
      </c>
      <c r="F119" t="s">
        <v>45</v>
      </c>
      <c r="G119">
        <f t="shared" si="27"/>
        <v>1</v>
      </c>
      <c r="H119">
        <v>3</v>
      </c>
      <c r="I119">
        <f t="shared" si="28"/>
        <v>0</v>
      </c>
      <c r="J119">
        <f t="shared" si="29"/>
        <v>0</v>
      </c>
      <c r="K119">
        <f t="shared" si="30"/>
        <v>0</v>
      </c>
      <c r="L119">
        <f t="shared" si="31"/>
        <v>1</v>
      </c>
      <c r="M119">
        <f t="shared" si="32"/>
        <v>0</v>
      </c>
      <c r="N119">
        <v>3</v>
      </c>
      <c r="O119">
        <f t="shared" si="22"/>
        <v>0</v>
      </c>
      <c r="P119">
        <f t="shared" si="23"/>
        <v>0</v>
      </c>
      <c r="Q119">
        <f t="shared" si="24"/>
        <v>0</v>
      </c>
      <c r="R119">
        <f t="shared" si="25"/>
        <v>1</v>
      </c>
      <c r="S119">
        <f t="shared" si="26"/>
        <v>0</v>
      </c>
      <c r="T119">
        <f t="shared" si="33"/>
        <v>0</v>
      </c>
      <c r="U119">
        <f t="shared" si="34"/>
        <v>0</v>
      </c>
      <c r="V119">
        <f t="shared" si="35"/>
        <v>0</v>
      </c>
      <c r="W119">
        <f t="shared" si="36"/>
        <v>0</v>
      </c>
      <c r="X119" t="s">
        <v>46</v>
      </c>
      <c r="Y119" t="s">
        <v>49</v>
      </c>
      <c r="Z119" t="s">
        <v>50</v>
      </c>
      <c r="AA119" t="s">
        <v>47</v>
      </c>
      <c r="AB119">
        <v>2</v>
      </c>
      <c r="AC119">
        <v>1</v>
      </c>
      <c r="AD119">
        <v>0</v>
      </c>
      <c r="AE119" t="s">
        <v>44</v>
      </c>
      <c r="AF119" t="s">
        <v>44</v>
      </c>
      <c r="AG119">
        <f t="shared" si="37"/>
        <v>0</v>
      </c>
      <c r="AH119" t="s">
        <v>44</v>
      </c>
      <c r="AI119">
        <f t="shared" si="38"/>
        <v>0</v>
      </c>
      <c r="AJ119" t="s">
        <v>43</v>
      </c>
      <c r="AK119">
        <f t="shared" si="39"/>
        <v>1</v>
      </c>
      <c r="AL119">
        <f t="shared" si="40"/>
        <v>0</v>
      </c>
      <c r="AM119">
        <v>0</v>
      </c>
      <c r="AN119">
        <f t="shared" si="41"/>
        <v>0</v>
      </c>
      <c r="AO119">
        <f t="shared" si="42"/>
        <v>0</v>
      </c>
      <c r="AP119">
        <f t="shared" si="43"/>
        <v>0</v>
      </c>
      <c r="AQ119">
        <v>13</v>
      </c>
      <c r="AR119">
        <v>14</v>
      </c>
      <c r="AS119">
        <v>13</v>
      </c>
    </row>
    <row r="120" spans="1:45" x14ac:dyDescent="0.2">
      <c r="A120" t="s">
        <v>34</v>
      </c>
      <c r="B120" t="s">
        <v>51</v>
      </c>
      <c r="C120">
        <v>17</v>
      </c>
      <c r="D120" t="s">
        <v>53</v>
      </c>
      <c r="E120" t="s">
        <v>37</v>
      </c>
      <c r="F120" t="s">
        <v>45</v>
      </c>
      <c r="G120">
        <f t="shared" si="27"/>
        <v>1</v>
      </c>
      <c r="H120">
        <v>1</v>
      </c>
      <c r="I120">
        <f t="shared" si="28"/>
        <v>0</v>
      </c>
      <c r="J120">
        <f t="shared" si="29"/>
        <v>1</v>
      </c>
      <c r="K120">
        <f t="shared" si="30"/>
        <v>0</v>
      </c>
      <c r="L120">
        <f t="shared" si="31"/>
        <v>0</v>
      </c>
      <c r="M120">
        <f t="shared" si="32"/>
        <v>0</v>
      </c>
      <c r="N120">
        <v>3</v>
      </c>
      <c r="O120">
        <f t="shared" si="22"/>
        <v>0</v>
      </c>
      <c r="P120">
        <f t="shared" si="23"/>
        <v>0</v>
      </c>
      <c r="Q120">
        <f t="shared" si="24"/>
        <v>0</v>
      </c>
      <c r="R120">
        <f t="shared" si="25"/>
        <v>1</v>
      </c>
      <c r="S120">
        <f t="shared" si="26"/>
        <v>0</v>
      </c>
      <c r="T120">
        <f t="shared" si="33"/>
        <v>0</v>
      </c>
      <c r="U120">
        <f t="shared" si="34"/>
        <v>0</v>
      </c>
      <c r="V120">
        <f t="shared" si="35"/>
        <v>0</v>
      </c>
      <c r="W120">
        <f t="shared" si="36"/>
        <v>0</v>
      </c>
      <c r="X120" t="s">
        <v>46</v>
      </c>
      <c r="Y120" t="s">
        <v>46</v>
      </c>
      <c r="Z120" t="s">
        <v>41</v>
      </c>
      <c r="AA120" t="s">
        <v>47</v>
      </c>
      <c r="AB120">
        <v>3</v>
      </c>
      <c r="AC120">
        <v>2</v>
      </c>
      <c r="AD120">
        <v>1</v>
      </c>
      <c r="AE120" t="s">
        <v>44</v>
      </c>
      <c r="AF120" t="s">
        <v>43</v>
      </c>
      <c r="AG120">
        <f t="shared" si="37"/>
        <v>1</v>
      </c>
      <c r="AH120" t="s">
        <v>44</v>
      </c>
      <c r="AI120">
        <f t="shared" si="38"/>
        <v>0</v>
      </c>
      <c r="AJ120" t="s">
        <v>43</v>
      </c>
      <c r="AK120">
        <f t="shared" si="39"/>
        <v>1</v>
      </c>
      <c r="AL120">
        <f t="shared" si="40"/>
        <v>0</v>
      </c>
      <c r="AM120">
        <v>20</v>
      </c>
      <c r="AN120">
        <f t="shared" si="41"/>
        <v>0</v>
      </c>
      <c r="AO120">
        <f t="shared" si="42"/>
        <v>0</v>
      </c>
      <c r="AP120">
        <f t="shared" si="43"/>
        <v>0</v>
      </c>
      <c r="AQ120">
        <v>9</v>
      </c>
      <c r="AR120">
        <v>7</v>
      </c>
      <c r="AS120">
        <v>8</v>
      </c>
    </row>
    <row r="121" spans="1:45" x14ac:dyDescent="0.2">
      <c r="A121" t="s">
        <v>34</v>
      </c>
      <c r="B121" t="s">
        <v>51</v>
      </c>
      <c r="C121">
        <v>15</v>
      </c>
      <c r="D121" t="s">
        <v>36</v>
      </c>
      <c r="E121" t="s">
        <v>37</v>
      </c>
      <c r="F121" t="s">
        <v>45</v>
      </c>
      <c r="G121">
        <f t="shared" si="27"/>
        <v>1</v>
      </c>
      <c r="H121">
        <v>3</v>
      </c>
      <c r="I121">
        <f t="shared" si="28"/>
        <v>0</v>
      </c>
      <c r="J121">
        <f t="shared" si="29"/>
        <v>0</v>
      </c>
      <c r="K121">
        <f t="shared" si="30"/>
        <v>0</v>
      </c>
      <c r="L121">
        <f t="shared" si="31"/>
        <v>1</v>
      </c>
      <c r="M121">
        <f t="shared" si="32"/>
        <v>0</v>
      </c>
      <c r="N121">
        <v>4</v>
      </c>
      <c r="O121">
        <f t="shared" si="22"/>
        <v>0</v>
      </c>
      <c r="P121">
        <f t="shared" si="23"/>
        <v>0</v>
      </c>
      <c r="Q121">
        <f t="shared" si="24"/>
        <v>0</v>
      </c>
      <c r="R121">
        <f t="shared" si="25"/>
        <v>0</v>
      </c>
      <c r="S121">
        <f t="shared" si="26"/>
        <v>1</v>
      </c>
      <c r="T121">
        <f t="shared" si="33"/>
        <v>0</v>
      </c>
      <c r="U121">
        <f t="shared" si="34"/>
        <v>0</v>
      </c>
      <c r="V121">
        <f t="shared" si="35"/>
        <v>0</v>
      </c>
      <c r="W121">
        <f t="shared" si="36"/>
        <v>1</v>
      </c>
      <c r="X121" t="s">
        <v>46</v>
      </c>
      <c r="Y121" t="s">
        <v>46</v>
      </c>
      <c r="Z121" t="s">
        <v>52</v>
      </c>
      <c r="AA121" t="s">
        <v>47</v>
      </c>
      <c r="AB121">
        <v>1</v>
      </c>
      <c r="AC121">
        <v>1</v>
      </c>
      <c r="AD121">
        <v>0</v>
      </c>
      <c r="AE121" t="s">
        <v>44</v>
      </c>
      <c r="AF121" t="s">
        <v>44</v>
      </c>
      <c r="AG121">
        <f t="shared" si="37"/>
        <v>0</v>
      </c>
      <c r="AH121" t="s">
        <v>44</v>
      </c>
      <c r="AI121">
        <f t="shared" si="38"/>
        <v>0</v>
      </c>
      <c r="AJ121" t="s">
        <v>43</v>
      </c>
      <c r="AK121">
        <f t="shared" si="39"/>
        <v>1</v>
      </c>
      <c r="AL121">
        <f t="shared" si="40"/>
        <v>0</v>
      </c>
      <c r="AM121">
        <v>6</v>
      </c>
      <c r="AN121">
        <f t="shared" si="41"/>
        <v>0</v>
      </c>
      <c r="AO121">
        <f t="shared" si="42"/>
        <v>0</v>
      </c>
      <c r="AP121">
        <f t="shared" si="43"/>
        <v>0</v>
      </c>
      <c r="AQ121">
        <v>14</v>
      </c>
      <c r="AR121">
        <v>13</v>
      </c>
      <c r="AS121">
        <v>13</v>
      </c>
    </row>
    <row r="122" spans="1:45" x14ac:dyDescent="0.2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f t="shared" si="27"/>
        <v>1</v>
      </c>
      <c r="H122">
        <v>1</v>
      </c>
      <c r="I122">
        <f t="shared" si="28"/>
        <v>0</v>
      </c>
      <c r="J122">
        <f t="shared" si="29"/>
        <v>1</v>
      </c>
      <c r="K122">
        <f t="shared" si="30"/>
        <v>0</v>
      </c>
      <c r="L122">
        <f t="shared" si="31"/>
        <v>0</v>
      </c>
      <c r="M122">
        <f t="shared" si="32"/>
        <v>0</v>
      </c>
      <c r="N122">
        <v>2</v>
      </c>
      <c r="O122">
        <f t="shared" si="22"/>
        <v>0</v>
      </c>
      <c r="P122">
        <f t="shared" si="23"/>
        <v>0</v>
      </c>
      <c r="Q122">
        <f t="shared" si="24"/>
        <v>1</v>
      </c>
      <c r="R122">
        <f t="shared" si="25"/>
        <v>0</v>
      </c>
      <c r="S122">
        <f t="shared" si="26"/>
        <v>0</v>
      </c>
      <c r="T122">
        <f t="shared" si="33"/>
        <v>0</v>
      </c>
      <c r="U122">
        <f t="shared" si="34"/>
        <v>0</v>
      </c>
      <c r="V122">
        <f t="shared" si="35"/>
        <v>0</v>
      </c>
      <c r="W122">
        <f t="shared" si="36"/>
        <v>0</v>
      </c>
      <c r="X122" t="s">
        <v>39</v>
      </c>
      <c r="Y122" t="s">
        <v>49</v>
      </c>
      <c r="Z122" t="s">
        <v>41</v>
      </c>
      <c r="AA122" t="s">
        <v>42</v>
      </c>
      <c r="AB122">
        <v>1</v>
      </c>
      <c r="AC122">
        <v>2</v>
      </c>
      <c r="AD122">
        <v>0</v>
      </c>
      <c r="AE122" t="s">
        <v>44</v>
      </c>
      <c r="AF122" t="s">
        <v>44</v>
      </c>
      <c r="AG122">
        <f t="shared" si="37"/>
        <v>0</v>
      </c>
      <c r="AH122" t="s">
        <v>44</v>
      </c>
      <c r="AI122">
        <f t="shared" si="38"/>
        <v>0</v>
      </c>
      <c r="AJ122" t="s">
        <v>43</v>
      </c>
      <c r="AK122">
        <f t="shared" si="39"/>
        <v>1</v>
      </c>
      <c r="AL122">
        <f t="shared" si="40"/>
        <v>0</v>
      </c>
      <c r="AM122">
        <v>2</v>
      </c>
      <c r="AN122">
        <f t="shared" si="41"/>
        <v>0</v>
      </c>
      <c r="AO122">
        <f t="shared" si="42"/>
        <v>0</v>
      </c>
      <c r="AP122">
        <f t="shared" si="43"/>
        <v>0</v>
      </c>
      <c r="AQ122">
        <v>16</v>
      </c>
      <c r="AR122">
        <v>15</v>
      </c>
      <c r="AS122">
        <v>15</v>
      </c>
    </row>
    <row r="123" spans="1:45" x14ac:dyDescent="0.2">
      <c r="A123" t="s">
        <v>34</v>
      </c>
      <c r="B123" t="s">
        <v>51</v>
      </c>
      <c r="C123">
        <v>15</v>
      </c>
      <c r="D123" t="s">
        <v>36</v>
      </c>
      <c r="E123" t="s">
        <v>37</v>
      </c>
      <c r="F123" t="s">
        <v>45</v>
      </c>
      <c r="G123">
        <f t="shared" si="27"/>
        <v>1</v>
      </c>
      <c r="H123">
        <v>2</v>
      </c>
      <c r="I123">
        <f t="shared" si="28"/>
        <v>0</v>
      </c>
      <c r="J123">
        <f t="shared" si="29"/>
        <v>0</v>
      </c>
      <c r="K123">
        <f t="shared" si="30"/>
        <v>1</v>
      </c>
      <c r="L123">
        <f t="shared" si="31"/>
        <v>0</v>
      </c>
      <c r="M123">
        <f t="shared" si="32"/>
        <v>0</v>
      </c>
      <c r="N123">
        <v>2</v>
      </c>
      <c r="O123">
        <f t="shared" si="22"/>
        <v>0</v>
      </c>
      <c r="P123">
        <f t="shared" si="23"/>
        <v>0</v>
      </c>
      <c r="Q123">
        <f t="shared" si="24"/>
        <v>1</v>
      </c>
      <c r="R123">
        <f t="shared" si="25"/>
        <v>0</v>
      </c>
      <c r="S123">
        <f t="shared" si="26"/>
        <v>0</v>
      </c>
      <c r="T123">
        <f t="shared" si="33"/>
        <v>0</v>
      </c>
      <c r="U123">
        <f t="shared" si="34"/>
        <v>0</v>
      </c>
      <c r="V123">
        <f t="shared" si="35"/>
        <v>0</v>
      </c>
      <c r="W123">
        <f t="shared" si="36"/>
        <v>0</v>
      </c>
      <c r="X123" t="s">
        <v>49</v>
      </c>
      <c r="Y123" t="s">
        <v>49</v>
      </c>
      <c r="Z123" t="s">
        <v>50</v>
      </c>
      <c r="AA123" t="s">
        <v>47</v>
      </c>
      <c r="AB123">
        <v>1</v>
      </c>
      <c r="AC123">
        <v>4</v>
      </c>
      <c r="AD123">
        <v>0</v>
      </c>
      <c r="AE123" t="s">
        <v>44</v>
      </c>
      <c r="AF123" t="s">
        <v>43</v>
      </c>
      <c r="AG123">
        <f t="shared" si="37"/>
        <v>1</v>
      </c>
      <c r="AH123" t="s">
        <v>43</v>
      </c>
      <c r="AI123">
        <f t="shared" si="38"/>
        <v>1</v>
      </c>
      <c r="AJ123" t="s">
        <v>43</v>
      </c>
      <c r="AK123">
        <f t="shared" si="39"/>
        <v>1</v>
      </c>
      <c r="AL123">
        <f t="shared" si="40"/>
        <v>1</v>
      </c>
      <c r="AM123">
        <v>6</v>
      </c>
      <c r="AN123">
        <f t="shared" si="41"/>
        <v>0</v>
      </c>
      <c r="AO123">
        <f t="shared" si="42"/>
        <v>0</v>
      </c>
      <c r="AP123">
        <f t="shared" si="43"/>
        <v>0</v>
      </c>
      <c r="AQ123">
        <v>16</v>
      </c>
      <c r="AR123">
        <v>14</v>
      </c>
      <c r="AS123">
        <v>15</v>
      </c>
    </row>
    <row r="124" spans="1:45" x14ac:dyDescent="0.2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f t="shared" si="27"/>
        <v>1</v>
      </c>
      <c r="H124">
        <v>2</v>
      </c>
      <c r="I124">
        <f t="shared" si="28"/>
        <v>0</v>
      </c>
      <c r="J124">
        <f t="shared" si="29"/>
        <v>0</v>
      </c>
      <c r="K124">
        <f t="shared" si="30"/>
        <v>1</v>
      </c>
      <c r="L124">
        <f t="shared" si="31"/>
        <v>0</v>
      </c>
      <c r="M124">
        <f t="shared" si="32"/>
        <v>0</v>
      </c>
      <c r="N124">
        <v>4</v>
      </c>
      <c r="O124">
        <f t="shared" si="22"/>
        <v>0</v>
      </c>
      <c r="P124">
        <f t="shared" si="23"/>
        <v>0</v>
      </c>
      <c r="Q124">
        <f t="shared" si="24"/>
        <v>0</v>
      </c>
      <c r="R124">
        <f t="shared" si="25"/>
        <v>0</v>
      </c>
      <c r="S124">
        <f t="shared" si="26"/>
        <v>1</v>
      </c>
      <c r="T124">
        <f t="shared" si="33"/>
        <v>0</v>
      </c>
      <c r="U124">
        <f t="shared" si="34"/>
        <v>0</v>
      </c>
      <c r="V124">
        <f t="shared" si="35"/>
        <v>0</v>
      </c>
      <c r="W124">
        <f t="shared" si="36"/>
        <v>0</v>
      </c>
      <c r="X124" t="s">
        <v>46</v>
      </c>
      <c r="Y124" t="s">
        <v>29</v>
      </c>
      <c r="Z124" t="s">
        <v>41</v>
      </c>
      <c r="AA124" t="s">
        <v>47</v>
      </c>
      <c r="AB124">
        <v>2</v>
      </c>
      <c r="AC124">
        <v>2</v>
      </c>
      <c r="AD124">
        <v>0</v>
      </c>
      <c r="AE124" t="s">
        <v>44</v>
      </c>
      <c r="AF124" t="s">
        <v>43</v>
      </c>
      <c r="AG124">
        <f t="shared" si="37"/>
        <v>1</v>
      </c>
      <c r="AH124" t="s">
        <v>43</v>
      </c>
      <c r="AI124">
        <f t="shared" si="38"/>
        <v>1</v>
      </c>
      <c r="AJ124" t="s">
        <v>43</v>
      </c>
      <c r="AK124">
        <f t="shared" si="39"/>
        <v>1</v>
      </c>
      <c r="AL124">
        <f t="shared" si="40"/>
        <v>1</v>
      </c>
      <c r="AM124">
        <v>2</v>
      </c>
      <c r="AN124">
        <f t="shared" si="41"/>
        <v>0</v>
      </c>
      <c r="AO124">
        <f t="shared" si="42"/>
        <v>0</v>
      </c>
      <c r="AP124">
        <f t="shared" si="43"/>
        <v>0</v>
      </c>
      <c r="AQ124">
        <v>13</v>
      </c>
      <c r="AR124">
        <v>13</v>
      </c>
      <c r="AS124">
        <v>13</v>
      </c>
    </row>
    <row r="125" spans="1:45" x14ac:dyDescent="0.2">
      <c r="A125" t="s">
        <v>34</v>
      </c>
      <c r="B125" t="s">
        <v>51</v>
      </c>
      <c r="C125">
        <v>16</v>
      </c>
      <c r="D125" t="s">
        <v>36</v>
      </c>
      <c r="E125" t="s">
        <v>37</v>
      </c>
      <c r="F125" t="s">
        <v>45</v>
      </c>
      <c r="G125">
        <f t="shared" si="27"/>
        <v>1</v>
      </c>
      <c r="H125">
        <v>4</v>
      </c>
      <c r="I125">
        <f t="shared" si="28"/>
        <v>0</v>
      </c>
      <c r="J125">
        <f t="shared" si="29"/>
        <v>0</v>
      </c>
      <c r="K125">
        <f t="shared" si="30"/>
        <v>0</v>
      </c>
      <c r="L125">
        <f t="shared" si="31"/>
        <v>0</v>
      </c>
      <c r="M125">
        <f t="shared" si="32"/>
        <v>1</v>
      </c>
      <c r="N125">
        <v>4</v>
      </c>
      <c r="O125">
        <f t="shared" si="22"/>
        <v>0</v>
      </c>
      <c r="P125">
        <f t="shared" si="23"/>
        <v>0</v>
      </c>
      <c r="Q125">
        <f t="shared" si="24"/>
        <v>0</v>
      </c>
      <c r="R125">
        <f t="shared" si="25"/>
        <v>0</v>
      </c>
      <c r="S125">
        <f t="shared" si="26"/>
        <v>1</v>
      </c>
      <c r="T125">
        <f t="shared" si="33"/>
        <v>1</v>
      </c>
      <c r="U125">
        <f t="shared" si="34"/>
        <v>0</v>
      </c>
      <c r="V125">
        <f t="shared" si="35"/>
        <v>0</v>
      </c>
      <c r="W125">
        <f t="shared" si="36"/>
        <v>0</v>
      </c>
      <c r="X125" t="s">
        <v>29</v>
      </c>
      <c r="Y125" t="s">
        <v>46</v>
      </c>
      <c r="Z125" t="s">
        <v>41</v>
      </c>
      <c r="AA125" t="s">
        <v>42</v>
      </c>
      <c r="AB125">
        <v>1</v>
      </c>
      <c r="AC125">
        <v>1</v>
      </c>
      <c r="AD125">
        <v>0</v>
      </c>
      <c r="AE125" t="s">
        <v>44</v>
      </c>
      <c r="AF125" t="s">
        <v>43</v>
      </c>
      <c r="AG125">
        <f t="shared" si="37"/>
        <v>1</v>
      </c>
      <c r="AH125" t="s">
        <v>44</v>
      </c>
      <c r="AI125">
        <f t="shared" si="38"/>
        <v>0</v>
      </c>
      <c r="AJ125" t="s">
        <v>43</v>
      </c>
      <c r="AK125">
        <f t="shared" si="39"/>
        <v>1</v>
      </c>
      <c r="AL125">
        <f t="shared" si="40"/>
        <v>0</v>
      </c>
      <c r="AM125">
        <v>18</v>
      </c>
      <c r="AN125">
        <f t="shared" si="41"/>
        <v>0</v>
      </c>
      <c r="AO125">
        <f t="shared" si="42"/>
        <v>0</v>
      </c>
      <c r="AP125">
        <f t="shared" si="43"/>
        <v>0</v>
      </c>
      <c r="AQ125">
        <v>14</v>
      </c>
      <c r="AR125">
        <v>11</v>
      </c>
      <c r="AS125">
        <v>13</v>
      </c>
    </row>
    <row r="126" spans="1:45" x14ac:dyDescent="0.2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f t="shared" si="27"/>
        <v>1</v>
      </c>
      <c r="H126">
        <v>2</v>
      </c>
      <c r="I126">
        <f t="shared" si="28"/>
        <v>0</v>
      </c>
      <c r="J126">
        <f t="shared" si="29"/>
        <v>0</v>
      </c>
      <c r="K126">
        <f t="shared" si="30"/>
        <v>1</v>
      </c>
      <c r="L126">
        <f t="shared" si="31"/>
        <v>0</v>
      </c>
      <c r="M126">
        <f t="shared" si="32"/>
        <v>0</v>
      </c>
      <c r="N126">
        <v>2</v>
      </c>
      <c r="O126">
        <f t="shared" si="22"/>
        <v>0</v>
      </c>
      <c r="P126">
        <f t="shared" si="23"/>
        <v>0</v>
      </c>
      <c r="Q126">
        <f t="shared" si="24"/>
        <v>1</v>
      </c>
      <c r="R126">
        <f t="shared" si="25"/>
        <v>0</v>
      </c>
      <c r="S126">
        <f t="shared" si="26"/>
        <v>0</v>
      </c>
      <c r="T126">
        <f t="shared" si="33"/>
        <v>0</v>
      </c>
      <c r="U126">
        <f t="shared" si="34"/>
        <v>0</v>
      </c>
      <c r="V126">
        <f t="shared" si="35"/>
        <v>0</v>
      </c>
      <c r="W126">
        <f t="shared" si="36"/>
        <v>0</v>
      </c>
      <c r="X126" t="s">
        <v>46</v>
      </c>
      <c r="Y126" t="s">
        <v>46</v>
      </c>
      <c r="Z126" t="s">
        <v>50</v>
      </c>
      <c r="AA126" t="s">
        <v>42</v>
      </c>
      <c r="AB126">
        <v>1</v>
      </c>
      <c r="AC126">
        <v>2</v>
      </c>
      <c r="AD126">
        <v>0</v>
      </c>
      <c r="AE126" t="s">
        <v>44</v>
      </c>
      <c r="AF126" t="s">
        <v>44</v>
      </c>
      <c r="AG126">
        <f t="shared" si="37"/>
        <v>0</v>
      </c>
      <c r="AH126" t="s">
        <v>43</v>
      </c>
      <c r="AI126">
        <f t="shared" si="38"/>
        <v>1</v>
      </c>
      <c r="AJ126" t="s">
        <v>43</v>
      </c>
      <c r="AK126">
        <f t="shared" si="39"/>
        <v>1</v>
      </c>
      <c r="AL126">
        <f t="shared" si="40"/>
        <v>1</v>
      </c>
      <c r="AM126">
        <v>0</v>
      </c>
      <c r="AN126">
        <f t="shared" si="41"/>
        <v>0</v>
      </c>
      <c r="AO126">
        <f t="shared" si="42"/>
        <v>0</v>
      </c>
      <c r="AP126">
        <f t="shared" si="43"/>
        <v>0</v>
      </c>
      <c r="AQ126">
        <v>8</v>
      </c>
      <c r="AR126">
        <v>7</v>
      </c>
      <c r="AS126">
        <v>8</v>
      </c>
    </row>
    <row r="127" spans="1:45" x14ac:dyDescent="0.2">
      <c r="A127" t="s">
        <v>34</v>
      </c>
      <c r="B127" t="s">
        <v>51</v>
      </c>
      <c r="C127">
        <v>15</v>
      </c>
      <c r="D127" t="s">
        <v>36</v>
      </c>
      <c r="E127" t="s">
        <v>37</v>
      </c>
      <c r="F127" t="s">
        <v>45</v>
      </c>
      <c r="G127">
        <f t="shared" si="27"/>
        <v>1</v>
      </c>
      <c r="H127">
        <v>3</v>
      </c>
      <c r="I127">
        <f t="shared" si="28"/>
        <v>0</v>
      </c>
      <c r="J127">
        <f t="shared" si="29"/>
        <v>0</v>
      </c>
      <c r="K127">
        <f t="shared" si="30"/>
        <v>0</v>
      </c>
      <c r="L127">
        <f t="shared" si="31"/>
        <v>1</v>
      </c>
      <c r="M127">
        <f t="shared" si="32"/>
        <v>0</v>
      </c>
      <c r="N127">
        <v>4</v>
      </c>
      <c r="O127">
        <f t="shared" si="22"/>
        <v>0</v>
      </c>
      <c r="P127">
        <f t="shared" si="23"/>
        <v>0</v>
      </c>
      <c r="Q127">
        <f t="shared" si="24"/>
        <v>0</v>
      </c>
      <c r="R127">
        <f t="shared" si="25"/>
        <v>0</v>
      </c>
      <c r="S127">
        <f t="shared" si="26"/>
        <v>1</v>
      </c>
      <c r="T127">
        <f t="shared" si="33"/>
        <v>0</v>
      </c>
      <c r="U127">
        <f t="shared" si="34"/>
        <v>0</v>
      </c>
      <c r="V127">
        <f t="shared" si="35"/>
        <v>0</v>
      </c>
      <c r="W127">
        <f t="shared" si="36"/>
        <v>1</v>
      </c>
      <c r="X127" t="s">
        <v>49</v>
      </c>
      <c r="Y127" t="s">
        <v>49</v>
      </c>
      <c r="Z127" t="s">
        <v>50</v>
      </c>
      <c r="AA127" t="s">
        <v>47</v>
      </c>
      <c r="AB127">
        <v>1</v>
      </c>
      <c r="AC127">
        <v>1</v>
      </c>
      <c r="AD127">
        <v>0</v>
      </c>
      <c r="AE127" t="s">
        <v>43</v>
      </c>
      <c r="AF127" t="s">
        <v>44</v>
      </c>
      <c r="AG127">
        <f t="shared" si="37"/>
        <v>0</v>
      </c>
      <c r="AH127" t="s">
        <v>44</v>
      </c>
      <c r="AI127">
        <f t="shared" si="38"/>
        <v>0</v>
      </c>
      <c r="AJ127" t="s">
        <v>43</v>
      </c>
      <c r="AK127">
        <f t="shared" si="39"/>
        <v>1</v>
      </c>
      <c r="AL127">
        <f t="shared" si="40"/>
        <v>0</v>
      </c>
      <c r="AM127">
        <v>0</v>
      </c>
      <c r="AN127">
        <f t="shared" si="41"/>
        <v>0</v>
      </c>
      <c r="AO127">
        <f t="shared" si="42"/>
        <v>0</v>
      </c>
      <c r="AP127">
        <f t="shared" si="43"/>
        <v>0</v>
      </c>
      <c r="AQ127">
        <v>13</v>
      </c>
      <c r="AR127">
        <v>13</v>
      </c>
      <c r="AS127">
        <v>12</v>
      </c>
    </row>
    <row r="128" spans="1:45" x14ac:dyDescent="0.2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f t="shared" si="27"/>
        <v>0</v>
      </c>
      <c r="H128">
        <v>3</v>
      </c>
      <c r="I128">
        <f t="shared" si="28"/>
        <v>0</v>
      </c>
      <c r="J128">
        <f t="shared" si="29"/>
        <v>0</v>
      </c>
      <c r="K128">
        <f t="shared" si="30"/>
        <v>0</v>
      </c>
      <c r="L128">
        <f t="shared" si="31"/>
        <v>1</v>
      </c>
      <c r="M128">
        <f t="shared" si="32"/>
        <v>0</v>
      </c>
      <c r="N128">
        <v>4</v>
      </c>
      <c r="O128">
        <f t="shared" si="22"/>
        <v>0</v>
      </c>
      <c r="P128">
        <f t="shared" si="23"/>
        <v>0</v>
      </c>
      <c r="Q128">
        <f t="shared" si="24"/>
        <v>0</v>
      </c>
      <c r="R128">
        <f t="shared" si="25"/>
        <v>0</v>
      </c>
      <c r="S128">
        <f t="shared" si="26"/>
        <v>1</v>
      </c>
      <c r="T128">
        <f t="shared" si="33"/>
        <v>0</v>
      </c>
      <c r="U128">
        <f t="shared" si="34"/>
        <v>0</v>
      </c>
      <c r="V128">
        <f t="shared" si="35"/>
        <v>0</v>
      </c>
      <c r="W128">
        <f t="shared" si="36"/>
        <v>1</v>
      </c>
      <c r="X128" t="s">
        <v>46</v>
      </c>
      <c r="Y128" t="s">
        <v>46</v>
      </c>
      <c r="Z128" t="s">
        <v>50</v>
      </c>
      <c r="AA128" t="s">
        <v>42</v>
      </c>
      <c r="AB128">
        <v>1</v>
      </c>
      <c r="AC128">
        <v>2</v>
      </c>
      <c r="AD128">
        <v>0</v>
      </c>
      <c r="AE128" t="s">
        <v>43</v>
      </c>
      <c r="AF128" t="s">
        <v>44</v>
      </c>
      <c r="AG128">
        <f t="shared" si="37"/>
        <v>0</v>
      </c>
      <c r="AH128" t="s">
        <v>44</v>
      </c>
      <c r="AI128">
        <f t="shared" si="38"/>
        <v>0</v>
      </c>
      <c r="AJ128" t="s">
        <v>43</v>
      </c>
      <c r="AK128">
        <f t="shared" si="39"/>
        <v>1</v>
      </c>
      <c r="AL128">
        <f t="shared" si="40"/>
        <v>0</v>
      </c>
      <c r="AM128">
        <v>0</v>
      </c>
      <c r="AN128">
        <f t="shared" si="41"/>
        <v>0</v>
      </c>
      <c r="AO128">
        <f t="shared" si="42"/>
        <v>0</v>
      </c>
      <c r="AP128">
        <f t="shared" si="43"/>
        <v>0</v>
      </c>
      <c r="AQ128">
        <v>7</v>
      </c>
      <c r="AR128">
        <v>10</v>
      </c>
      <c r="AS128">
        <v>11</v>
      </c>
    </row>
    <row r="129" spans="1:45" x14ac:dyDescent="0.2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f t="shared" si="27"/>
        <v>1</v>
      </c>
      <c r="H129">
        <v>0</v>
      </c>
      <c r="I129">
        <f t="shared" si="28"/>
        <v>1</v>
      </c>
      <c r="J129">
        <f t="shared" si="29"/>
        <v>0</v>
      </c>
      <c r="K129">
        <f t="shared" si="30"/>
        <v>0</v>
      </c>
      <c r="L129">
        <f t="shared" si="31"/>
        <v>0</v>
      </c>
      <c r="M129">
        <f t="shared" si="32"/>
        <v>0</v>
      </c>
      <c r="N129">
        <v>1</v>
      </c>
      <c r="O129">
        <f t="shared" si="22"/>
        <v>0</v>
      </c>
      <c r="P129">
        <f t="shared" si="23"/>
        <v>1</v>
      </c>
      <c r="Q129">
        <f t="shared" si="24"/>
        <v>0</v>
      </c>
      <c r="R129">
        <f t="shared" si="25"/>
        <v>0</v>
      </c>
      <c r="S129">
        <f t="shared" si="26"/>
        <v>0</v>
      </c>
      <c r="T129">
        <f t="shared" si="33"/>
        <v>0</v>
      </c>
      <c r="U129">
        <f t="shared" si="34"/>
        <v>0</v>
      </c>
      <c r="V129">
        <f t="shared" si="35"/>
        <v>0</v>
      </c>
      <c r="W129">
        <f t="shared" si="36"/>
        <v>0</v>
      </c>
      <c r="X129" t="s">
        <v>39</v>
      </c>
      <c r="Y129" t="s">
        <v>46</v>
      </c>
      <c r="Z129" t="s">
        <v>41</v>
      </c>
      <c r="AA129" t="s">
        <v>46</v>
      </c>
      <c r="AB129">
        <v>1</v>
      </c>
      <c r="AC129">
        <v>2</v>
      </c>
      <c r="AD129">
        <v>3</v>
      </c>
      <c r="AE129" t="s">
        <v>44</v>
      </c>
      <c r="AF129" t="s">
        <v>43</v>
      </c>
      <c r="AG129">
        <f t="shared" si="37"/>
        <v>1</v>
      </c>
      <c r="AH129" t="s">
        <v>44</v>
      </c>
      <c r="AI129">
        <f t="shared" si="38"/>
        <v>0</v>
      </c>
      <c r="AJ129" t="s">
        <v>44</v>
      </c>
      <c r="AK129">
        <f t="shared" si="39"/>
        <v>0</v>
      </c>
      <c r="AL129">
        <f t="shared" si="40"/>
        <v>0</v>
      </c>
      <c r="AM129">
        <v>2</v>
      </c>
      <c r="AN129">
        <f t="shared" si="41"/>
        <v>0</v>
      </c>
      <c r="AO129">
        <f t="shared" si="42"/>
        <v>0</v>
      </c>
      <c r="AP129">
        <f t="shared" si="43"/>
        <v>0</v>
      </c>
      <c r="AQ129">
        <v>7</v>
      </c>
      <c r="AR129">
        <v>8</v>
      </c>
      <c r="AS129">
        <v>9</v>
      </c>
    </row>
    <row r="130" spans="1:45" x14ac:dyDescent="0.2">
      <c r="A130" t="s">
        <v>34</v>
      </c>
      <c r="B130" t="s">
        <v>51</v>
      </c>
      <c r="C130">
        <v>18</v>
      </c>
      <c r="D130" t="s">
        <v>53</v>
      </c>
      <c r="E130" t="s">
        <v>37</v>
      </c>
      <c r="F130" t="s">
        <v>45</v>
      </c>
      <c r="G130">
        <f t="shared" si="27"/>
        <v>1</v>
      </c>
      <c r="H130">
        <v>2</v>
      </c>
      <c r="I130">
        <f t="shared" si="28"/>
        <v>0</v>
      </c>
      <c r="J130">
        <f t="shared" si="29"/>
        <v>0</v>
      </c>
      <c r="K130">
        <f t="shared" si="30"/>
        <v>1</v>
      </c>
      <c r="L130">
        <f t="shared" si="31"/>
        <v>0</v>
      </c>
      <c r="M130">
        <f t="shared" si="32"/>
        <v>0</v>
      </c>
      <c r="N130">
        <v>2</v>
      </c>
      <c r="O130">
        <f t="shared" ref="O130:O193" si="44" xml:space="preserve"> IF($N130=0,1,0)</f>
        <v>0</v>
      </c>
      <c r="P130">
        <f t="shared" ref="P130:P193" si="45" xml:space="preserve"> IF($N130=1,1,0)</f>
        <v>0</v>
      </c>
      <c r="Q130">
        <f t="shared" ref="Q130:Q193" si="46" xml:space="preserve"> IF($N130=2,1,0)</f>
        <v>1</v>
      </c>
      <c r="R130">
        <f t="shared" ref="R130:R193" si="47" xml:space="preserve"> IF($N130=3,1,0)</f>
        <v>0</v>
      </c>
      <c r="S130">
        <f t="shared" ref="S130:S193" si="48" xml:space="preserve"> IF($N130=4,1,0)</f>
        <v>0</v>
      </c>
      <c r="T130">
        <f t="shared" si="33"/>
        <v>0</v>
      </c>
      <c r="U130">
        <f t="shared" si="34"/>
        <v>0</v>
      </c>
      <c r="V130">
        <f t="shared" si="35"/>
        <v>0</v>
      </c>
      <c r="W130">
        <f t="shared" si="36"/>
        <v>0</v>
      </c>
      <c r="X130" t="s">
        <v>49</v>
      </c>
      <c r="Y130" t="s">
        <v>46</v>
      </c>
      <c r="Z130" t="s">
        <v>52</v>
      </c>
      <c r="AA130" t="s">
        <v>42</v>
      </c>
      <c r="AB130">
        <v>1</v>
      </c>
      <c r="AC130">
        <v>1</v>
      </c>
      <c r="AD130">
        <v>2</v>
      </c>
      <c r="AE130" t="s">
        <v>44</v>
      </c>
      <c r="AF130" t="s">
        <v>43</v>
      </c>
      <c r="AG130">
        <f t="shared" si="37"/>
        <v>1</v>
      </c>
      <c r="AH130" t="s">
        <v>44</v>
      </c>
      <c r="AI130">
        <f t="shared" si="38"/>
        <v>0</v>
      </c>
      <c r="AJ130" t="s">
        <v>43</v>
      </c>
      <c r="AK130">
        <f t="shared" si="39"/>
        <v>1</v>
      </c>
      <c r="AL130">
        <f t="shared" si="40"/>
        <v>0</v>
      </c>
      <c r="AM130">
        <v>0</v>
      </c>
      <c r="AN130">
        <f t="shared" si="41"/>
        <v>0</v>
      </c>
      <c r="AO130">
        <f t="shared" si="42"/>
        <v>0</v>
      </c>
      <c r="AP130">
        <f t="shared" si="43"/>
        <v>0</v>
      </c>
      <c r="AQ130">
        <v>7</v>
      </c>
      <c r="AR130">
        <v>4</v>
      </c>
      <c r="AS130">
        <v>0</v>
      </c>
    </row>
    <row r="131" spans="1:45" x14ac:dyDescent="0.2">
      <c r="A131" t="s">
        <v>34</v>
      </c>
      <c r="B131" t="s">
        <v>51</v>
      </c>
      <c r="C131">
        <v>16</v>
      </c>
      <c r="D131" t="s">
        <v>53</v>
      </c>
      <c r="E131" t="s">
        <v>37</v>
      </c>
      <c r="F131" t="s">
        <v>45</v>
      </c>
      <c r="G131">
        <f t="shared" ref="G131:G194" si="49">IF(F131="T",1,0)</f>
        <v>1</v>
      </c>
      <c r="H131">
        <v>4</v>
      </c>
      <c r="I131">
        <f t="shared" ref="I131:I194" si="50" xml:space="preserve"> IF($H131=0,1,0)</f>
        <v>0</v>
      </c>
      <c r="J131">
        <f t="shared" ref="J131:J194" si="51" xml:space="preserve"> IF($H131=1,1,0)</f>
        <v>0</v>
      </c>
      <c r="K131">
        <f t="shared" ref="K131:K194" si="52" xml:space="preserve"> IF($H131=2,1,0)</f>
        <v>0</v>
      </c>
      <c r="L131">
        <f t="shared" ref="L131:L194" si="53" xml:space="preserve"> IF($H131=3,1,0)</f>
        <v>0</v>
      </c>
      <c r="M131">
        <f t="shared" ref="M131:M194" si="54" xml:space="preserve"> IF($H131=4,1,0)</f>
        <v>1</v>
      </c>
      <c r="N131">
        <v>4</v>
      </c>
      <c r="O131">
        <f t="shared" si="44"/>
        <v>0</v>
      </c>
      <c r="P131">
        <f t="shared" si="45"/>
        <v>0</v>
      </c>
      <c r="Q131">
        <f t="shared" si="46"/>
        <v>0</v>
      </c>
      <c r="R131">
        <f t="shared" si="47"/>
        <v>0</v>
      </c>
      <c r="S131">
        <f t="shared" si="48"/>
        <v>1</v>
      </c>
      <c r="T131">
        <f t="shared" ref="T131:T194" si="55">IF(AND(M131=1,S131=1),1,0)</f>
        <v>1</v>
      </c>
      <c r="U131">
        <f t="shared" ref="U131:U194" si="56">IF(AND(M131=1,R131=1),1,0)</f>
        <v>0</v>
      </c>
      <c r="V131">
        <f t="shared" ref="V131:V194" si="57">IF(OR(AND(M131=1,Q131=1),AND(M131=1,P131=1)),1,0)</f>
        <v>0</v>
      </c>
      <c r="W131">
        <f t="shared" ref="W131:W194" si="58">IF(AND(L131=1,S131=1),1,0)</f>
        <v>0</v>
      </c>
      <c r="X131" t="s">
        <v>40</v>
      </c>
      <c r="Y131" t="s">
        <v>40</v>
      </c>
      <c r="Z131" t="s">
        <v>41</v>
      </c>
      <c r="AA131" t="s">
        <v>42</v>
      </c>
      <c r="AB131">
        <v>1</v>
      </c>
      <c r="AC131">
        <v>1</v>
      </c>
      <c r="AD131">
        <v>0</v>
      </c>
      <c r="AE131" t="s">
        <v>44</v>
      </c>
      <c r="AF131" t="s">
        <v>44</v>
      </c>
      <c r="AG131">
        <f t="shared" ref="AG131:AG194" si="59">IF(AF131="yes",1,0)</f>
        <v>0</v>
      </c>
      <c r="AH131" t="s">
        <v>43</v>
      </c>
      <c r="AI131">
        <f t="shared" ref="AI131:AI194" si="60">IF(AH131="yes",1,0)</f>
        <v>1</v>
      </c>
      <c r="AJ131" t="s">
        <v>43</v>
      </c>
      <c r="AK131">
        <f t="shared" ref="AK131:AK194" si="61">IF(AJ131="yes",1,0)</f>
        <v>1</v>
      </c>
      <c r="AL131">
        <f t="shared" ref="AL131:AL194" si="62">IF(AND(AI131=1,AK131=1),1,0)</f>
        <v>1</v>
      </c>
      <c r="AM131">
        <v>8</v>
      </c>
      <c r="AN131">
        <f t="shared" ref="AN131:AN194" si="63">IF(AND(M131=1,G131=0),1,0)</f>
        <v>0</v>
      </c>
      <c r="AO131">
        <f t="shared" ref="AO131:AO194" si="64">IF(AND(M131=1,AI131=1),1,0)</f>
        <v>1</v>
      </c>
      <c r="AP131">
        <f t="shared" ref="AP131:AP194" si="65">IF(AND(L131=1,AI131=1),1,0)</f>
        <v>0</v>
      </c>
      <c r="AQ131">
        <v>18</v>
      </c>
      <c r="AR131">
        <v>18</v>
      </c>
      <c r="AS131">
        <v>18</v>
      </c>
    </row>
    <row r="132" spans="1:45" x14ac:dyDescent="0.2">
      <c r="A132" t="s">
        <v>34</v>
      </c>
      <c r="B132" t="s">
        <v>35</v>
      </c>
      <c r="C132">
        <v>15</v>
      </c>
      <c r="D132" t="s">
        <v>53</v>
      </c>
      <c r="E132" t="s">
        <v>37</v>
      </c>
      <c r="F132" t="s">
        <v>45</v>
      </c>
      <c r="G132">
        <f t="shared" si="49"/>
        <v>1</v>
      </c>
      <c r="H132">
        <v>3</v>
      </c>
      <c r="I132">
        <f t="shared" si="50"/>
        <v>0</v>
      </c>
      <c r="J132">
        <f t="shared" si="51"/>
        <v>0</v>
      </c>
      <c r="K132">
        <f t="shared" si="52"/>
        <v>0</v>
      </c>
      <c r="L132">
        <f t="shared" si="53"/>
        <v>1</v>
      </c>
      <c r="M132">
        <f t="shared" si="54"/>
        <v>0</v>
      </c>
      <c r="N132">
        <v>4</v>
      </c>
      <c r="O132">
        <f t="shared" si="44"/>
        <v>0</v>
      </c>
      <c r="P132">
        <f t="shared" si="45"/>
        <v>0</v>
      </c>
      <c r="Q132">
        <f t="shared" si="46"/>
        <v>0</v>
      </c>
      <c r="R132">
        <f t="shared" si="47"/>
        <v>0</v>
      </c>
      <c r="S132">
        <f t="shared" si="48"/>
        <v>1</v>
      </c>
      <c r="T132">
        <f t="shared" si="55"/>
        <v>0</v>
      </c>
      <c r="U132">
        <f t="shared" si="56"/>
        <v>0</v>
      </c>
      <c r="V132">
        <f t="shared" si="57"/>
        <v>0</v>
      </c>
      <c r="W132">
        <f t="shared" si="58"/>
        <v>1</v>
      </c>
      <c r="X132" t="s">
        <v>49</v>
      </c>
      <c r="Y132" t="s">
        <v>40</v>
      </c>
      <c r="Z132" t="s">
        <v>41</v>
      </c>
      <c r="AA132" t="s">
        <v>47</v>
      </c>
      <c r="AB132">
        <v>2</v>
      </c>
      <c r="AC132">
        <v>3</v>
      </c>
      <c r="AD132">
        <v>2</v>
      </c>
      <c r="AE132" t="s">
        <v>44</v>
      </c>
      <c r="AF132" t="s">
        <v>43</v>
      </c>
      <c r="AG132">
        <f t="shared" si="59"/>
        <v>1</v>
      </c>
      <c r="AH132" t="s">
        <v>44</v>
      </c>
      <c r="AI132">
        <f t="shared" si="60"/>
        <v>0</v>
      </c>
      <c r="AJ132" t="s">
        <v>43</v>
      </c>
      <c r="AK132">
        <f t="shared" si="61"/>
        <v>1</v>
      </c>
      <c r="AL132">
        <f t="shared" si="62"/>
        <v>0</v>
      </c>
      <c r="AM132">
        <v>0</v>
      </c>
      <c r="AN132">
        <f t="shared" si="63"/>
        <v>0</v>
      </c>
      <c r="AO132">
        <f t="shared" si="64"/>
        <v>0</v>
      </c>
      <c r="AP132">
        <f t="shared" si="65"/>
        <v>0</v>
      </c>
      <c r="AQ132">
        <v>12</v>
      </c>
      <c r="AR132">
        <v>0</v>
      </c>
      <c r="AS132">
        <v>0</v>
      </c>
    </row>
    <row r="133" spans="1:45" x14ac:dyDescent="0.2">
      <c r="A133" t="s">
        <v>34</v>
      </c>
      <c r="B133" t="s">
        <v>35</v>
      </c>
      <c r="C133">
        <v>15</v>
      </c>
      <c r="D133" t="s">
        <v>36</v>
      </c>
      <c r="E133" t="s">
        <v>37</v>
      </c>
      <c r="F133" t="s">
        <v>45</v>
      </c>
      <c r="G133">
        <f t="shared" si="49"/>
        <v>1</v>
      </c>
      <c r="H133">
        <v>1</v>
      </c>
      <c r="I133">
        <f t="shared" si="50"/>
        <v>0</v>
      </c>
      <c r="J133">
        <f t="shared" si="51"/>
        <v>1</v>
      </c>
      <c r="K133">
        <f t="shared" si="52"/>
        <v>0</v>
      </c>
      <c r="L133">
        <f t="shared" si="53"/>
        <v>0</v>
      </c>
      <c r="M133">
        <f t="shared" si="54"/>
        <v>0</v>
      </c>
      <c r="N133">
        <v>1</v>
      </c>
      <c r="O133">
        <f t="shared" si="44"/>
        <v>0</v>
      </c>
      <c r="P133">
        <f t="shared" si="45"/>
        <v>1</v>
      </c>
      <c r="Q133">
        <f t="shared" si="46"/>
        <v>0</v>
      </c>
      <c r="R133">
        <f t="shared" si="47"/>
        <v>0</v>
      </c>
      <c r="S133">
        <f t="shared" si="48"/>
        <v>0</v>
      </c>
      <c r="T133">
        <f t="shared" si="55"/>
        <v>0</v>
      </c>
      <c r="U133">
        <f t="shared" si="56"/>
        <v>0</v>
      </c>
      <c r="V133">
        <f t="shared" si="57"/>
        <v>0</v>
      </c>
      <c r="W133">
        <f t="shared" si="58"/>
        <v>0</v>
      </c>
      <c r="X133" t="s">
        <v>39</v>
      </c>
      <c r="Y133" t="s">
        <v>46</v>
      </c>
      <c r="Z133" t="s">
        <v>41</v>
      </c>
      <c r="AA133" t="s">
        <v>42</v>
      </c>
      <c r="AB133">
        <v>3</v>
      </c>
      <c r="AC133">
        <v>1</v>
      </c>
      <c r="AD133">
        <v>0</v>
      </c>
      <c r="AE133" t="s">
        <v>44</v>
      </c>
      <c r="AF133" t="s">
        <v>43</v>
      </c>
      <c r="AG133">
        <f t="shared" si="59"/>
        <v>1</v>
      </c>
      <c r="AH133" t="s">
        <v>44</v>
      </c>
      <c r="AI133">
        <f t="shared" si="60"/>
        <v>0</v>
      </c>
      <c r="AJ133" t="s">
        <v>43</v>
      </c>
      <c r="AK133">
        <f t="shared" si="61"/>
        <v>1</v>
      </c>
      <c r="AL133">
        <f t="shared" si="62"/>
        <v>0</v>
      </c>
      <c r="AM133">
        <v>0</v>
      </c>
      <c r="AN133">
        <f t="shared" si="63"/>
        <v>0</v>
      </c>
      <c r="AO133">
        <f t="shared" si="64"/>
        <v>0</v>
      </c>
      <c r="AP133">
        <f t="shared" si="65"/>
        <v>0</v>
      </c>
      <c r="AQ133">
        <v>8</v>
      </c>
      <c r="AR133">
        <v>0</v>
      </c>
      <c r="AS133">
        <v>0</v>
      </c>
    </row>
    <row r="134" spans="1:45" x14ac:dyDescent="0.2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45</v>
      </c>
      <c r="G134">
        <f t="shared" si="49"/>
        <v>1</v>
      </c>
      <c r="H134">
        <v>2</v>
      </c>
      <c r="I134">
        <f t="shared" si="50"/>
        <v>0</v>
      </c>
      <c r="J134">
        <f t="shared" si="51"/>
        <v>0</v>
      </c>
      <c r="K134">
        <f t="shared" si="52"/>
        <v>1</v>
      </c>
      <c r="L134">
        <f t="shared" si="53"/>
        <v>0</v>
      </c>
      <c r="M134">
        <f t="shared" si="54"/>
        <v>0</v>
      </c>
      <c r="N134">
        <v>2</v>
      </c>
      <c r="O134">
        <f t="shared" si="44"/>
        <v>0</v>
      </c>
      <c r="P134">
        <f t="shared" si="45"/>
        <v>0</v>
      </c>
      <c r="Q134">
        <f t="shared" si="46"/>
        <v>1</v>
      </c>
      <c r="R134">
        <f t="shared" si="47"/>
        <v>0</v>
      </c>
      <c r="S134">
        <f t="shared" si="48"/>
        <v>0</v>
      </c>
      <c r="T134">
        <f t="shared" si="55"/>
        <v>0</v>
      </c>
      <c r="U134">
        <f t="shared" si="56"/>
        <v>0</v>
      </c>
      <c r="V134">
        <f t="shared" si="57"/>
        <v>0</v>
      </c>
      <c r="W134">
        <f t="shared" si="58"/>
        <v>0</v>
      </c>
      <c r="X134" t="s">
        <v>46</v>
      </c>
      <c r="Y134" t="s">
        <v>46</v>
      </c>
      <c r="Z134" t="s">
        <v>41</v>
      </c>
      <c r="AA134" t="s">
        <v>47</v>
      </c>
      <c r="AB134">
        <v>1</v>
      </c>
      <c r="AC134">
        <v>1</v>
      </c>
      <c r="AD134">
        <v>0</v>
      </c>
      <c r="AE134" t="s">
        <v>44</v>
      </c>
      <c r="AF134" t="s">
        <v>43</v>
      </c>
      <c r="AG134">
        <f t="shared" si="59"/>
        <v>1</v>
      </c>
      <c r="AH134" t="s">
        <v>44</v>
      </c>
      <c r="AI134">
        <f t="shared" si="60"/>
        <v>0</v>
      </c>
      <c r="AJ134" t="s">
        <v>43</v>
      </c>
      <c r="AK134">
        <f t="shared" si="61"/>
        <v>1</v>
      </c>
      <c r="AL134">
        <f t="shared" si="62"/>
        <v>0</v>
      </c>
      <c r="AM134">
        <v>12</v>
      </c>
      <c r="AN134">
        <f t="shared" si="63"/>
        <v>0</v>
      </c>
      <c r="AO134">
        <f t="shared" si="64"/>
        <v>0</v>
      </c>
      <c r="AP134">
        <f t="shared" si="65"/>
        <v>0</v>
      </c>
      <c r="AQ134">
        <v>10</v>
      </c>
      <c r="AR134">
        <v>13</v>
      </c>
      <c r="AS134">
        <v>12</v>
      </c>
    </row>
    <row r="135" spans="1:45" x14ac:dyDescent="0.2">
      <c r="A135" t="s">
        <v>34</v>
      </c>
      <c r="B135" t="s">
        <v>35</v>
      </c>
      <c r="C135">
        <v>16</v>
      </c>
      <c r="D135" t="s">
        <v>36</v>
      </c>
      <c r="E135" t="s">
        <v>37</v>
      </c>
      <c r="F135" t="s">
        <v>38</v>
      </c>
      <c r="G135">
        <f t="shared" si="49"/>
        <v>0</v>
      </c>
      <c r="H135">
        <v>3</v>
      </c>
      <c r="I135">
        <f t="shared" si="50"/>
        <v>0</v>
      </c>
      <c r="J135">
        <f t="shared" si="51"/>
        <v>0</v>
      </c>
      <c r="K135">
        <f t="shared" si="52"/>
        <v>0</v>
      </c>
      <c r="L135">
        <f t="shared" si="53"/>
        <v>1</v>
      </c>
      <c r="M135">
        <f t="shared" si="54"/>
        <v>0</v>
      </c>
      <c r="N135">
        <v>4</v>
      </c>
      <c r="O135">
        <f t="shared" si="44"/>
        <v>0</v>
      </c>
      <c r="P135">
        <f t="shared" si="45"/>
        <v>0</v>
      </c>
      <c r="Q135">
        <f t="shared" si="46"/>
        <v>0</v>
      </c>
      <c r="R135">
        <f t="shared" si="47"/>
        <v>0</v>
      </c>
      <c r="S135">
        <f t="shared" si="48"/>
        <v>1</v>
      </c>
      <c r="T135">
        <f t="shared" si="55"/>
        <v>0</v>
      </c>
      <c r="U135">
        <f t="shared" si="56"/>
        <v>0</v>
      </c>
      <c r="V135">
        <f t="shared" si="57"/>
        <v>0</v>
      </c>
      <c r="W135">
        <f t="shared" si="58"/>
        <v>1</v>
      </c>
      <c r="X135" t="s">
        <v>49</v>
      </c>
      <c r="Y135" t="s">
        <v>46</v>
      </c>
      <c r="Z135" t="s">
        <v>41</v>
      </c>
      <c r="AA135" t="s">
        <v>47</v>
      </c>
      <c r="AB135">
        <v>1</v>
      </c>
      <c r="AC135">
        <v>1</v>
      </c>
      <c r="AD135">
        <v>0</v>
      </c>
      <c r="AE135" t="s">
        <v>44</v>
      </c>
      <c r="AF135" t="s">
        <v>44</v>
      </c>
      <c r="AG135">
        <f t="shared" si="59"/>
        <v>0</v>
      </c>
      <c r="AH135" t="s">
        <v>44</v>
      </c>
      <c r="AI135">
        <f t="shared" si="60"/>
        <v>0</v>
      </c>
      <c r="AJ135" t="s">
        <v>43</v>
      </c>
      <c r="AK135">
        <f t="shared" si="61"/>
        <v>1</v>
      </c>
      <c r="AL135">
        <f t="shared" si="62"/>
        <v>0</v>
      </c>
      <c r="AM135">
        <v>16</v>
      </c>
      <c r="AN135">
        <f t="shared" si="63"/>
        <v>0</v>
      </c>
      <c r="AO135">
        <f t="shared" si="64"/>
        <v>0</v>
      </c>
      <c r="AP135">
        <f t="shared" si="65"/>
        <v>0</v>
      </c>
      <c r="AQ135">
        <v>12</v>
      </c>
      <c r="AR135">
        <v>11</v>
      </c>
      <c r="AS135">
        <v>11</v>
      </c>
    </row>
    <row r="136" spans="1:45" x14ac:dyDescent="0.2">
      <c r="A136" t="s">
        <v>34</v>
      </c>
      <c r="B136" t="s">
        <v>51</v>
      </c>
      <c r="C136">
        <v>15</v>
      </c>
      <c r="D136" t="s">
        <v>53</v>
      </c>
      <c r="E136" t="s">
        <v>37</v>
      </c>
      <c r="F136" t="s">
        <v>45</v>
      </c>
      <c r="G136">
        <f t="shared" si="49"/>
        <v>1</v>
      </c>
      <c r="H136">
        <v>3</v>
      </c>
      <c r="I136">
        <f t="shared" si="50"/>
        <v>0</v>
      </c>
      <c r="J136">
        <f t="shared" si="51"/>
        <v>0</v>
      </c>
      <c r="K136">
        <f t="shared" si="52"/>
        <v>0</v>
      </c>
      <c r="L136">
        <f t="shared" si="53"/>
        <v>1</v>
      </c>
      <c r="M136">
        <f t="shared" si="54"/>
        <v>0</v>
      </c>
      <c r="N136">
        <v>4</v>
      </c>
      <c r="O136">
        <f t="shared" si="44"/>
        <v>0</v>
      </c>
      <c r="P136">
        <f t="shared" si="45"/>
        <v>0</v>
      </c>
      <c r="Q136">
        <f t="shared" si="46"/>
        <v>0</v>
      </c>
      <c r="R136">
        <f t="shared" si="47"/>
        <v>0</v>
      </c>
      <c r="S136">
        <f t="shared" si="48"/>
        <v>1</v>
      </c>
      <c r="T136">
        <f t="shared" si="55"/>
        <v>0</v>
      </c>
      <c r="U136">
        <f t="shared" si="56"/>
        <v>0</v>
      </c>
      <c r="V136">
        <f t="shared" si="57"/>
        <v>0</v>
      </c>
      <c r="W136">
        <f t="shared" si="58"/>
        <v>1</v>
      </c>
      <c r="X136" t="s">
        <v>39</v>
      </c>
      <c r="Y136" t="s">
        <v>40</v>
      </c>
      <c r="Z136" t="s">
        <v>41</v>
      </c>
      <c r="AA136" t="s">
        <v>42</v>
      </c>
      <c r="AB136">
        <v>4</v>
      </c>
      <c r="AC136">
        <v>2</v>
      </c>
      <c r="AD136">
        <v>0</v>
      </c>
      <c r="AE136" t="s">
        <v>44</v>
      </c>
      <c r="AF136" t="s">
        <v>43</v>
      </c>
      <c r="AG136">
        <f t="shared" si="59"/>
        <v>1</v>
      </c>
      <c r="AH136" t="s">
        <v>44</v>
      </c>
      <c r="AI136">
        <f t="shared" si="60"/>
        <v>0</v>
      </c>
      <c r="AJ136" t="s">
        <v>44</v>
      </c>
      <c r="AK136">
        <f t="shared" si="61"/>
        <v>0</v>
      </c>
      <c r="AL136">
        <f t="shared" si="62"/>
        <v>0</v>
      </c>
      <c r="AM136">
        <v>0</v>
      </c>
      <c r="AN136">
        <f t="shared" si="63"/>
        <v>0</v>
      </c>
      <c r="AO136">
        <f t="shared" si="64"/>
        <v>0</v>
      </c>
      <c r="AP136">
        <f t="shared" si="65"/>
        <v>0</v>
      </c>
      <c r="AQ136">
        <v>9</v>
      </c>
      <c r="AR136">
        <v>0</v>
      </c>
      <c r="AS136">
        <v>0</v>
      </c>
    </row>
    <row r="137" spans="1:45" x14ac:dyDescent="0.2">
      <c r="A137" t="s">
        <v>34</v>
      </c>
      <c r="B137" t="s">
        <v>35</v>
      </c>
      <c r="C137">
        <v>15</v>
      </c>
      <c r="D137" t="s">
        <v>36</v>
      </c>
      <c r="E137" t="s">
        <v>37</v>
      </c>
      <c r="F137" t="s">
        <v>45</v>
      </c>
      <c r="G137">
        <f t="shared" si="49"/>
        <v>1</v>
      </c>
      <c r="H137">
        <v>4</v>
      </c>
      <c r="I137">
        <f t="shared" si="50"/>
        <v>0</v>
      </c>
      <c r="J137">
        <f t="shared" si="51"/>
        <v>0</v>
      </c>
      <c r="K137">
        <f t="shared" si="52"/>
        <v>0</v>
      </c>
      <c r="L137">
        <f t="shared" si="53"/>
        <v>0</v>
      </c>
      <c r="M137">
        <f t="shared" si="54"/>
        <v>1</v>
      </c>
      <c r="N137">
        <v>4</v>
      </c>
      <c r="O137">
        <f t="shared" si="44"/>
        <v>0</v>
      </c>
      <c r="P137">
        <f t="shared" si="45"/>
        <v>0</v>
      </c>
      <c r="Q137">
        <f t="shared" si="46"/>
        <v>0</v>
      </c>
      <c r="R137">
        <f t="shared" si="47"/>
        <v>0</v>
      </c>
      <c r="S137">
        <f t="shared" si="48"/>
        <v>1</v>
      </c>
      <c r="T137">
        <f t="shared" si="55"/>
        <v>1</v>
      </c>
      <c r="U137">
        <f t="shared" si="56"/>
        <v>0</v>
      </c>
      <c r="V137">
        <f t="shared" si="57"/>
        <v>0</v>
      </c>
      <c r="W137">
        <f t="shared" si="58"/>
        <v>0</v>
      </c>
      <c r="X137" t="s">
        <v>49</v>
      </c>
      <c r="Y137" t="s">
        <v>39</v>
      </c>
      <c r="Z137" t="s">
        <v>41</v>
      </c>
      <c r="AA137" t="s">
        <v>42</v>
      </c>
      <c r="AB137">
        <v>1</v>
      </c>
      <c r="AC137">
        <v>3</v>
      </c>
      <c r="AD137">
        <v>0</v>
      </c>
      <c r="AE137" t="s">
        <v>44</v>
      </c>
      <c r="AF137" t="s">
        <v>43</v>
      </c>
      <c r="AG137">
        <f t="shared" si="59"/>
        <v>1</v>
      </c>
      <c r="AH137" t="s">
        <v>44</v>
      </c>
      <c r="AI137">
        <f t="shared" si="60"/>
        <v>0</v>
      </c>
      <c r="AJ137" t="s">
        <v>43</v>
      </c>
      <c r="AK137">
        <f t="shared" si="61"/>
        <v>1</v>
      </c>
      <c r="AL137">
        <f t="shared" si="62"/>
        <v>0</v>
      </c>
      <c r="AM137">
        <v>0</v>
      </c>
      <c r="AN137">
        <f t="shared" si="63"/>
        <v>0</v>
      </c>
      <c r="AO137">
        <f t="shared" si="64"/>
        <v>0</v>
      </c>
      <c r="AP137">
        <f t="shared" si="65"/>
        <v>0</v>
      </c>
      <c r="AQ137">
        <v>11</v>
      </c>
      <c r="AR137">
        <v>0</v>
      </c>
      <c r="AS137">
        <v>0</v>
      </c>
    </row>
    <row r="138" spans="1:45" x14ac:dyDescent="0.2">
      <c r="A138" t="s">
        <v>34</v>
      </c>
      <c r="B138" t="s">
        <v>51</v>
      </c>
      <c r="C138">
        <v>17</v>
      </c>
      <c r="D138" t="s">
        <v>53</v>
      </c>
      <c r="E138" t="s">
        <v>37</v>
      </c>
      <c r="F138" t="s">
        <v>45</v>
      </c>
      <c r="G138">
        <f t="shared" si="49"/>
        <v>1</v>
      </c>
      <c r="H138">
        <v>3</v>
      </c>
      <c r="I138">
        <f t="shared" si="50"/>
        <v>0</v>
      </c>
      <c r="J138">
        <f t="shared" si="51"/>
        <v>0</v>
      </c>
      <c r="K138">
        <f t="shared" si="52"/>
        <v>0</v>
      </c>
      <c r="L138">
        <f t="shared" si="53"/>
        <v>1</v>
      </c>
      <c r="M138">
        <f t="shared" si="54"/>
        <v>0</v>
      </c>
      <c r="N138">
        <v>4</v>
      </c>
      <c r="O138">
        <f t="shared" si="44"/>
        <v>0</v>
      </c>
      <c r="P138">
        <f t="shared" si="45"/>
        <v>0</v>
      </c>
      <c r="Q138">
        <f t="shared" si="46"/>
        <v>0</v>
      </c>
      <c r="R138">
        <f t="shared" si="47"/>
        <v>0</v>
      </c>
      <c r="S138">
        <f t="shared" si="48"/>
        <v>1</v>
      </c>
      <c r="T138">
        <f t="shared" si="55"/>
        <v>0</v>
      </c>
      <c r="U138">
        <f t="shared" si="56"/>
        <v>0</v>
      </c>
      <c r="V138">
        <f t="shared" si="57"/>
        <v>0</v>
      </c>
      <c r="W138">
        <f t="shared" si="58"/>
        <v>1</v>
      </c>
      <c r="X138" t="s">
        <v>39</v>
      </c>
      <c r="Y138" t="s">
        <v>46</v>
      </c>
      <c r="Z138" t="s">
        <v>41</v>
      </c>
      <c r="AA138" t="s">
        <v>42</v>
      </c>
      <c r="AB138">
        <v>3</v>
      </c>
      <c r="AC138">
        <v>2</v>
      </c>
      <c r="AD138">
        <v>0</v>
      </c>
      <c r="AE138" t="s">
        <v>44</v>
      </c>
      <c r="AF138" t="s">
        <v>44</v>
      </c>
      <c r="AG138">
        <f t="shared" si="59"/>
        <v>0</v>
      </c>
      <c r="AH138" t="s">
        <v>44</v>
      </c>
      <c r="AI138">
        <f t="shared" si="60"/>
        <v>0</v>
      </c>
      <c r="AJ138" t="s">
        <v>44</v>
      </c>
      <c r="AK138">
        <f t="shared" si="61"/>
        <v>0</v>
      </c>
      <c r="AL138">
        <f t="shared" si="62"/>
        <v>0</v>
      </c>
      <c r="AM138">
        <v>0</v>
      </c>
      <c r="AN138">
        <f t="shared" si="63"/>
        <v>0</v>
      </c>
      <c r="AO138">
        <f t="shared" si="64"/>
        <v>0</v>
      </c>
      <c r="AP138">
        <f t="shared" si="65"/>
        <v>0</v>
      </c>
      <c r="AQ138">
        <v>10</v>
      </c>
      <c r="AR138">
        <v>0</v>
      </c>
      <c r="AS138">
        <v>0</v>
      </c>
    </row>
    <row r="139" spans="1:45" x14ac:dyDescent="0.2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f t="shared" si="49"/>
        <v>0</v>
      </c>
      <c r="H139">
        <v>3</v>
      </c>
      <c r="I139">
        <f t="shared" si="50"/>
        <v>0</v>
      </c>
      <c r="J139">
        <f t="shared" si="51"/>
        <v>0</v>
      </c>
      <c r="K139">
        <f t="shared" si="52"/>
        <v>0</v>
      </c>
      <c r="L139">
        <f t="shared" si="53"/>
        <v>1</v>
      </c>
      <c r="M139">
        <f t="shared" si="54"/>
        <v>0</v>
      </c>
      <c r="N139">
        <v>3</v>
      </c>
      <c r="O139">
        <f t="shared" si="44"/>
        <v>0</v>
      </c>
      <c r="P139">
        <f t="shared" si="45"/>
        <v>0</v>
      </c>
      <c r="Q139">
        <f t="shared" si="46"/>
        <v>0</v>
      </c>
      <c r="R139">
        <f t="shared" si="47"/>
        <v>1</v>
      </c>
      <c r="S139">
        <f t="shared" si="48"/>
        <v>0</v>
      </c>
      <c r="T139">
        <f t="shared" si="55"/>
        <v>0</v>
      </c>
      <c r="U139">
        <f t="shared" si="56"/>
        <v>0</v>
      </c>
      <c r="V139">
        <f t="shared" si="57"/>
        <v>0</v>
      </c>
      <c r="W139">
        <f t="shared" si="58"/>
        <v>0</v>
      </c>
      <c r="X139" t="s">
        <v>46</v>
      </c>
      <c r="Y139" t="s">
        <v>46</v>
      </c>
      <c r="Z139" t="s">
        <v>41</v>
      </c>
      <c r="AA139" t="s">
        <v>46</v>
      </c>
      <c r="AB139">
        <v>2</v>
      </c>
      <c r="AC139">
        <v>1</v>
      </c>
      <c r="AD139">
        <v>2</v>
      </c>
      <c r="AE139" t="s">
        <v>44</v>
      </c>
      <c r="AF139" t="s">
        <v>43</v>
      </c>
      <c r="AG139">
        <f t="shared" si="59"/>
        <v>1</v>
      </c>
      <c r="AH139" t="s">
        <v>44</v>
      </c>
      <c r="AI139">
        <f t="shared" si="60"/>
        <v>0</v>
      </c>
      <c r="AJ139" t="s">
        <v>43</v>
      </c>
      <c r="AK139">
        <f t="shared" si="61"/>
        <v>1</v>
      </c>
      <c r="AL139">
        <f t="shared" si="62"/>
        <v>0</v>
      </c>
      <c r="AM139">
        <v>0</v>
      </c>
      <c r="AN139">
        <f t="shared" si="63"/>
        <v>0</v>
      </c>
      <c r="AO139">
        <f t="shared" si="64"/>
        <v>0</v>
      </c>
      <c r="AP139">
        <f t="shared" si="65"/>
        <v>0</v>
      </c>
      <c r="AQ139">
        <v>4</v>
      </c>
      <c r="AR139">
        <v>0</v>
      </c>
      <c r="AS139">
        <v>0</v>
      </c>
    </row>
    <row r="140" spans="1:45" x14ac:dyDescent="0.2">
      <c r="A140" t="s">
        <v>34</v>
      </c>
      <c r="B140" t="s">
        <v>51</v>
      </c>
      <c r="C140">
        <v>16</v>
      </c>
      <c r="D140" t="s">
        <v>36</v>
      </c>
      <c r="E140" t="s">
        <v>48</v>
      </c>
      <c r="F140" t="s">
        <v>45</v>
      </c>
      <c r="G140">
        <f t="shared" si="49"/>
        <v>1</v>
      </c>
      <c r="H140">
        <v>1</v>
      </c>
      <c r="I140">
        <f t="shared" si="50"/>
        <v>0</v>
      </c>
      <c r="J140">
        <f t="shared" si="51"/>
        <v>1</v>
      </c>
      <c r="K140">
        <f t="shared" si="52"/>
        <v>0</v>
      </c>
      <c r="L140">
        <f t="shared" si="53"/>
        <v>0</v>
      </c>
      <c r="M140">
        <f t="shared" si="54"/>
        <v>0</v>
      </c>
      <c r="N140">
        <v>1</v>
      </c>
      <c r="O140">
        <f t="shared" si="44"/>
        <v>0</v>
      </c>
      <c r="P140">
        <f t="shared" si="45"/>
        <v>1</v>
      </c>
      <c r="Q140">
        <f t="shared" si="46"/>
        <v>0</v>
      </c>
      <c r="R140">
        <f t="shared" si="47"/>
        <v>0</v>
      </c>
      <c r="S140">
        <f t="shared" si="48"/>
        <v>0</v>
      </c>
      <c r="T140">
        <f t="shared" si="55"/>
        <v>0</v>
      </c>
      <c r="U140">
        <f t="shared" si="56"/>
        <v>0</v>
      </c>
      <c r="V140">
        <f t="shared" si="57"/>
        <v>0</v>
      </c>
      <c r="W140">
        <f t="shared" si="58"/>
        <v>0</v>
      </c>
      <c r="X140" t="s">
        <v>49</v>
      </c>
      <c r="Y140" t="s">
        <v>46</v>
      </c>
      <c r="Z140" t="s">
        <v>41</v>
      </c>
      <c r="AA140" t="s">
        <v>42</v>
      </c>
      <c r="AB140">
        <v>1</v>
      </c>
      <c r="AC140">
        <v>2</v>
      </c>
      <c r="AD140">
        <v>1</v>
      </c>
      <c r="AE140" t="s">
        <v>44</v>
      </c>
      <c r="AF140" t="s">
        <v>44</v>
      </c>
      <c r="AG140">
        <f t="shared" si="59"/>
        <v>0</v>
      </c>
      <c r="AH140" t="s">
        <v>44</v>
      </c>
      <c r="AI140">
        <f t="shared" si="60"/>
        <v>0</v>
      </c>
      <c r="AJ140" t="s">
        <v>44</v>
      </c>
      <c r="AK140">
        <f t="shared" si="61"/>
        <v>0</v>
      </c>
      <c r="AL140">
        <f t="shared" si="62"/>
        <v>0</v>
      </c>
      <c r="AM140">
        <v>0</v>
      </c>
      <c r="AN140">
        <f t="shared" si="63"/>
        <v>0</v>
      </c>
      <c r="AO140">
        <f t="shared" si="64"/>
        <v>0</v>
      </c>
      <c r="AP140">
        <f t="shared" si="65"/>
        <v>0</v>
      </c>
      <c r="AQ140">
        <v>14</v>
      </c>
      <c r="AR140">
        <v>12</v>
      </c>
      <c r="AS140">
        <v>12</v>
      </c>
    </row>
    <row r="141" spans="1:45" x14ac:dyDescent="0.2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f t="shared" si="49"/>
        <v>1</v>
      </c>
      <c r="H141">
        <v>4</v>
      </c>
      <c r="I141">
        <f t="shared" si="50"/>
        <v>0</v>
      </c>
      <c r="J141">
        <f t="shared" si="51"/>
        <v>0</v>
      </c>
      <c r="K141">
        <f t="shared" si="52"/>
        <v>0</v>
      </c>
      <c r="L141">
        <f t="shared" si="53"/>
        <v>0</v>
      </c>
      <c r="M141">
        <f t="shared" si="54"/>
        <v>1</v>
      </c>
      <c r="N141">
        <v>4</v>
      </c>
      <c r="O141">
        <f t="shared" si="44"/>
        <v>0</v>
      </c>
      <c r="P141">
        <f t="shared" si="45"/>
        <v>0</v>
      </c>
      <c r="Q141">
        <f t="shared" si="46"/>
        <v>0</v>
      </c>
      <c r="R141">
        <f t="shared" si="47"/>
        <v>0</v>
      </c>
      <c r="S141">
        <f t="shared" si="48"/>
        <v>1</v>
      </c>
      <c r="T141">
        <f t="shared" si="55"/>
        <v>1</v>
      </c>
      <c r="U141">
        <f t="shared" si="56"/>
        <v>0</v>
      </c>
      <c r="V141">
        <f t="shared" si="57"/>
        <v>0</v>
      </c>
      <c r="W141">
        <f t="shared" si="58"/>
        <v>0</v>
      </c>
      <c r="X141" t="s">
        <v>40</v>
      </c>
      <c r="Y141" t="s">
        <v>40</v>
      </c>
      <c r="Z141" t="s">
        <v>41</v>
      </c>
      <c r="AA141" t="s">
        <v>42</v>
      </c>
      <c r="AB141">
        <v>2</v>
      </c>
      <c r="AC141">
        <v>1</v>
      </c>
      <c r="AD141">
        <v>0</v>
      </c>
      <c r="AE141" t="s">
        <v>44</v>
      </c>
      <c r="AF141" t="s">
        <v>44</v>
      </c>
      <c r="AG141">
        <f t="shared" si="59"/>
        <v>0</v>
      </c>
      <c r="AH141" t="s">
        <v>44</v>
      </c>
      <c r="AI141">
        <f t="shared" si="60"/>
        <v>0</v>
      </c>
      <c r="AJ141" t="s">
        <v>43</v>
      </c>
      <c r="AK141">
        <f t="shared" si="61"/>
        <v>1</v>
      </c>
      <c r="AL141">
        <f t="shared" si="62"/>
        <v>0</v>
      </c>
      <c r="AM141">
        <v>0</v>
      </c>
      <c r="AN141">
        <f t="shared" si="63"/>
        <v>0</v>
      </c>
      <c r="AO141">
        <f t="shared" si="64"/>
        <v>0</v>
      </c>
      <c r="AP141">
        <f t="shared" si="65"/>
        <v>0</v>
      </c>
      <c r="AQ141">
        <v>16</v>
      </c>
      <c r="AR141">
        <v>16</v>
      </c>
      <c r="AS141">
        <v>15</v>
      </c>
    </row>
    <row r="142" spans="1:45" x14ac:dyDescent="0.2">
      <c r="A142" t="s">
        <v>34</v>
      </c>
      <c r="B142" t="s">
        <v>51</v>
      </c>
      <c r="C142">
        <v>15</v>
      </c>
      <c r="D142" t="s">
        <v>36</v>
      </c>
      <c r="E142" t="s">
        <v>37</v>
      </c>
      <c r="F142" t="s">
        <v>45</v>
      </c>
      <c r="G142">
        <f t="shared" si="49"/>
        <v>1</v>
      </c>
      <c r="H142">
        <v>4</v>
      </c>
      <c r="I142">
        <f t="shared" si="50"/>
        <v>0</v>
      </c>
      <c r="J142">
        <f t="shared" si="51"/>
        <v>0</v>
      </c>
      <c r="K142">
        <f t="shared" si="52"/>
        <v>0</v>
      </c>
      <c r="L142">
        <f t="shared" si="53"/>
        <v>0</v>
      </c>
      <c r="M142">
        <f t="shared" si="54"/>
        <v>1</v>
      </c>
      <c r="N142">
        <v>3</v>
      </c>
      <c r="O142">
        <f t="shared" si="44"/>
        <v>0</v>
      </c>
      <c r="P142">
        <f t="shared" si="45"/>
        <v>0</v>
      </c>
      <c r="Q142">
        <f t="shared" si="46"/>
        <v>0</v>
      </c>
      <c r="R142">
        <f t="shared" si="47"/>
        <v>1</v>
      </c>
      <c r="S142">
        <f t="shared" si="48"/>
        <v>0</v>
      </c>
      <c r="T142">
        <f t="shared" si="55"/>
        <v>0</v>
      </c>
      <c r="U142">
        <f t="shared" si="56"/>
        <v>1</v>
      </c>
      <c r="V142">
        <f t="shared" si="57"/>
        <v>0</v>
      </c>
      <c r="W142">
        <f t="shared" si="58"/>
        <v>0</v>
      </c>
      <c r="X142" t="s">
        <v>40</v>
      </c>
      <c r="Y142" t="s">
        <v>49</v>
      </c>
      <c r="Z142" t="s">
        <v>41</v>
      </c>
      <c r="AA142" t="s">
        <v>47</v>
      </c>
      <c r="AB142">
        <v>2</v>
      </c>
      <c r="AC142">
        <v>4</v>
      </c>
      <c r="AD142">
        <v>0</v>
      </c>
      <c r="AE142" t="s">
        <v>43</v>
      </c>
      <c r="AF142" t="s">
        <v>43</v>
      </c>
      <c r="AG142">
        <f t="shared" si="59"/>
        <v>1</v>
      </c>
      <c r="AH142" t="s">
        <v>44</v>
      </c>
      <c r="AI142">
        <f t="shared" si="60"/>
        <v>0</v>
      </c>
      <c r="AJ142" t="s">
        <v>43</v>
      </c>
      <c r="AK142">
        <f t="shared" si="61"/>
        <v>1</v>
      </c>
      <c r="AL142">
        <f t="shared" si="62"/>
        <v>0</v>
      </c>
      <c r="AM142">
        <v>0</v>
      </c>
      <c r="AN142">
        <f t="shared" si="63"/>
        <v>0</v>
      </c>
      <c r="AO142">
        <f t="shared" si="64"/>
        <v>0</v>
      </c>
      <c r="AP142">
        <f t="shared" si="65"/>
        <v>0</v>
      </c>
      <c r="AQ142">
        <v>7</v>
      </c>
      <c r="AR142">
        <v>9</v>
      </c>
      <c r="AS142">
        <v>0</v>
      </c>
    </row>
    <row r="143" spans="1:45" x14ac:dyDescent="0.2">
      <c r="A143" t="s">
        <v>34</v>
      </c>
      <c r="B143" t="s">
        <v>51</v>
      </c>
      <c r="C143">
        <v>16</v>
      </c>
      <c r="D143" t="s">
        <v>36</v>
      </c>
      <c r="E143" t="s">
        <v>48</v>
      </c>
      <c r="F143" t="s">
        <v>45</v>
      </c>
      <c r="G143">
        <f t="shared" si="49"/>
        <v>1</v>
      </c>
      <c r="H143">
        <v>2</v>
      </c>
      <c r="I143">
        <f t="shared" si="50"/>
        <v>0</v>
      </c>
      <c r="J143">
        <f t="shared" si="51"/>
        <v>0</v>
      </c>
      <c r="K143">
        <f t="shared" si="52"/>
        <v>1</v>
      </c>
      <c r="L143">
        <f t="shared" si="53"/>
        <v>0</v>
      </c>
      <c r="M143">
        <f t="shared" si="54"/>
        <v>0</v>
      </c>
      <c r="N143">
        <v>2</v>
      </c>
      <c r="O143">
        <f t="shared" si="44"/>
        <v>0</v>
      </c>
      <c r="P143">
        <f t="shared" si="45"/>
        <v>0</v>
      </c>
      <c r="Q143">
        <f t="shared" si="46"/>
        <v>1</v>
      </c>
      <c r="R143">
        <f t="shared" si="47"/>
        <v>0</v>
      </c>
      <c r="S143">
        <f t="shared" si="48"/>
        <v>0</v>
      </c>
      <c r="T143">
        <f t="shared" si="55"/>
        <v>0</v>
      </c>
      <c r="U143">
        <f t="shared" si="56"/>
        <v>0</v>
      </c>
      <c r="V143">
        <f t="shared" si="57"/>
        <v>0</v>
      </c>
      <c r="W143">
        <f t="shared" si="58"/>
        <v>0</v>
      </c>
      <c r="X143" t="s">
        <v>49</v>
      </c>
      <c r="Y143" t="s">
        <v>49</v>
      </c>
      <c r="Z143" t="s">
        <v>52</v>
      </c>
      <c r="AA143" t="s">
        <v>47</v>
      </c>
      <c r="AB143">
        <v>2</v>
      </c>
      <c r="AC143">
        <v>1</v>
      </c>
      <c r="AD143">
        <v>2</v>
      </c>
      <c r="AE143" t="s">
        <v>44</v>
      </c>
      <c r="AF143" t="s">
        <v>43</v>
      </c>
      <c r="AG143">
        <f t="shared" si="59"/>
        <v>1</v>
      </c>
      <c r="AH143" t="s">
        <v>44</v>
      </c>
      <c r="AI143">
        <f t="shared" si="60"/>
        <v>0</v>
      </c>
      <c r="AJ143" t="s">
        <v>43</v>
      </c>
      <c r="AK143">
        <f t="shared" si="61"/>
        <v>1</v>
      </c>
      <c r="AL143">
        <f t="shared" si="62"/>
        <v>0</v>
      </c>
      <c r="AM143">
        <v>8</v>
      </c>
      <c r="AN143">
        <f t="shared" si="63"/>
        <v>0</v>
      </c>
      <c r="AO143">
        <f t="shared" si="64"/>
        <v>0</v>
      </c>
      <c r="AP143">
        <f t="shared" si="65"/>
        <v>0</v>
      </c>
      <c r="AQ143">
        <v>9</v>
      </c>
      <c r="AR143">
        <v>9</v>
      </c>
      <c r="AS143">
        <v>9</v>
      </c>
    </row>
    <row r="144" spans="1:45" x14ac:dyDescent="0.2">
      <c r="A144" t="s">
        <v>34</v>
      </c>
      <c r="B144" t="s">
        <v>35</v>
      </c>
      <c r="C144">
        <v>15</v>
      </c>
      <c r="D144" t="s">
        <v>36</v>
      </c>
      <c r="E144" t="s">
        <v>37</v>
      </c>
      <c r="F144" t="s">
        <v>45</v>
      </c>
      <c r="G144">
        <f t="shared" si="49"/>
        <v>1</v>
      </c>
      <c r="H144">
        <v>4</v>
      </c>
      <c r="I144">
        <f t="shared" si="50"/>
        <v>0</v>
      </c>
      <c r="J144">
        <f t="shared" si="51"/>
        <v>0</v>
      </c>
      <c r="K144">
        <f t="shared" si="52"/>
        <v>0</v>
      </c>
      <c r="L144">
        <f t="shared" si="53"/>
        <v>0</v>
      </c>
      <c r="M144">
        <f t="shared" si="54"/>
        <v>1</v>
      </c>
      <c r="N144">
        <v>4</v>
      </c>
      <c r="O144">
        <f t="shared" si="44"/>
        <v>0</v>
      </c>
      <c r="P144">
        <f t="shared" si="45"/>
        <v>0</v>
      </c>
      <c r="Q144">
        <f t="shared" si="46"/>
        <v>0</v>
      </c>
      <c r="R144">
        <f t="shared" si="47"/>
        <v>0</v>
      </c>
      <c r="S144">
        <f t="shared" si="48"/>
        <v>1</v>
      </c>
      <c r="T144">
        <f t="shared" si="55"/>
        <v>1</v>
      </c>
      <c r="U144">
        <f t="shared" si="56"/>
        <v>0</v>
      </c>
      <c r="V144">
        <f t="shared" si="57"/>
        <v>0</v>
      </c>
      <c r="W144">
        <f t="shared" si="58"/>
        <v>0</v>
      </c>
      <c r="X144" t="s">
        <v>40</v>
      </c>
      <c r="Y144" t="s">
        <v>49</v>
      </c>
      <c r="Z144" t="s">
        <v>41</v>
      </c>
      <c r="AA144" t="s">
        <v>42</v>
      </c>
      <c r="AB144">
        <v>1</v>
      </c>
      <c r="AC144">
        <v>3</v>
      </c>
      <c r="AD144">
        <v>0</v>
      </c>
      <c r="AE144" t="s">
        <v>44</v>
      </c>
      <c r="AF144" t="s">
        <v>43</v>
      </c>
      <c r="AG144">
        <f t="shared" si="59"/>
        <v>1</v>
      </c>
      <c r="AH144" t="s">
        <v>43</v>
      </c>
      <c r="AI144">
        <f t="shared" si="60"/>
        <v>1</v>
      </c>
      <c r="AJ144" t="s">
        <v>43</v>
      </c>
      <c r="AK144">
        <f t="shared" si="61"/>
        <v>1</v>
      </c>
      <c r="AL144">
        <f t="shared" si="62"/>
        <v>1</v>
      </c>
      <c r="AM144">
        <v>2</v>
      </c>
      <c r="AN144">
        <f t="shared" si="63"/>
        <v>0</v>
      </c>
      <c r="AO144">
        <f t="shared" si="64"/>
        <v>1</v>
      </c>
      <c r="AP144">
        <f t="shared" si="65"/>
        <v>0</v>
      </c>
      <c r="AQ144">
        <v>9</v>
      </c>
      <c r="AR144">
        <v>11</v>
      </c>
      <c r="AS144">
        <v>11</v>
      </c>
    </row>
    <row r="145" spans="1:45" x14ac:dyDescent="0.2">
      <c r="A145" t="s">
        <v>34</v>
      </c>
      <c r="B145" t="s">
        <v>35</v>
      </c>
      <c r="C145">
        <v>16</v>
      </c>
      <c r="D145" t="s">
        <v>36</v>
      </c>
      <c r="E145" t="s">
        <v>48</v>
      </c>
      <c r="F145" t="s">
        <v>45</v>
      </c>
      <c r="G145">
        <f t="shared" si="49"/>
        <v>1</v>
      </c>
      <c r="H145">
        <v>1</v>
      </c>
      <c r="I145">
        <f t="shared" si="50"/>
        <v>0</v>
      </c>
      <c r="J145">
        <f t="shared" si="51"/>
        <v>1</v>
      </c>
      <c r="K145">
        <f t="shared" si="52"/>
        <v>0</v>
      </c>
      <c r="L145">
        <f t="shared" si="53"/>
        <v>0</v>
      </c>
      <c r="M145">
        <f t="shared" si="54"/>
        <v>0</v>
      </c>
      <c r="N145">
        <v>1</v>
      </c>
      <c r="O145">
        <f t="shared" si="44"/>
        <v>0</v>
      </c>
      <c r="P145">
        <f t="shared" si="45"/>
        <v>1</v>
      </c>
      <c r="Q145">
        <f t="shared" si="46"/>
        <v>0</v>
      </c>
      <c r="R145">
        <f t="shared" si="47"/>
        <v>0</v>
      </c>
      <c r="S145">
        <f t="shared" si="48"/>
        <v>0</v>
      </c>
      <c r="T145">
        <f t="shared" si="55"/>
        <v>0</v>
      </c>
      <c r="U145">
        <f t="shared" si="56"/>
        <v>0</v>
      </c>
      <c r="V145">
        <f t="shared" si="57"/>
        <v>0</v>
      </c>
      <c r="W145">
        <f t="shared" si="58"/>
        <v>0</v>
      </c>
      <c r="X145" t="s">
        <v>39</v>
      </c>
      <c r="Y145" t="s">
        <v>39</v>
      </c>
      <c r="Z145" t="s">
        <v>41</v>
      </c>
      <c r="AA145" t="s">
        <v>42</v>
      </c>
      <c r="AB145">
        <v>1</v>
      </c>
      <c r="AC145">
        <v>1</v>
      </c>
      <c r="AD145">
        <v>0</v>
      </c>
      <c r="AE145" t="s">
        <v>44</v>
      </c>
      <c r="AF145" t="s">
        <v>44</v>
      </c>
      <c r="AG145">
        <f t="shared" si="59"/>
        <v>0</v>
      </c>
      <c r="AH145" t="s">
        <v>44</v>
      </c>
      <c r="AI145">
        <f t="shared" si="60"/>
        <v>0</v>
      </c>
      <c r="AJ145" t="s">
        <v>43</v>
      </c>
      <c r="AK145">
        <f t="shared" si="61"/>
        <v>1</v>
      </c>
      <c r="AL145">
        <f t="shared" si="62"/>
        <v>0</v>
      </c>
      <c r="AM145">
        <v>2</v>
      </c>
      <c r="AN145">
        <f t="shared" si="63"/>
        <v>0</v>
      </c>
      <c r="AO145">
        <f t="shared" si="64"/>
        <v>0</v>
      </c>
      <c r="AP145">
        <f t="shared" si="65"/>
        <v>0</v>
      </c>
      <c r="AQ145">
        <v>14</v>
      </c>
      <c r="AR145">
        <v>14</v>
      </c>
      <c r="AS145">
        <v>13</v>
      </c>
    </row>
    <row r="146" spans="1:45" x14ac:dyDescent="0.2">
      <c r="A146" t="s">
        <v>34</v>
      </c>
      <c r="B146" t="s">
        <v>51</v>
      </c>
      <c r="C146">
        <v>17</v>
      </c>
      <c r="D146" t="s">
        <v>36</v>
      </c>
      <c r="E146" t="s">
        <v>37</v>
      </c>
      <c r="F146" t="s">
        <v>45</v>
      </c>
      <c r="G146">
        <f t="shared" si="49"/>
        <v>1</v>
      </c>
      <c r="H146">
        <v>2</v>
      </c>
      <c r="I146">
        <f t="shared" si="50"/>
        <v>0</v>
      </c>
      <c r="J146">
        <f t="shared" si="51"/>
        <v>0</v>
      </c>
      <c r="K146">
        <f t="shared" si="52"/>
        <v>1</v>
      </c>
      <c r="L146">
        <f t="shared" si="53"/>
        <v>0</v>
      </c>
      <c r="M146">
        <f t="shared" si="54"/>
        <v>0</v>
      </c>
      <c r="N146">
        <v>1</v>
      </c>
      <c r="O146">
        <f t="shared" si="44"/>
        <v>0</v>
      </c>
      <c r="P146">
        <f t="shared" si="45"/>
        <v>1</v>
      </c>
      <c r="Q146">
        <f t="shared" si="46"/>
        <v>0</v>
      </c>
      <c r="R146">
        <f t="shared" si="47"/>
        <v>0</v>
      </c>
      <c r="S146">
        <f t="shared" si="48"/>
        <v>0</v>
      </c>
      <c r="T146">
        <f t="shared" si="55"/>
        <v>0</v>
      </c>
      <c r="U146">
        <f t="shared" si="56"/>
        <v>0</v>
      </c>
      <c r="V146">
        <f t="shared" si="57"/>
        <v>0</v>
      </c>
      <c r="W146">
        <f t="shared" si="58"/>
        <v>0</v>
      </c>
      <c r="X146" t="s">
        <v>46</v>
      </c>
      <c r="Y146" t="s">
        <v>46</v>
      </c>
      <c r="Z146" t="s">
        <v>50</v>
      </c>
      <c r="AA146" t="s">
        <v>42</v>
      </c>
      <c r="AB146">
        <v>1</v>
      </c>
      <c r="AC146">
        <v>1</v>
      </c>
      <c r="AD146">
        <v>3</v>
      </c>
      <c r="AE146" t="s">
        <v>44</v>
      </c>
      <c r="AF146" t="s">
        <v>43</v>
      </c>
      <c r="AG146">
        <f t="shared" si="59"/>
        <v>1</v>
      </c>
      <c r="AH146" t="s">
        <v>44</v>
      </c>
      <c r="AI146">
        <f t="shared" si="60"/>
        <v>0</v>
      </c>
      <c r="AJ146" t="s">
        <v>43</v>
      </c>
      <c r="AK146">
        <f t="shared" si="61"/>
        <v>1</v>
      </c>
      <c r="AL146">
        <f t="shared" si="62"/>
        <v>0</v>
      </c>
      <c r="AM146">
        <v>0</v>
      </c>
      <c r="AN146">
        <f t="shared" si="63"/>
        <v>0</v>
      </c>
      <c r="AO146">
        <f t="shared" si="64"/>
        <v>0</v>
      </c>
      <c r="AP146">
        <f t="shared" si="65"/>
        <v>0</v>
      </c>
      <c r="AQ146">
        <v>5</v>
      </c>
      <c r="AR146">
        <v>0</v>
      </c>
      <c r="AS146">
        <v>0</v>
      </c>
    </row>
    <row r="147" spans="1:45" x14ac:dyDescent="0.2">
      <c r="A147" t="s">
        <v>34</v>
      </c>
      <c r="B147" t="s">
        <v>35</v>
      </c>
      <c r="C147">
        <v>15</v>
      </c>
      <c r="D147" t="s">
        <v>36</v>
      </c>
      <c r="E147" t="s">
        <v>37</v>
      </c>
      <c r="F147" t="s">
        <v>45</v>
      </c>
      <c r="G147">
        <f t="shared" si="49"/>
        <v>1</v>
      </c>
      <c r="H147">
        <v>1</v>
      </c>
      <c r="I147">
        <f t="shared" si="50"/>
        <v>0</v>
      </c>
      <c r="J147">
        <f t="shared" si="51"/>
        <v>1</v>
      </c>
      <c r="K147">
        <f t="shared" si="52"/>
        <v>0</v>
      </c>
      <c r="L147">
        <f t="shared" si="53"/>
        <v>0</v>
      </c>
      <c r="M147">
        <f t="shared" si="54"/>
        <v>0</v>
      </c>
      <c r="N147">
        <v>1</v>
      </c>
      <c r="O147">
        <f t="shared" si="44"/>
        <v>0</v>
      </c>
      <c r="P147">
        <f t="shared" si="45"/>
        <v>1</v>
      </c>
      <c r="Q147">
        <f t="shared" si="46"/>
        <v>0</v>
      </c>
      <c r="R147">
        <f t="shared" si="47"/>
        <v>0</v>
      </c>
      <c r="S147">
        <f t="shared" si="48"/>
        <v>0</v>
      </c>
      <c r="T147">
        <f t="shared" si="55"/>
        <v>0</v>
      </c>
      <c r="U147">
        <f t="shared" si="56"/>
        <v>0</v>
      </c>
      <c r="V147">
        <f t="shared" si="57"/>
        <v>0</v>
      </c>
      <c r="W147">
        <f t="shared" si="58"/>
        <v>0</v>
      </c>
      <c r="X147" t="s">
        <v>46</v>
      </c>
      <c r="Y147" t="s">
        <v>49</v>
      </c>
      <c r="Z147" t="s">
        <v>41</v>
      </c>
      <c r="AA147" t="s">
        <v>47</v>
      </c>
      <c r="AB147">
        <v>1</v>
      </c>
      <c r="AC147">
        <v>2</v>
      </c>
      <c r="AD147">
        <v>0</v>
      </c>
      <c r="AE147" t="s">
        <v>44</v>
      </c>
      <c r="AF147" t="s">
        <v>43</v>
      </c>
      <c r="AG147">
        <f t="shared" si="59"/>
        <v>1</v>
      </c>
      <c r="AH147" t="s">
        <v>43</v>
      </c>
      <c r="AI147">
        <f t="shared" si="60"/>
        <v>1</v>
      </c>
      <c r="AJ147" t="s">
        <v>43</v>
      </c>
      <c r="AK147">
        <f t="shared" si="61"/>
        <v>1</v>
      </c>
      <c r="AL147">
        <f t="shared" si="62"/>
        <v>1</v>
      </c>
      <c r="AM147">
        <v>0</v>
      </c>
      <c r="AN147">
        <f t="shared" si="63"/>
        <v>0</v>
      </c>
      <c r="AO147">
        <f t="shared" si="64"/>
        <v>0</v>
      </c>
      <c r="AP147">
        <f t="shared" si="65"/>
        <v>0</v>
      </c>
      <c r="AQ147">
        <v>8</v>
      </c>
      <c r="AR147">
        <v>11</v>
      </c>
      <c r="AS147">
        <v>11</v>
      </c>
    </row>
    <row r="148" spans="1:45" x14ac:dyDescent="0.2">
      <c r="A148" t="s">
        <v>34</v>
      </c>
      <c r="B148" t="s">
        <v>35</v>
      </c>
      <c r="C148">
        <v>15</v>
      </c>
      <c r="D148" t="s">
        <v>36</v>
      </c>
      <c r="E148" t="s">
        <v>37</v>
      </c>
      <c r="F148" t="s">
        <v>45</v>
      </c>
      <c r="G148">
        <f t="shared" si="49"/>
        <v>1</v>
      </c>
      <c r="H148">
        <v>3</v>
      </c>
      <c r="I148">
        <f t="shared" si="50"/>
        <v>0</v>
      </c>
      <c r="J148">
        <f t="shared" si="51"/>
        <v>0</v>
      </c>
      <c r="K148">
        <f t="shared" si="52"/>
        <v>0</v>
      </c>
      <c r="L148">
        <f t="shared" si="53"/>
        <v>1</v>
      </c>
      <c r="M148">
        <f t="shared" si="54"/>
        <v>0</v>
      </c>
      <c r="N148">
        <v>2</v>
      </c>
      <c r="O148">
        <f t="shared" si="44"/>
        <v>0</v>
      </c>
      <c r="P148">
        <f t="shared" si="45"/>
        <v>0</v>
      </c>
      <c r="Q148">
        <f t="shared" si="46"/>
        <v>1</v>
      </c>
      <c r="R148">
        <f t="shared" si="47"/>
        <v>0</v>
      </c>
      <c r="S148">
        <f t="shared" si="48"/>
        <v>0</v>
      </c>
      <c r="T148">
        <f t="shared" si="55"/>
        <v>0</v>
      </c>
      <c r="U148">
        <f t="shared" si="56"/>
        <v>0</v>
      </c>
      <c r="V148">
        <f t="shared" si="57"/>
        <v>0</v>
      </c>
      <c r="W148">
        <f t="shared" si="58"/>
        <v>0</v>
      </c>
      <c r="X148" t="s">
        <v>29</v>
      </c>
      <c r="Y148" t="s">
        <v>49</v>
      </c>
      <c r="Z148" t="s">
        <v>50</v>
      </c>
      <c r="AA148" t="s">
        <v>47</v>
      </c>
      <c r="AB148">
        <v>1</v>
      </c>
      <c r="AC148">
        <v>2</v>
      </c>
      <c r="AD148">
        <v>3</v>
      </c>
      <c r="AE148" t="s">
        <v>44</v>
      </c>
      <c r="AF148" t="s">
        <v>43</v>
      </c>
      <c r="AG148">
        <f t="shared" si="59"/>
        <v>1</v>
      </c>
      <c r="AH148" t="s">
        <v>44</v>
      </c>
      <c r="AI148">
        <f t="shared" si="60"/>
        <v>0</v>
      </c>
      <c r="AJ148" t="s">
        <v>43</v>
      </c>
      <c r="AK148">
        <f t="shared" si="61"/>
        <v>1</v>
      </c>
      <c r="AL148">
        <f t="shared" si="62"/>
        <v>0</v>
      </c>
      <c r="AM148">
        <v>0</v>
      </c>
      <c r="AN148">
        <f t="shared" si="63"/>
        <v>0</v>
      </c>
      <c r="AO148">
        <f t="shared" si="64"/>
        <v>0</v>
      </c>
      <c r="AP148">
        <f t="shared" si="65"/>
        <v>0</v>
      </c>
      <c r="AQ148">
        <v>6</v>
      </c>
      <c r="AR148">
        <v>7</v>
      </c>
      <c r="AS148">
        <v>0</v>
      </c>
    </row>
    <row r="149" spans="1:45" x14ac:dyDescent="0.2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f t="shared" si="49"/>
        <v>1</v>
      </c>
      <c r="H149">
        <v>1</v>
      </c>
      <c r="I149">
        <f t="shared" si="50"/>
        <v>0</v>
      </c>
      <c r="J149">
        <f t="shared" si="51"/>
        <v>1</v>
      </c>
      <c r="K149">
        <f t="shared" si="52"/>
        <v>0</v>
      </c>
      <c r="L149">
        <f t="shared" si="53"/>
        <v>0</v>
      </c>
      <c r="M149">
        <f t="shared" si="54"/>
        <v>0</v>
      </c>
      <c r="N149">
        <v>2</v>
      </c>
      <c r="O149">
        <f t="shared" si="44"/>
        <v>0</v>
      </c>
      <c r="P149">
        <f t="shared" si="45"/>
        <v>0</v>
      </c>
      <c r="Q149">
        <f t="shared" si="46"/>
        <v>1</v>
      </c>
      <c r="R149">
        <f t="shared" si="47"/>
        <v>0</v>
      </c>
      <c r="S149">
        <f t="shared" si="48"/>
        <v>0</v>
      </c>
      <c r="T149">
        <f t="shared" si="55"/>
        <v>0</v>
      </c>
      <c r="U149">
        <f t="shared" si="56"/>
        <v>0</v>
      </c>
      <c r="V149">
        <f t="shared" si="57"/>
        <v>0</v>
      </c>
      <c r="W149">
        <f t="shared" si="58"/>
        <v>0</v>
      </c>
      <c r="X149" t="s">
        <v>39</v>
      </c>
      <c r="Y149" t="s">
        <v>46</v>
      </c>
      <c r="Z149" t="s">
        <v>41</v>
      </c>
      <c r="AA149" t="s">
        <v>42</v>
      </c>
      <c r="AB149">
        <v>1</v>
      </c>
      <c r="AC149">
        <v>2</v>
      </c>
      <c r="AD149">
        <v>0</v>
      </c>
      <c r="AE149" t="s">
        <v>44</v>
      </c>
      <c r="AF149" t="s">
        <v>43</v>
      </c>
      <c r="AG149">
        <f t="shared" si="59"/>
        <v>1</v>
      </c>
      <c r="AH149" t="s">
        <v>43</v>
      </c>
      <c r="AI149">
        <f t="shared" si="60"/>
        <v>1</v>
      </c>
      <c r="AJ149" t="s">
        <v>43</v>
      </c>
      <c r="AK149">
        <f t="shared" si="61"/>
        <v>1</v>
      </c>
      <c r="AL149">
        <f t="shared" si="62"/>
        <v>1</v>
      </c>
      <c r="AM149">
        <v>2</v>
      </c>
      <c r="AN149">
        <f t="shared" si="63"/>
        <v>0</v>
      </c>
      <c r="AO149">
        <f t="shared" si="64"/>
        <v>0</v>
      </c>
      <c r="AP149">
        <f t="shared" si="65"/>
        <v>0</v>
      </c>
      <c r="AQ149">
        <v>10</v>
      </c>
      <c r="AR149">
        <v>11</v>
      </c>
      <c r="AS149">
        <v>11</v>
      </c>
    </row>
    <row r="150" spans="1:45" x14ac:dyDescent="0.2">
      <c r="A150" t="s">
        <v>34</v>
      </c>
      <c r="B150" t="s">
        <v>51</v>
      </c>
      <c r="C150">
        <v>16</v>
      </c>
      <c r="D150" t="s">
        <v>36</v>
      </c>
      <c r="E150" t="s">
        <v>37</v>
      </c>
      <c r="F150" t="s">
        <v>45</v>
      </c>
      <c r="G150">
        <f t="shared" si="49"/>
        <v>1</v>
      </c>
      <c r="H150">
        <v>4</v>
      </c>
      <c r="I150">
        <f t="shared" si="50"/>
        <v>0</v>
      </c>
      <c r="J150">
        <f t="shared" si="51"/>
        <v>0</v>
      </c>
      <c r="K150">
        <f t="shared" si="52"/>
        <v>0</v>
      </c>
      <c r="L150">
        <f t="shared" si="53"/>
        <v>0</v>
      </c>
      <c r="M150">
        <f t="shared" si="54"/>
        <v>1</v>
      </c>
      <c r="N150">
        <v>4</v>
      </c>
      <c r="O150">
        <f t="shared" si="44"/>
        <v>0</v>
      </c>
      <c r="P150">
        <f t="shared" si="45"/>
        <v>0</v>
      </c>
      <c r="Q150">
        <f t="shared" si="46"/>
        <v>0</v>
      </c>
      <c r="R150">
        <f t="shared" si="47"/>
        <v>0</v>
      </c>
      <c r="S150">
        <f t="shared" si="48"/>
        <v>1</v>
      </c>
      <c r="T150">
        <f t="shared" si="55"/>
        <v>1</v>
      </c>
      <c r="U150">
        <f t="shared" si="56"/>
        <v>0</v>
      </c>
      <c r="V150">
        <f t="shared" si="57"/>
        <v>0</v>
      </c>
      <c r="W150">
        <f t="shared" si="58"/>
        <v>0</v>
      </c>
      <c r="X150" t="s">
        <v>40</v>
      </c>
      <c r="Y150" t="s">
        <v>40</v>
      </c>
      <c r="Z150" t="s">
        <v>41</v>
      </c>
      <c r="AA150" t="s">
        <v>42</v>
      </c>
      <c r="AB150">
        <v>1</v>
      </c>
      <c r="AC150">
        <v>1</v>
      </c>
      <c r="AD150">
        <v>0</v>
      </c>
      <c r="AE150" t="s">
        <v>44</v>
      </c>
      <c r="AF150" t="s">
        <v>43</v>
      </c>
      <c r="AG150">
        <f t="shared" si="59"/>
        <v>1</v>
      </c>
      <c r="AH150" t="s">
        <v>44</v>
      </c>
      <c r="AI150">
        <f t="shared" si="60"/>
        <v>0</v>
      </c>
      <c r="AJ150" t="s">
        <v>43</v>
      </c>
      <c r="AK150">
        <f t="shared" si="61"/>
        <v>1</v>
      </c>
      <c r="AL150">
        <f t="shared" si="62"/>
        <v>0</v>
      </c>
      <c r="AM150">
        <v>0</v>
      </c>
      <c r="AN150">
        <f t="shared" si="63"/>
        <v>0</v>
      </c>
      <c r="AO150">
        <f t="shared" si="64"/>
        <v>0</v>
      </c>
      <c r="AP150">
        <f t="shared" si="65"/>
        <v>0</v>
      </c>
      <c r="AQ150">
        <v>7</v>
      </c>
      <c r="AR150">
        <v>6</v>
      </c>
      <c r="AS150">
        <v>0</v>
      </c>
    </row>
    <row r="151" spans="1:45" x14ac:dyDescent="0.2">
      <c r="A151" t="s">
        <v>34</v>
      </c>
      <c r="B151" t="s">
        <v>51</v>
      </c>
      <c r="C151">
        <v>15</v>
      </c>
      <c r="D151" t="s">
        <v>36</v>
      </c>
      <c r="E151" t="s">
        <v>48</v>
      </c>
      <c r="F151" t="s">
        <v>38</v>
      </c>
      <c r="G151">
        <f t="shared" si="49"/>
        <v>0</v>
      </c>
      <c r="H151">
        <v>2</v>
      </c>
      <c r="I151">
        <f t="shared" si="50"/>
        <v>0</v>
      </c>
      <c r="J151">
        <f t="shared" si="51"/>
        <v>0</v>
      </c>
      <c r="K151">
        <f t="shared" si="52"/>
        <v>1</v>
      </c>
      <c r="L151">
        <f t="shared" si="53"/>
        <v>0</v>
      </c>
      <c r="M151">
        <f t="shared" si="54"/>
        <v>0</v>
      </c>
      <c r="N151">
        <v>1</v>
      </c>
      <c r="O151">
        <f t="shared" si="44"/>
        <v>0</v>
      </c>
      <c r="P151">
        <f t="shared" si="45"/>
        <v>1</v>
      </c>
      <c r="Q151">
        <f t="shared" si="46"/>
        <v>0</v>
      </c>
      <c r="R151">
        <f t="shared" si="47"/>
        <v>0</v>
      </c>
      <c r="S151">
        <f t="shared" si="48"/>
        <v>0</v>
      </c>
      <c r="T151">
        <f t="shared" si="55"/>
        <v>0</v>
      </c>
      <c r="U151">
        <f t="shared" si="56"/>
        <v>0</v>
      </c>
      <c r="V151">
        <f t="shared" si="57"/>
        <v>0</v>
      </c>
      <c r="W151">
        <f t="shared" si="58"/>
        <v>0</v>
      </c>
      <c r="X151" t="s">
        <v>49</v>
      </c>
      <c r="Y151" t="s">
        <v>46</v>
      </c>
      <c r="Z151" t="s">
        <v>41</v>
      </c>
      <c r="AA151" t="s">
        <v>42</v>
      </c>
      <c r="AB151">
        <v>4</v>
      </c>
      <c r="AC151">
        <v>1</v>
      </c>
      <c r="AD151">
        <v>3</v>
      </c>
      <c r="AE151" t="s">
        <v>44</v>
      </c>
      <c r="AF151" t="s">
        <v>44</v>
      </c>
      <c r="AG151">
        <f t="shared" si="59"/>
        <v>0</v>
      </c>
      <c r="AH151" t="s">
        <v>44</v>
      </c>
      <c r="AI151">
        <f t="shared" si="60"/>
        <v>0</v>
      </c>
      <c r="AJ151" t="s">
        <v>43</v>
      </c>
      <c r="AK151">
        <f t="shared" si="61"/>
        <v>1</v>
      </c>
      <c r="AL151">
        <f t="shared" si="62"/>
        <v>0</v>
      </c>
      <c r="AM151">
        <v>0</v>
      </c>
      <c r="AN151">
        <f t="shared" si="63"/>
        <v>0</v>
      </c>
      <c r="AO151">
        <f t="shared" si="64"/>
        <v>0</v>
      </c>
      <c r="AP151">
        <f t="shared" si="65"/>
        <v>0</v>
      </c>
      <c r="AQ151">
        <v>8</v>
      </c>
      <c r="AR151">
        <v>9</v>
      </c>
      <c r="AS151">
        <v>10</v>
      </c>
    </row>
    <row r="152" spans="1:45" x14ac:dyDescent="0.2">
      <c r="A152" t="s">
        <v>34</v>
      </c>
      <c r="B152" t="s">
        <v>51</v>
      </c>
      <c r="C152">
        <v>18</v>
      </c>
      <c r="D152" t="s">
        <v>36</v>
      </c>
      <c r="E152" t="s">
        <v>48</v>
      </c>
      <c r="F152" t="s">
        <v>45</v>
      </c>
      <c r="G152">
        <f t="shared" si="49"/>
        <v>1</v>
      </c>
      <c r="H152">
        <v>1</v>
      </c>
      <c r="I152">
        <f t="shared" si="50"/>
        <v>0</v>
      </c>
      <c r="J152">
        <f t="shared" si="51"/>
        <v>1</v>
      </c>
      <c r="K152">
        <f t="shared" si="52"/>
        <v>0</v>
      </c>
      <c r="L152">
        <f t="shared" si="53"/>
        <v>0</v>
      </c>
      <c r="M152">
        <f t="shared" si="54"/>
        <v>0</v>
      </c>
      <c r="N152">
        <v>1</v>
      </c>
      <c r="O152">
        <f t="shared" si="44"/>
        <v>0</v>
      </c>
      <c r="P152">
        <f t="shared" si="45"/>
        <v>1</v>
      </c>
      <c r="Q152">
        <f t="shared" si="46"/>
        <v>0</v>
      </c>
      <c r="R152">
        <f t="shared" si="47"/>
        <v>0</v>
      </c>
      <c r="S152">
        <f t="shared" si="48"/>
        <v>0</v>
      </c>
      <c r="T152">
        <f t="shared" si="55"/>
        <v>0</v>
      </c>
      <c r="U152">
        <f t="shared" si="56"/>
        <v>0</v>
      </c>
      <c r="V152">
        <f t="shared" si="57"/>
        <v>0</v>
      </c>
      <c r="W152">
        <f t="shared" si="58"/>
        <v>0</v>
      </c>
      <c r="X152" t="s">
        <v>46</v>
      </c>
      <c r="Y152" t="s">
        <v>46</v>
      </c>
      <c r="Z152" t="s">
        <v>41</v>
      </c>
      <c r="AA152" t="s">
        <v>42</v>
      </c>
      <c r="AB152">
        <v>1</v>
      </c>
      <c r="AC152">
        <v>1</v>
      </c>
      <c r="AD152">
        <v>3</v>
      </c>
      <c r="AE152" t="s">
        <v>44</v>
      </c>
      <c r="AF152" t="s">
        <v>44</v>
      </c>
      <c r="AG152">
        <f t="shared" si="59"/>
        <v>0</v>
      </c>
      <c r="AH152" t="s">
        <v>44</v>
      </c>
      <c r="AI152">
        <f t="shared" si="60"/>
        <v>0</v>
      </c>
      <c r="AJ152" t="s">
        <v>43</v>
      </c>
      <c r="AK152">
        <f t="shared" si="61"/>
        <v>1</v>
      </c>
      <c r="AL152">
        <f t="shared" si="62"/>
        <v>0</v>
      </c>
      <c r="AM152">
        <v>0</v>
      </c>
      <c r="AN152">
        <f t="shared" si="63"/>
        <v>0</v>
      </c>
      <c r="AO152">
        <f t="shared" si="64"/>
        <v>0</v>
      </c>
      <c r="AP152">
        <f t="shared" si="65"/>
        <v>0</v>
      </c>
      <c r="AQ152">
        <v>6</v>
      </c>
      <c r="AR152">
        <v>5</v>
      </c>
      <c r="AS152">
        <v>0</v>
      </c>
    </row>
    <row r="153" spans="1:45" x14ac:dyDescent="0.2">
      <c r="A153" t="s">
        <v>34</v>
      </c>
      <c r="B153" t="s">
        <v>51</v>
      </c>
      <c r="C153">
        <v>16</v>
      </c>
      <c r="D153" t="s">
        <v>36</v>
      </c>
      <c r="E153" t="s">
        <v>48</v>
      </c>
      <c r="F153" t="s">
        <v>45</v>
      </c>
      <c r="G153">
        <f t="shared" si="49"/>
        <v>1</v>
      </c>
      <c r="H153">
        <v>2</v>
      </c>
      <c r="I153">
        <f t="shared" si="50"/>
        <v>0</v>
      </c>
      <c r="J153">
        <f t="shared" si="51"/>
        <v>0</v>
      </c>
      <c r="K153">
        <f t="shared" si="52"/>
        <v>1</v>
      </c>
      <c r="L153">
        <f t="shared" si="53"/>
        <v>0</v>
      </c>
      <c r="M153">
        <f t="shared" si="54"/>
        <v>0</v>
      </c>
      <c r="N153">
        <v>1</v>
      </c>
      <c r="O153">
        <f t="shared" si="44"/>
        <v>0</v>
      </c>
      <c r="P153">
        <f t="shared" si="45"/>
        <v>1</v>
      </c>
      <c r="Q153">
        <f t="shared" si="46"/>
        <v>0</v>
      </c>
      <c r="R153">
        <f t="shared" si="47"/>
        <v>0</v>
      </c>
      <c r="S153">
        <f t="shared" si="48"/>
        <v>0</v>
      </c>
      <c r="T153">
        <f t="shared" si="55"/>
        <v>0</v>
      </c>
      <c r="U153">
        <f t="shared" si="56"/>
        <v>0</v>
      </c>
      <c r="V153">
        <f t="shared" si="57"/>
        <v>0</v>
      </c>
      <c r="W153">
        <f t="shared" si="58"/>
        <v>0</v>
      </c>
      <c r="X153" t="s">
        <v>39</v>
      </c>
      <c r="Y153" t="s">
        <v>46</v>
      </c>
      <c r="Z153" t="s">
        <v>41</v>
      </c>
      <c r="AA153" t="s">
        <v>42</v>
      </c>
      <c r="AB153">
        <v>1</v>
      </c>
      <c r="AC153">
        <v>1</v>
      </c>
      <c r="AD153">
        <v>1</v>
      </c>
      <c r="AE153" t="s">
        <v>44</v>
      </c>
      <c r="AF153" t="s">
        <v>44</v>
      </c>
      <c r="AG153">
        <f t="shared" si="59"/>
        <v>0</v>
      </c>
      <c r="AH153" t="s">
        <v>44</v>
      </c>
      <c r="AI153">
        <f t="shared" si="60"/>
        <v>0</v>
      </c>
      <c r="AJ153" t="s">
        <v>44</v>
      </c>
      <c r="AK153">
        <f t="shared" si="61"/>
        <v>0</v>
      </c>
      <c r="AL153">
        <f t="shared" si="62"/>
        <v>0</v>
      </c>
      <c r="AM153">
        <v>6</v>
      </c>
      <c r="AN153">
        <f t="shared" si="63"/>
        <v>0</v>
      </c>
      <c r="AO153">
        <f t="shared" si="64"/>
        <v>0</v>
      </c>
      <c r="AP153">
        <f t="shared" si="65"/>
        <v>0</v>
      </c>
      <c r="AQ153">
        <v>12</v>
      </c>
      <c r="AR153">
        <v>13</v>
      </c>
      <c r="AS153">
        <v>14</v>
      </c>
    </row>
    <row r="154" spans="1:45" x14ac:dyDescent="0.2">
      <c r="A154" t="s">
        <v>34</v>
      </c>
      <c r="B154" t="s">
        <v>35</v>
      </c>
      <c r="C154">
        <v>15</v>
      </c>
      <c r="D154" t="s">
        <v>53</v>
      </c>
      <c r="E154" t="s">
        <v>37</v>
      </c>
      <c r="F154" t="s">
        <v>45</v>
      </c>
      <c r="G154">
        <f t="shared" si="49"/>
        <v>1</v>
      </c>
      <c r="H154">
        <v>3</v>
      </c>
      <c r="I154">
        <f t="shared" si="50"/>
        <v>0</v>
      </c>
      <c r="J154">
        <f t="shared" si="51"/>
        <v>0</v>
      </c>
      <c r="K154">
        <f t="shared" si="52"/>
        <v>0</v>
      </c>
      <c r="L154">
        <f t="shared" si="53"/>
        <v>1</v>
      </c>
      <c r="M154">
        <f t="shared" si="54"/>
        <v>0</v>
      </c>
      <c r="N154">
        <v>3</v>
      </c>
      <c r="O154">
        <f t="shared" si="44"/>
        <v>0</v>
      </c>
      <c r="P154">
        <f t="shared" si="45"/>
        <v>0</v>
      </c>
      <c r="Q154">
        <f t="shared" si="46"/>
        <v>0</v>
      </c>
      <c r="R154">
        <f t="shared" si="47"/>
        <v>1</v>
      </c>
      <c r="S154">
        <f t="shared" si="48"/>
        <v>0</v>
      </c>
      <c r="T154">
        <f t="shared" si="55"/>
        <v>0</v>
      </c>
      <c r="U154">
        <f t="shared" si="56"/>
        <v>0</v>
      </c>
      <c r="V154">
        <f t="shared" si="57"/>
        <v>0</v>
      </c>
      <c r="W154">
        <f t="shared" si="58"/>
        <v>0</v>
      </c>
      <c r="X154" t="s">
        <v>49</v>
      </c>
      <c r="Y154" t="s">
        <v>49</v>
      </c>
      <c r="Z154" t="s">
        <v>52</v>
      </c>
      <c r="AA154" t="s">
        <v>46</v>
      </c>
      <c r="AB154">
        <v>2</v>
      </c>
      <c r="AC154">
        <v>3</v>
      </c>
      <c r="AD154">
        <v>2</v>
      </c>
      <c r="AE154" t="s">
        <v>44</v>
      </c>
      <c r="AF154" t="s">
        <v>43</v>
      </c>
      <c r="AG154">
        <f t="shared" si="59"/>
        <v>1</v>
      </c>
      <c r="AH154" t="s">
        <v>43</v>
      </c>
      <c r="AI154">
        <f t="shared" si="60"/>
        <v>1</v>
      </c>
      <c r="AJ154" t="s">
        <v>43</v>
      </c>
      <c r="AK154">
        <f t="shared" si="61"/>
        <v>1</v>
      </c>
      <c r="AL154">
        <f t="shared" si="62"/>
        <v>1</v>
      </c>
      <c r="AM154">
        <v>8</v>
      </c>
      <c r="AN154">
        <f t="shared" si="63"/>
        <v>0</v>
      </c>
      <c r="AO154">
        <f t="shared" si="64"/>
        <v>0</v>
      </c>
      <c r="AP154">
        <f t="shared" si="65"/>
        <v>1</v>
      </c>
      <c r="AQ154">
        <v>10</v>
      </c>
      <c r="AR154">
        <v>10</v>
      </c>
      <c r="AS154">
        <v>10</v>
      </c>
    </row>
    <row r="155" spans="1:45" x14ac:dyDescent="0.2">
      <c r="A155" t="s">
        <v>34</v>
      </c>
      <c r="B155" t="s">
        <v>51</v>
      </c>
      <c r="C155">
        <v>19</v>
      </c>
      <c r="D155" t="s">
        <v>36</v>
      </c>
      <c r="E155" t="s">
        <v>37</v>
      </c>
      <c r="F155" t="s">
        <v>45</v>
      </c>
      <c r="G155">
        <f t="shared" si="49"/>
        <v>1</v>
      </c>
      <c r="H155">
        <v>3</v>
      </c>
      <c r="I155">
        <f t="shared" si="50"/>
        <v>0</v>
      </c>
      <c r="J155">
        <f t="shared" si="51"/>
        <v>0</v>
      </c>
      <c r="K155">
        <f t="shared" si="52"/>
        <v>0</v>
      </c>
      <c r="L155">
        <f t="shared" si="53"/>
        <v>1</v>
      </c>
      <c r="M155">
        <f t="shared" si="54"/>
        <v>0</v>
      </c>
      <c r="N155">
        <v>2</v>
      </c>
      <c r="O155">
        <f t="shared" si="44"/>
        <v>0</v>
      </c>
      <c r="P155">
        <f t="shared" si="45"/>
        <v>0</v>
      </c>
      <c r="Q155">
        <f t="shared" si="46"/>
        <v>1</v>
      </c>
      <c r="R155">
        <f t="shared" si="47"/>
        <v>0</v>
      </c>
      <c r="S155">
        <f t="shared" si="48"/>
        <v>0</v>
      </c>
      <c r="T155">
        <f t="shared" si="55"/>
        <v>0</v>
      </c>
      <c r="U155">
        <f t="shared" si="56"/>
        <v>0</v>
      </c>
      <c r="V155">
        <f t="shared" si="57"/>
        <v>0</v>
      </c>
      <c r="W155">
        <f t="shared" si="58"/>
        <v>0</v>
      </c>
      <c r="X155" t="s">
        <v>49</v>
      </c>
      <c r="Y155" t="s">
        <v>39</v>
      </c>
      <c r="Z155" t="s">
        <v>50</v>
      </c>
      <c r="AA155" t="s">
        <v>42</v>
      </c>
      <c r="AB155">
        <v>1</v>
      </c>
      <c r="AC155">
        <v>1</v>
      </c>
      <c r="AD155">
        <v>3</v>
      </c>
      <c r="AE155" t="s">
        <v>44</v>
      </c>
      <c r="AF155" t="s">
        <v>43</v>
      </c>
      <c r="AG155">
        <f t="shared" si="59"/>
        <v>1</v>
      </c>
      <c r="AH155" t="s">
        <v>44</v>
      </c>
      <c r="AI155">
        <f t="shared" si="60"/>
        <v>0</v>
      </c>
      <c r="AJ155" t="s">
        <v>43</v>
      </c>
      <c r="AK155">
        <f t="shared" si="61"/>
        <v>1</v>
      </c>
      <c r="AL155">
        <f t="shared" si="62"/>
        <v>0</v>
      </c>
      <c r="AM155">
        <v>0</v>
      </c>
      <c r="AN155">
        <f t="shared" si="63"/>
        <v>0</v>
      </c>
      <c r="AO155">
        <f t="shared" si="64"/>
        <v>0</v>
      </c>
      <c r="AP155">
        <f t="shared" si="65"/>
        <v>0</v>
      </c>
      <c r="AQ155">
        <v>5</v>
      </c>
      <c r="AR155">
        <v>0</v>
      </c>
      <c r="AS155">
        <v>0</v>
      </c>
    </row>
    <row r="156" spans="1:45" x14ac:dyDescent="0.2">
      <c r="A156" t="s">
        <v>34</v>
      </c>
      <c r="B156" t="s">
        <v>35</v>
      </c>
      <c r="C156">
        <v>17</v>
      </c>
      <c r="D156" t="s">
        <v>36</v>
      </c>
      <c r="E156" t="s">
        <v>37</v>
      </c>
      <c r="F156" t="s">
        <v>45</v>
      </c>
      <c r="G156">
        <f t="shared" si="49"/>
        <v>1</v>
      </c>
      <c r="H156">
        <v>4</v>
      </c>
      <c r="I156">
        <f t="shared" si="50"/>
        <v>0</v>
      </c>
      <c r="J156">
        <f t="shared" si="51"/>
        <v>0</v>
      </c>
      <c r="K156">
        <f t="shared" si="52"/>
        <v>0</v>
      </c>
      <c r="L156">
        <f t="shared" si="53"/>
        <v>0</v>
      </c>
      <c r="M156">
        <f t="shared" si="54"/>
        <v>1</v>
      </c>
      <c r="N156">
        <v>4</v>
      </c>
      <c r="O156">
        <f t="shared" si="44"/>
        <v>0</v>
      </c>
      <c r="P156">
        <f t="shared" si="45"/>
        <v>0</v>
      </c>
      <c r="Q156">
        <f t="shared" si="46"/>
        <v>0</v>
      </c>
      <c r="R156">
        <f t="shared" si="47"/>
        <v>0</v>
      </c>
      <c r="S156">
        <f t="shared" si="48"/>
        <v>1</v>
      </c>
      <c r="T156">
        <f t="shared" si="55"/>
        <v>1</v>
      </c>
      <c r="U156">
        <f t="shared" si="56"/>
        <v>0</v>
      </c>
      <c r="V156">
        <f t="shared" si="57"/>
        <v>0</v>
      </c>
      <c r="W156">
        <f t="shared" si="58"/>
        <v>0</v>
      </c>
      <c r="X156" t="s">
        <v>46</v>
      </c>
      <c r="Y156" t="s">
        <v>40</v>
      </c>
      <c r="Z156" t="s">
        <v>41</v>
      </c>
      <c r="AA156" t="s">
        <v>42</v>
      </c>
      <c r="AB156">
        <v>1</v>
      </c>
      <c r="AC156">
        <v>1</v>
      </c>
      <c r="AD156">
        <v>0</v>
      </c>
      <c r="AE156" t="s">
        <v>43</v>
      </c>
      <c r="AF156" t="s">
        <v>43</v>
      </c>
      <c r="AG156">
        <f t="shared" si="59"/>
        <v>1</v>
      </c>
      <c r="AH156" t="s">
        <v>44</v>
      </c>
      <c r="AI156">
        <f t="shared" si="60"/>
        <v>0</v>
      </c>
      <c r="AJ156" t="s">
        <v>44</v>
      </c>
      <c r="AK156">
        <f t="shared" si="61"/>
        <v>0</v>
      </c>
      <c r="AL156">
        <f t="shared" si="62"/>
        <v>0</v>
      </c>
      <c r="AM156">
        <v>0</v>
      </c>
      <c r="AN156">
        <f t="shared" si="63"/>
        <v>0</v>
      </c>
      <c r="AO156">
        <f t="shared" si="64"/>
        <v>0</v>
      </c>
      <c r="AP156">
        <f t="shared" si="65"/>
        <v>0</v>
      </c>
      <c r="AQ156">
        <v>11</v>
      </c>
      <c r="AR156">
        <v>11</v>
      </c>
      <c r="AS156">
        <v>12</v>
      </c>
    </row>
    <row r="157" spans="1:45" x14ac:dyDescent="0.2">
      <c r="A157" t="s">
        <v>34</v>
      </c>
      <c r="B157" t="s">
        <v>51</v>
      </c>
      <c r="C157">
        <v>15</v>
      </c>
      <c r="D157" t="s">
        <v>53</v>
      </c>
      <c r="E157" t="s">
        <v>37</v>
      </c>
      <c r="F157" t="s">
        <v>45</v>
      </c>
      <c r="G157">
        <f t="shared" si="49"/>
        <v>1</v>
      </c>
      <c r="H157">
        <v>2</v>
      </c>
      <c r="I157">
        <f t="shared" si="50"/>
        <v>0</v>
      </c>
      <c r="J157">
        <f t="shared" si="51"/>
        <v>0</v>
      </c>
      <c r="K157">
        <f t="shared" si="52"/>
        <v>1</v>
      </c>
      <c r="L157">
        <f t="shared" si="53"/>
        <v>0</v>
      </c>
      <c r="M157">
        <f t="shared" si="54"/>
        <v>0</v>
      </c>
      <c r="N157">
        <v>3</v>
      </c>
      <c r="O157">
        <f t="shared" si="44"/>
        <v>0</v>
      </c>
      <c r="P157">
        <f t="shared" si="45"/>
        <v>0</v>
      </c>
      <c r="Q157">
        <f t="shared" si="46"/>
        <v>0</v>
      </c>
      <c r="R157">
        <f t="shared" si="47"/>
        <v>1</v>
      </c>
      <c r="S157">
        <f t="shared" si="48"/>
        <v>0</v>
      </c>
      <c r="T157">
        <f t="shared" si="55"/>
        <v>0</v>
      </c>
      <c r="U157">
        <f t="shared" si="56"/>
        <v>0</v>
      </c>
      <c r="V157">
        <f t="shared" si="57"/>
        <v>0</v>
      </c>
      <c r="W157">
        <f t="shared" si="58"/>
        <v>0</v>
      </c>
      <c r="X157" t="s">
        <v>39</v>
      </c>
      <c r="Y157" t="s">
        <v>49</v>
      </c>
      <c r="Z157" t="s">
        <v>41</v>
      </c>
      <c r="AA157" t="s">
        <v>42</v>
      </c>
      <c r="AB157">
        <v>1</v>
      </c>
      <c r="AC157">
        <v>2</v>
      </c>
      <c r="AD157">
        <v>0</v>
      </c>
      <c r="AE157" t="s">
        <v>43</v>
      </c>
      <c r="AF157" t="s">
        <v>44</v>
      </c>
      <c r="AG157">
        <f t="shared" si="59"/>
        <v>0</v>
      </c>
      <c r="AH157" t="s">
        <v>43</v>
      </c>
      <c r="AI157">
        <f t="shared" si="60"/>
        <v>1</v>
      </c>
      <c r="AJ157" t="s">
        <v>44</v>
      </c>
      <c r="AK157">
        <f t="shared" si="61"/>
        <v>0</v>
      </c>
      <c r="AL157">
        <f t="shared" si="62"/>
        <v>0</v>
      </c>
      <c r="AM157">
        <v>2</v>
      </c>
      <c r="AN157">
        <f t="shared" si="63"/>
        <v>0</v>
      </c>
      <c r="AO157">
        <f t="shared" si="64"/>
        <v>0</v>
      </c>
      <c r="AP157">
        <f t="shared" si="65"/>
        <v>0</v>
      </c>
      <c r="AQ157">
        <v>11</v>
      </c>
      <c r="AR157">
        <v>8</v>
      </c>
      <c r="AS157">
        <v>8</v>
      </c>
    </row>
    <row r="158" spans="1:45" x14ac:dyDescent="0.2">
      <c r="A158" t="s">
        <v>34</v>
      </c>
      <c r="B158" t="s">
        <v>51</v>
      </c>
      <c r="C158">
        <v>17</v>
      </c>
      <c r="D158" t="s">
        <v>53</v>
      </c>
      <c r="E158" t="s">
        <v>48</v>
      </c>
      <c r="F158" t="s">
        <v>45</v>
      </c>
      <c r="G158">
        <f t="shared" si="49"/>
        <v>1</v>
      </c>
      <c r="H158">
        <v>1</v>
      </c>
      <c r="I158">
        <f t="shared" si="50"/>
        <v>0</v>
      </c>
      <c r="J158">
        <f t="shared" si="51"/>
        <v>1</v>
      </c>
      <c r="K158">
        <f t="shared" si="52"/>
        <v>0</v>
      </c>
      <c r="L158">
        <f t="shared" si="53"/>
        <v>0</v>
      </c>
      <c r="M158">
        <f t="shared" si="54"/>
        <v>0</v>
      </c>
      <c r="N158">
        <v>2</v>
      </c>
      <c r="O158">
        <f t="shared" si="44"/>
        <v>0</v>
      </c>
      <c r="P158">
        <f t="shared" si="45"/>
        <v>0</v>
      </c>
      <c r="Q158">
        <f t="shared" si="46"/>
        <v>1</v>
      </c>
      <c r="R158">
        <f t="shared" si="47"/>
        <v>0</v>
      </c>
      <c r="S158">
        <f t="shared" si="48"/>
        <v>0</v>
      </c>
      <c r="T158">
        <f t="shared" si="55"/>
        <v>0</v>
      </c>
      <c r="U158">
        <f t="shared" si="56"/>
        <v>0</v>
      </c>
      <c r="V158">
        <f t="shared" si="57"/>
        <v>0</v>
      </c>
      <c r="W158">
        <f t="shared" si="58"/>
        <v>0</v>
      </c>
      <c r="X158" t="s">
        <v>46</v>
      </c>
      <c r="Y158" t="s">
        <v>46</v>
      </c>
      <c r="Z158" t="s">
        <v>52</v>
      </c>
      <c r="AA158" t="s">
        <v>42</v>
      </c>
      <c r="AB158">
        <v>1</v>
      </c>
      <c r="AC158">
        <v>1</v>
      </c>
      <c r="AD158">
        <v>0</v>
      </c>
      <c r="AE158" t="s">
        <v>44</v>
      </c>
      <c r="AF158" t="s">
        <v>44</v>
      </c>
      <c r="AG158">
        <f t="shared" si="59"/>
        <v>0</v>
      </c>
      <c r="AH158" t="s">
        <v>44</v>
      </c>
      <c r="AI158">
        <f t="shared" si="60"/>
        <v>0</v>
      </c>
      <c r="AJ158" t="s">
        <v>44</v>
      </c>
      <c r="AK158">
        <f t="shared" si="61"/>
        <v>0</v>
      </c>
      <c r="AL158">
        <f t="shared" si="62"/>
        <v>0</v>
      </c>
      <c r="AM158">
        <v>8</v>
      </c>
      <c r="AN158">
        <f t="shared" si="63"/>
        <v>0</v>
      </c>
      <c r="AO158">
        <f t="shared" si="64"/>
        <v>0</v>
      </c>
      <c r="AP158">
        <f t="shared" si="65"/>
        <v>0</v>
      </c>
      <c r="AQ158">
        <v>16</v>
      </c>
      <c r="AR158">
        <v>12</v>
      </c>
      <c r="AS158">
        <v>13</v>
      </c>
    </row>
    <row r="159" spans="1:45" x14ac:dyDescent="0.2">
      <c r="A159" t="s">
        <v>34</v>
      </c>
      <c r="B159" t="s">
        <v>35</v>
      </c>
      <c r="C159">
        <v>18</v>
      </c>
      <c r="D159" t="s">
        <v>53</v>
      </c>
      <c r="E159" t="s">
        <v>37</v>
      </c>
      <c r="F159" t="s">
        <v>45</v>
      </c>
      <c r="G159">
        <f t="shared" si="49"/>
        <v>1</v>
      </c>
      <c r="H159">
        <v>1</v>
      </c>
      <c r="I159">
        <f t="shared" si="50"/>
        <v>0</v>
      </c>
      <c r="J159">
        <f t="shared" si="51"/>
        <v>1</v>
      </c>
      <c r="K159">
        <f t="shared" si="52"/>
        <v>0</v>
      </c>
      <c r="L159">
        <f t="shared" si="53"/>
        <v>0</v>
      </c>
      <c r="M159">
        <f t="shared" si="54"/>
        <v>0</v>
      </c>
      <c r="N159">
        <v>1</v>
      </c>
      <c r="O159">
        <f t="shared" si="44"/>
        <v>0</v>
      </c>
      <c r="P159">
        <f t="shared" si="45"/>
        <v>1</v>
      </c>
      <c r="Q159">
        <f t="shared" si="46"/>
        <v>0</v>
      </c>
      <c r="R159">
        <f t="shared" si="47"/>
        <v>0</v>
      </c>
      <c r="S159">
        <f t="shared" si="48"/>
        <v>0</v>
      </c>
      <c r="T159">
        <f t="shared" si="55"/>
        <v>0</v>
      </c>
      <c r="U159">
        <f t="shared" si="56"/>
        <v>0</v>
      </c>
      <c r="V159">
        <f t="shared" si="57"/>
        <v>0</v>
      </c>
      <c r="W159">
        <f t="shared" si="58"/>
        <v>0</v>
      </c>
      <c r="X159" t="s">
        <v>39</v>
      </c>
      <c r="Y159" t="s">
        <v>46</v>
      </c>
      <c r="Z159" t="s">
        <v>41</v>
      </c>
      <c r="AA159" t="s">
        <v>42</v>
      </c>
      <c r="AB159">
        <v>3</v>
      </c>
      <c r="AC159">
        <v>1</v>
      </c>
      <c r="AD159">
        <v>3</v>
      </c>
      <c r="AE159" t="s">
        <v>44</v>
      </c>
      <c r="AF159" t="s">
        <v>43</v>
      </c>
      <c r="AG159">
        <f t="shared" si="59"/>
        <v>1</v>
      </c>
      <c r="AH159" t="s">
        <v>44</v>
      </c>
      <c r="AI159">
        <f t="shared" si="60"/>
        <v>0</v>
      </c>
      <c r="AJ159" t="s">
        <v>44</v>
      </c>
      <c r="AK159">
        <f t="shared" si="61"/>
        <v>0</v>
      </c>
      <c r="AL159">
        <f t="shared" si="62"/>
        <v>0</v>
      </c>
      <c r="AM159">
        <v>6</v>
      </c>
      <c r="AN159">
        <f t="shared" si="63"/>
        <v>0</v>
      </c>
      <c r="AO159">
        <f t="shared" si="64"/>
        <v>0</v>
      </c>
      <c r="AP159">
        <f t="shared" si="65"/>
        <v>0</v>
      </c>
      <c r="AQ159">
        <v>9</v>
      </c>
      <c r="AR159">
        <v>8</v>
      </c>
      <c r="AS159">
        <v>10</v>
      </c>
    </row>
    <row r="160" spans="1:45" x14ac:dyDescent="0.2">
      <c r="A160" t="s">
        <v>34</v>
      </c>
      <c r="B160" t="s">
        <v>51</v>
      </c>
      <c r="C160">
        <v>16</v>
      </c>
      <c r="D160" t="s">
        <v>53</v>
      </c>
      <c r="E160" t="s">
        <v>37</v>
      </c>
      <c r="F160" t="s">
        <v>45</v>
      </c>
      <c r="G160">
        <f t="shared" si="49"/>
        <v>1</v>
      </c>
      <c r="H160">
        <v>2</v>
      </c>
      <c r="I160">
        <f t="shared" si="50"/>
        <v>0</v>
      </c>
      <c r="J160">
        <f t="shared" si="51"/>
        <v>0</v>
      </c>
      <c r="K160">
        <f t="shared" si="52"/>
        <v>1</v>
      </c>
      <c r="L160">
        <f t="shared" si="53"/>
        <v>0</v>
      </c>
      <c r="M160">
        <f t="shared" si="54"/>
        <v>0</v>
      </c>
      <c r="N160">
        <v>2</v>
      </c>
      <c r="O160">
        <f t="shared" si="44"/>
        <v>0</v>
      </c>
      <c r="P160">
        <f t="shared" si="45"/>
        <v>0</v>
      </c>
      <c r="Q160">
        <f t="shared" si="46"/>
        <v>1</v>
      </c>
      <c r="R160">
        <f t="shared" si="47"/>
        <v>0</v>
      </c>
      <c r="S160">
        <f t="shared" si="48"/>
        <v>0</v>
      </c>
      <c r="T160">
        <f t="shared" si="55"/>
        <v>0</v>
      </c>
      <c r="U160">
        <f t="shared" si="56"/>
        <v>0</v>
      </c>
      <c r="V160">
        <f t="shared" si="57"/>
        <v>0</v>
      </c>
      <c r="W160">
        <f t="shared" si="58"/>
        <v>0</v>
      </c>
      <c r="X160" t="s">
        <v>39</v>
      </c>
      <c r="Y160" t="s">
        <v>46</v>
      </c>
      <c r="Z160" t="s">
        <v>41</v>
      </c>
      <c r="AA160" t="s">
        <v>42</v>
      </c>
      <c r="AB160">
        <v>3</v>
      </c>
      <c r="AC160">
        <v>1</v>
      </c>
      <c r="AD160">
        <v>0</v>
      </c>
      <c r="AE160" t="s">
        <v>44</v>
      </c>
      <c r="AF160" t="s">
        <v>44</v>
      </c>
      <c r="AG160">
        <f t="shared" si="59"/>
        <v>0</v>
      </c>
      <c r="AH160" t="s">
        <v>44</v>
      </c>
      <c r="AI160">
        <f t="shared" si="60"/>
        <v>0</v>
      </c>
      <c r="AJ160" t="s">
        <v>44</v>
      </c>
      <c r="AK160">
        <f t="shared" si="61"/>
        <v>0</v>
      </c>
      <c r="AL160">
        <f t="shared" si="62"/>
        <v>0</v>
      </c>
      <c r="AM160">
        <v>2</v>
      </c>
      <c r="AN160">
        <f t="shared" si="63"/>
        <v>0</v>
      </c>
      <c r="AO160">
        <f t="shared" si="64"/>
        <v>0</v>
      </c>
      <c r="AP160">
        <f t="shared" si="65"/>
        <v>0</v>
      </c>
      <c r="AQ160">
        <v>17</v>
      </c>
      <c r="AR160">
        <v>15</v>
      </c>
      <c r="AS160">
        <v>15</v>
      </c>
    </row>
    <row r="161" spans="1:45" x14ac:dyDescent="0.2">
      <c r="A161" t="s">
        <v>34</v>
      </c>
      <c r="B161" t="s">
        <v>51</v>
      </c>
      <c r="C161">
        <v>16</v>
      </c>
      <c r="D161" t="s">
        <v>36</v>
      </c>
      <c r="E161" t="s">
        <v>37</v>
      </c>
      <c r="F161" t="s">
        <v>45</v>
      </c>
      <c r="G161">
        <f t="shared" si="49"/>
        <v>1</v>
      </c>
      <c r="H161">
        <v>3</v>
      </c>
      <c r="I161">
        <f t="shared" si="50"/>
        <v>0</v>
      </c>
      <c r="J161">
        <f t="shared" si="51"/>
        <v>0</v>
      </c>
      <c r="K161">
        <f t="shared" si="52"/>
        <v>0</v>
      </c>
      <c r="L161">
        <f t="shared" si="53"/>
        <v>1</v>
      </c>
      <c r="M161">
        <f t="shared" si="54"/>
        <v>0</v>
      </c>
      <c r="N161">
        <v>3</v>
      </c>
      <c r="O161">
        <f t="shared" si="44"/>
        <v>0</v>
      </c>
      <c r="P161">
        <f t="shared" si="45"/>
        <v>0</v>
      </c>
      <c r="Q161">
        <f t="shared" si="46"/>
        <v>0</v>
      </c>
      <c r="R161">
        <f t="shared" si="47"/>
        <v>1</v>
      </c>
      <c r="S161">
        <f t="shared" si="48"/>
        <v>0</v>
      </c>
      <c r="T161">
        <f t="shared" si="55"/>
        <v>0</v>
      </c>
      <c r="U161">
        <f t="shared" si="56"/>
        <v>0</v>
      </c>
      <c r="V161">
        <f t="shared" si="57"/>
        <v>0</v>
      </c>
      <c r="W161">
        <f t="shared" si="58"/>
        <v>0</v>
      </c>
      <c r="X161" t="s">
        <v>46</v>
      </c>
      <c r="Y161" t="s">
        <v>49</v>
      </c>
      <c r="Z161" t="s">
        <v>41</v>
      </c>
      <c r="AA161" t="s">
        <v>47</v>
      </c>
      <c r="AB161">
        <v>1</v>
      </c>
      <c r="AC161">
        <v>2</v>
      </c>
      <c r="AD161">
        <v>1</v>
      </c>
      <c r="AE161" t="s">
        <v>44</v>
      </c>
      <c r="AF161" t="s">
        <v>43</v>
      </c>
      <c r="AG161">
        <f t="shared" si="59"/>
        <v>1</v>
      </c>
      <c r="AH161" t="s">
        <v>43</v>
      </c>
      <c r="AI161">
        <f t="shared" si="60"/>
        <v>1</v>
      </c>
      <c r="AJ161" t="s">
        <v>43</v>
      </c>
      <c r="AK161">
        <f t="shared" si="61"/>
        <v>1</v>
      </c>
      <c r="AL161">
        <f t="shared" si="62"/>
        <v>1</v>
      </c>
      <c r="AM161">
        <v>4</v>
      </c>
      <c r="AN161">
        <f t="shared" si="63"/>
        <v>0</v>
      </c>
      <c r="AO161">
        <f t="shared" si="64"/>
        <v>0</v>
      </c>
      <c r="AP161">
        <f t="shared" si="65"/>
        <v>1</v>
      </c>
      <c r="AQ161">
        <v>10</v>
      </c>
      <c r="AR161">
        <v>12</v>
      </c>
      <c r="AS161">
        <v>12</v>
      </c>
    </row>
    <row r="162" spans="1:45" x14ac:dyDescent="0.2">
      <c r="A162" t="s">
        <v>34</v>
      </c>
      <c r="B162" t="s">
        <v>51</v>
      </c>
      <c r="C162">
        <v>17</v>
      </c>
      <c r="D162" t="s">
        <v>53</v>
      </c>
      <c r="E162" t="s">
        <v>48</v>
      </c>
      <c r="F162" t="s">
        <v>45</v>
      </c>
      <c r="G162">
        <f t="shared" si="49"/>
        <v>1</v>
      </c>
      <c r="H162">
        <v>2</v>
      </c>
      <c r="I162">
        <f t="shared" si="50"/>
        <v>0</v>
      </c>
      <c r="J162">
        <f t="shared" si="51"/>
        <v>0</v>
      </c>
      <c r="K162">
        <f t="shared" si="52"/>
        <v>1</v>
      </c>
      <c r="L162">
        <f t="shared" si="53"/>
        <v>0</v>
      </c>
      <c r="M162">
        <f t="shared" si="54"/>
        <v>0</v>
      </c>
      <c r="N162">
        <v>1</v>
      </c>
      <c r="O162">
        <f t="shared" si="44"/>
        <v>0</v>
      </c>
      <c r="P162">
        <f t="shared" si="45"/>
        <v>1</v>
      </c>
      <c r="Q162">
        <f t="shared" si="46"/>
        <v>0</v>
      </c>
      <c r="R162">
        <f t="shared" si="47"/>
        <v>0</v>
      </c>
      <c r="S162">
        <f t="shared" si="48"/>
        <v>0</v>
      </c>
      <c r="T162">
        <f t="shared" si="55"/>
        <v>0</v>
      </c>
      <c r="U162">
        <f t="shared" si="56"/>
        <v>0</v>
      </c>
      <c r="V162">
        <f t="shared" si="57"/>
        <v>0</v>
      </c>
      <c r="W162">
        <f t="shared" si="58"/>
        <v>0</v>
      </c>
      <c r="X162" t="s">
        <v>39</v>
      </c>
      <c r="Y162" t="s">
        <v>46</v>
      </c>
      <c r="Z162" t="s">
        <v>41</v>
      </c>
      <c r="AA162" t="s">
        <v>42</v>
      </c>
      <c r="AB162">
        <v>2</v>
      </c>
      <c r="AC162">
        <v>1</v>
      </c>
      <c r="AD162">
        <v>2</v>
      </c>
      <c r="AE162" t="s">
        <v>44</v>
      </c>
      <c r="AF162" t="s">
        <v>44</v>
      </c>
      <c r="AG162">
        <f t="shared" si="59"/>
        <v>0</v>
      </c>
      <c r="AH162" t="s">
        <v>44</v>
      </c>
      <c r="AI162">
        <f t="shared" si="60"/>
        <v>0</v>
      </c>
      <c r="AJ162" t="s">
        <v>43</v>
      </c>
      <c r="AK162">
        <f t="shared" si="61"/>
        <v>1</v>
      </c>
      <c r="AL162">
        <f t="shared" si="62"/>
        <v>0</v>
      </c>
      <c r="AM162">
        <v>0</v>
      </c>
      <c r="AN162">
        <f t="shared" si="63"/>
        <v>0</v>
      </c>
      <c r="AO162">
        <f t="shared" si="64"/>
        <v>0</v>
      </c>
      <c r="AP162">
        <f t="shared" si="65"/>
        <v>0</v>
      </c>
      <c r="AQ162">
        <v>7</v>
      </c>
      <c r="AR162">
        <v>6</v>
      </c>
      <c r="AS162">
        <v>0</v>
      </c>
    </row>
    <row r="163" spans="1:45" x14ac:dyDescent="0.2">
      <c r="A163" t="s">
        <v>34</v>
      </c>
      <c r="B163" t="s">
        <v>51</v>
      </c>
      <c r="C163">
        <v>15</v>
      </c>
      <c r="D163" t="s">
        <v>53</v>
      </c>
      <c r="E163" t="s">
        <v>37</v>
      </c>
      <c r="F163" t="s">
        <v>45</v>
      </c>
      <c r="G163">
        <f t="shared" si="49"/>
        <v>1</v>
      </c>
      <c r="H163">
        <v>3</v>
      </c>
      <c r="I163">
        <f t="shared" si="50"/>
        <v>0</v>
      </c>
      <c r="J163">
        <f t="shared" si="51"/>
        <v>0</v>
      </c>
      <c r="K163">
        <f t="shared" si="52"/>
        <v>0</v>
      </c>
      <c r="L163">
        <f t="shared" si="53"/>
        <v>1</v>
      </c>
      <c r="M163">
        <f t="shared" si="54"/>
        <v>0</v>
      </c>
      <c r="N163">
        <v>2</v>
      </c>
      <c r="O163">
        <f t="shared" si="44"/>
        <v>0</v>
      </c>
      <c r="P163">
        <f t="shared" si="45"/>
        <v>0</v>
      </c>
      <c r="Q163">
        <f t="shared" si="46"/>
        <v>1</v>
      </c>
      <c r="R163">
        <f t="shared" si="47"/>
        <v>0</v>
      </c>
      <c r="S163">
        <f t="shared" si="48"/>
        <v>0</v>
      </c>
      <c r="T163">
        <f t="shared" si="55"/>
        <v>0</v>
      </c>
      <c r="U163">
        <f t="shared" si="56"/>
        <v>0</v>
      </c>
      <c r="V163">
        <f t="shared" si="57"/>
        <v>0</v>
      </c>
      <c r="W163">
        <f t="shared" si="58"/>
        <v>0</v>
      </c>
      <c r="X163" t="s">
        <v>46</v>
      </c>
      <c r="Y163" t="s">
        <v>46</v>
      </c>
      <c r="Z163" t="s">
        <v>41</v>
      </c>
      <c r="AA163" t="s">
        <v>42</v>
      </c>
      <c r="AB163">
        <v>2</v>
      </c>
      <c r="AC163">
        <v>2</v>
      </c>
      <c r="AD163">
        <v>2</v>
      </c>
      <c r="AE163" t="s">
        <v>43</v>
      </c>
      <c r="AF163" t="s">
        <v>43</v>
      </c>
      <c r="AG163">
        <f t="shared" si="59"/>
        <v>1</v>
      </c>
      <c r="AH163" t="s">
        <v>44</v>
      </c>
      <c r="AI163">
        <f t="shared" si="60"/>
        <v>0</v>
      </c>
      <c r="AJ163" t="s">
        <v>43</v>
      </c>
      <c r="AK163">
        <f t="shared" si="61"/>
        <v>1</v>
      </c>
      <c r="AL163">
        <f t="shared" si="62"/>
        <v>0</v>
      </c>
      <c r="AM163">
        <v>6</v>
      </c>
      <c r="AN163">
        <f t="shared" si="63"/>
        <v>0</v>
      </c>
      <c r="AO163">
        <f t="shared" si="64"/>
        <v>0</v>
      </c>
      <c r="AP163">
        <f t="shared" si="65"/>
        <v>0</v>
      </c>
      <c r="AQ163">
        <v>5</v>
      </c>
      <c r="AR163">
        <v>9</v>
      </c>
      <c r="AS163">
        <v>7</v>
      </c>
    </row>
    <row r="164" spans="1:45" x14ac:dyDescent="0.2">
      <c r="A164" t="s">
        <v>34</v>
      </c>
      <c r="B164" t="s">
        <v>51</v>
      </c>
      <c r="C164">
        <v>16</v>
      </c>
      <c r="D164" t="s">
        <v>36</v>
      </c>
      <c r="E164" t="s">
        <v>48</v>
      </c>
      <c r="F164" t="s">
        <v>45</v>
      </c>
      <c r="G164">
        <f t="shared" si="49"/>
        <v>1</v>
      </c>
      <c r="H164">
        <v>1</v>
      </c>
      <c r="I164">
        <f t="shared" si="50"/>
        <v>0</v>
      </c>
      <c r="J164">
        <f t="shared" si="51"/>
        <v>1</v>
      </c>
      <c r="K164">
        <f t="shared" si="52"/>
        <v>0</v>
      </c>
      <c r="L164">
        <f t="shared" si="53"/>
        <v>0</v>
      </c>
      <c r="M164">
        <f t="shared" si="54"/>
        <v>0</v>
      </c>
      <c r="N164">
        <v>2</v>
      </c>
      <c r="O164">
        <f t="shared" si="44"/>
        <v>0</v>
      </c>
      <c r="P164">
        <f t="shared" si="45"/>
        <v>0</v>
      </c>
      <c r="Q164">
        <f t="shared" si="46"/>
        <v>1</v>
      </c>
      <c r="R164">
        <f t="shared" si="47"/>
        <v>0</v>
      </c>
      <c r="S164">
        <f t="shared" si="48"/>
        <v>0</v>
      </c>
      <c r="T164">
        <f t="shared" si="55"/>
        <v>0</v>
      </c>
      <c r="U164">
        <f t="shared" si="56"/>
        <v>0</v>
      </c>
      <c r="V164">
        <f t="shared" si="57"/>
        <v>0</v>
      </c>
      <c r="W164">
        <f t="shared" si="58"/>
        <v>0</v>
      </c>
      <c r="X164" t="s">
        <v>46</v>
      </c>
      <c r="Y164" t="s">
        <v>46</v>
      </c>
      <c r="Z164" t="s">
        <v>41</v>
      </c>
      <c r="AA164" t="s">
        <v>42</v>
      </c>
      <c r="AB164">
        <v>2</v>
      </c>
      <c r="AC164">
        <v>1</v>
      </c>
      <c r="AD164">
        <v>1</v>
      </c>
      <c r="AE164" t="s">
        <v>44</v>
      </c>
      <c r="AF164" t="s">
        <v>44</v>
      </c>
      <c r="AG164">
        <f t="shared" si="59"/>
        <v>0</v>
      </c>
      <c r="AH164" t="s">
        <v>44</v>
      </c>
      <c r="AI164">
        <f t="shared" si="60"/>
        <v>0</v>
      </c>
      <c r="AJ164" t="s">
        <v>44</v>
      </c>
      <c r="AK164">
        <f t="shared" si="61"/>
        <v>0</v>
      </c>
      <c r="AL164">
        <f t="shared" si="62"/>
        <v>0</v>
      </c>
      <c r="AM164">
        <v>0</v>
      </c>
      <c r="AN164">
        <f t="shared" si="63"/>
        <v>0</v>
      </c>
      <c r="AO164">
        <f t="shared" si="64"/>
        <v>0</v>
      </c>
      <c r="AP164">
        <f t="shared" si="65"/>
        <v>0</v>
      </c>
      <c r="AQ164">
        <v>7</v>
      </c>
      <c r="AR164">
        <v>0</v>
      </c>
      <c r="AS164">
        <v>0</v>
      </c>
    </row>
    <row r="165" spans="1:45" x14ac:dyDescent="0.2">
      <c r="A165" t="s">
        <v>34</v>
      </c>
      <c r="B165" t="s">
        <v>51</v>
      </c>
      <c r="C165">
        <v>17</v>
      </c>
      <c r="D165" t="s">
        <v>36</v>
      </c>
      <c r="E165" t="s">
        <v>37</v>
      </c>
      <c r="F165" t="s">
        <v>45</v>
      </c>
      <c r="G165">
        <f t="shared" si="49"/>
        <v>1</v>
      </c>
      <c r="H165">
        <v>1</v>
      </c>
      <c r="I165">
        <f t="shared" si="50"/>
        <v>0</v>
      </c>
      <c r="J165">
        <f t="shared" si="51"/>
        <v>1</v>
      </c>
      <c r="K165">
        <f t="shared" si="52"/>
        <v>0</v>
      </c>
      <c r="L165">
        <f t="shared" si="53"/>
        <v>0</v>
      </c>
      <c r="M165">
        <f t="shared" si="54"/>
        <v>0</v>
      </c>
      <c r="N165">
        <v>3</v>
      </c>
      <c r="O165">
        <f t="shared" si="44"/>
        <v>0</v>
      </c>
      <c r="P165">
        <f t="shared" si="45"/>
        <v>0</v>
      </c>
      <c r="Q165">
        <f t="shared" si="46"/>
        <v>0</v>
      </c>
      <c r="R165">
        <f t="shared" si="47"/>
        <v>1</v>
      </c>
      <c r="S165">
        <f t="shared" si="48"/>
        <v>0</v>
      </c>
      <c r="T165">
        <f t="shared" si="55"/>
        <v>0</v>
      </c>
      <c r="U165">
        <f t="shared" si="56"/>
        <v>0</v>
      </c>
      <c r="V165">
        <f t="shared" si="57"/>
        <v>0</v>
      </c>
      <c r="W165">
        <f t="shared" si="58"/>
        <v>0</v>
      </c>
      <c r="X165" t="s">
        <v>39</v>
      </c>
      <c r="Y165" t="s">
        <v>49</v>
      </c>
      <c r="Z165" t="s">
        <v>41</v>
      </c>
      <c r="AA165" t="s">
        <v>47</v>
      </c>
      <c r="AB165">
        <v>1</v>
      </c>
      <c r="AC165">
        <v>1</v>
      </c>
      <c r="AD165">
        <v>0</v>
      </c>
      <c r="AE165" t="s">
        <v>44</v>
      </c>
      <c r="AF165" t="s">
        <v>44</v>
      </c>
      <c r="AG165">
        <f t="shared" si="59"/>
        <v>0</v>
      </c>
      <c r="AH165" t="s">
        <v>44</v>
      </c>
      <c r="AI165">
        <f t="shared" si="60"/>
        <v>0</v>
      </c>
      <c r="AJ165" t="s">
        <v>43</v>
      </c>
      <c r="AK165">
        <f t="shared" si="61"/>
        <v>1</v>
      </c>
      <c r="AL165">
        <f t="shared" si="62"/>
        <v>0</v>
      </c>
      <c r="AM165">
        <v>2</v>
      </c>
      <c r="AN165">
        <f t="shared" si="63"/>
        <v>0</v>
      </c>
      <c r="AO165">
        <f t="shared" si="64"/>
        <v>0</v>
      </c>
      <c r="AP165">
        <f t="shared" si="65"/>
        <v>0</v>
      </c>
      <c r="AQ165">
        <v>10</v>
      </c>
      <c r="AR165">
        <v>10</v>
      </c>
      <c r="AS165">
        <v>10</v>
      </c>
    </row>
    <row r="166" spans="1:45" x14ac:dyDescent="0.2">
      <c r="A166" t="s">
        <v>34</v>
      </c>
      <c r="B166" t="s">
        <v>51</v>
      </c>
      <c r="C166">
        <v>17</v>
      </c>
      <c r="D166" t="s">
        <v>53</v>
      </c>
      <c r="E166" t="s">
        <v>48</v>
      </c>
      <c r="F166" t="s">
        <v>45</v>
      </c>
      <c r="G166">
        <f t="shared" si="49"/>
        <v>1</v>
      </c>
      <c r="H166">
        <v>1</v>
      </c>
      <c r="I166">
        <f t="shared" si="50"/>
        <v>0</v>
      </c>
      <c r="J166">
        <f t="shared" si="51"/>
        <v>1</v>
      </c>
      <c r="K166">
        <f t="shared" si="52"/>
        <v>0</v>
      </c>
      <c r="L166">
        <f t="shared" si="53"/>
        <v>0</v>
      </c>
      <c r="M166">
        <f t="shared" si="54"/>
        <v>0</v>
      </c>
      <c r="N166">
        <v>1</v>
      </c>
      <c r="O166">
        <f t="shared" si="44"/>
        <v>0</v>
      </c>
      <c r="P166">
        <f t="shared" si="45"/>
        <v>1</v>
      </c>
      <c r="Q166">
        <f t="shared" si="46"/>
        <v>0</v>
      </c>
      <c r="R166">
        <f t="shared" si="47"/>
        <v>0</v>
      </c>
      <c r="S166">
        <f t="shared" si="48"/>
        <v>0</v>
      </c>
      <c r="T166">
        <f t="shared" si="55"/>
        <v>0</v>
      </c>
      <c r="U166">
        <f t="shared" si="56"/>
        <v>0</v>
      </c>
      <c r="V166">
        <f t="shared" si="57"/>
        <v>0</v>
      </c>
      <c r="W166">
        <f t="shared" si="58"/>
        <v>0</v>
      </c>
      <c r="X166" t="s">
        <v>46</v>
      </c>
      <c r="Y166" t="s">
        <v>49</v>
      </c>
      <c r="Z166" t="s">
        <v>41</v>
      </c>
      <c r="AA166" t="s">
        <v>42</v>
      </c>
      <c r="AB166">
        <v>4</v>
      </c>
      <c r="AC166">
        <v>2</v>
      </c>
      <c r="AD166">
        <v>3</v>
      </c>
      <c r="AE166" t="s">
        <v>44</v>
      </c>
      <c r="AF166" t="s">
        <v>44</v>
      </c>
      <c r="AG166">
        <f t="shared" si="59"/>
        <v>0</v>
      </c>
      <c r="AH166" t="s">
        <v>44</v>
      </c>
      <c r="AI166">
        <f t="shared" si="60"/>
        <v>0</v>
      </c>
      <c r="AJ166" t="s">
        <v>44</v>
      </c>
      <c r="AK166">
        <f t="shared" si="61"/>
        <v>0</v>
      </c>
      <c r="AL166">
        <f t="shared" si="62"/>
        <v>0</v>
      </c>
      <c r="AM166">
        <v>0</v>
      </c>
      <c r="AN166">
        <f t="shared" si="63"/>
        <v>0</v>
      </c>
      <c r="AO166">
        <f t="shared" si="64"/>
        <v>0</v>
      </c>
      <c r="AP166">
        <f t="shared" si="65"/>
        <v>0</v>
      </c>
      <c r="AQ166">
        <v>5</v>
      </c>
      <c r="AR166">
        <v>8</v>
      </c>
      <c r="AS166">
        <v>7</v>
      </c>
    </row>
    <row r="167" spans="1:45" x14ac:dyDescent="0.2">
      <c r="A167" t="s">
        <v>34</v>
      </c>
      <c r="B167" t="s">
        <v>51</v>
      </c>
      <c r="C167">
        <v>16</v>
      </c>
      <c r="D167" t="s">
        <v>36</v>
      </c>
      <c r="E167" t="s">
        <v>37</v>
      </c>
      <c r="F167" t="s">
        <v>45</v>
      </c>
      <c r="G167">
        <f t="shared" si="49"/>
        <v>1</v>
      </c>
      <c r="H167">
        <v>3</v>
      </c>
      <c r="I167">
        <f t="shared" si="50"/>
        <v>0</v>
      </c>
      <c r="J167">
        <f t="shared" si="51"/>
        <v>0</v>
      </c>
      <c r="K167">
        <f t="shared" si="52"/>
        <v>0</v>
      </c>
      <c r="L167">
        <f t="shared" si="53"/>
        <v>1</v>
      </c>
      <c r="M167">
        <f t="shared" si="54"/>
        <v>0</v>
      </c>
      <c r="N167">
        <v>2</v>
      </c>
      <c r="O167">
        <f t="shared" si="44"/>
        <v>0</v>
      </c>
      <c r="P167">
        <f t="shared" si="45"/>
        <v>0</v>
      </c>
      <c r="Q167">
        <f t="shared" si="46"/>
        <v>1</v>
      </c>
      <c r="R167">
        <f t="shared" si="47"/>
        <v>0</v>
      </c>
      <c r="S167">
        <f t="shared" si="48"/>
        <v>0</v>
      </c>
      <c r="T167">
        <f t="shared" si="55"/>
        <v>0</v>
      </c>
      <c r="U167">
        <f t="shared" si="56"/>
        <v>0</v>
      </c>
      <c r="V167">
        <f t="shared" si="57"/>
        <v>0</v>
      </c>
      <c r="W167">
        <f t="shared" si="58"/>
        <v>0</v>
      </c>
      <c r="X167" t="s">
        <v>49</v>
      </c>
      <c r="Y167" t="s">
        <v>49</v>
      </c>
      <c r="Z167" t="s">
        <v>41</v>
      </c>
      <c r="AA167" t="s">
        <v>42</v>
      </c>
      <c r="AB167">
        <v>2</v>
      </c>
      <c r="AC167">
        <v>1</v>
      </c>
      <c r="AD167">
        <v>1</v>
      </c>
      <c r="AE167" t="s">
        <v>44</v>
      </c>
      <c r="AF167" t="s">
        <v>43</v>
      </c>
      <c r="AG167">
        <f t="shared" si="59"/>
        <v>1</v>
      </c>
      <c r="AH167" t="s">
        <v>44</v>
      </c>
      <c r="AI167">
        <f t="shared" si="60"/>
        <v>0</v>
      </c>
      <c r="AJ167" t="s">
        <v>44</v>
      </c>
      <c r="AK167">
        <f t="shared" si="61"/>
        <v>0</v>
      </c>
      <c r="AL167">
        <f t="shared" si="62"/>
        <v>0</v>
      </c>
      <c r="AM167">
        <v>16</v>
      </c>
      <c r="AN167">
        <f t="shared" si="63"/>
        <v>0</v>
      </c>
      <c r="AO167">
        <f t="shared" si="64"/>
        <v>0</v>
      </c>
      <c r="AP167">
        <f t="shared" si="65"/>
        <v>0</v>
      </c>
      <c r="AQ167">
        <v>12</v>
      </c>
      <c r="AR167">
        <v>11</v>
      </c>
      <c r="AS167">
        <v>12</v>
      </c>
    </row>
    <row r="168" spans="1:45" x14ac:dyDescent="0.2">
      <c r="A168" t="s">
        <v>34</v>
      </c>
      <c r="B168" t="s">
        <v>51</v>
      </c>
      <c r="C168">
        <v>16</v>
      </c>
      <c r="D168" t="s">
        <v>36</v>
      </c>
      <c r="E168" t="s">
        <v>37</v>
      </c>
      <c r="F168" t="s">
        <v>45</v>
      </c>
      <c r="G168">
        <f t="shared" si="49"/>
        <v>1</v>
      </c>
      <c r="H168">
        <v>2</v>
      </c>
      <c r="I168">
        <f t="shared" si="50"/>
        <v>0</v>
      </c>
      <c r="J168">
        <f t="shared" si="51"/>
        <v>0</v>
      </c>
      <c r="K168">
        <f t="shared" si="52"/>
        <v>1</v>
      </c>
      <c r="L168">
        <f t="shared" si="53"/>
        <v>0</v>
      </c>
      <c r="M168">
        <f t="shared" si="54"/>
        <v>0</v>
      </c>
      <c r="N168">
        <v>2</v>
      </c>
      <c r="O168">
        <f t="shared" si="44"/>
        <v>0</v>
      </c>
      <c r="P168">
        <f t="shared" si="45"/>
        <v>0</v>
      </c>
      <c r="Q168">
        <f t="shared" si="46"/>
        <v>1</v>
      </c>
      <c r="R168">
        <f t="shared" si="47"/>
        <v>0</v>
      </c>
      <c r="S168">
        <f t="shared" si="48"/>
        <v>0</v>
      </c>
      <c r="T168">
        <f t="shared" si="55"/>
        <v>0</v>
      </c>
      <c r="U168">
        <f t="shared" si="56"/>
        <v>0</v>
      </c>
      <c r="V168">
        <f t="shared" si="57"/>
        <v>0</v>
      </c>
      <c r="W168">
        <f t="shared" si="58"/>
        <v>0</v>
      </c>
      <c r="X168" t="s">
        <v>46</v>
      </c>
      <c r="Y168" t="s">
        <v>46</v>
      </c>
      <c r="Z168" t="s">
        <v>41</v>
      </c>
      <c r="AA168" t="s">
        <v>47</v>
      </c>
      <c r="AB168">
        <v>1</v>
      </c>
      <c r="AC168">
        <v>2</v>
      </c>
      <c r="AD168">
        <v>0</v>
      </c>
      <c r="AE168" t="s">
        <v>44</v>
      </c>
      <c r="AF168" t="s">
        <v>44</v>
      </c>
      <c r="AG168">
        <f t="shared" si="59"/>
        <v>0</v>
      </c>
      <c r="AH168" t="s">
        <v>44</v>
      </c>
      <c r="AI168">
        <f t="shared" si="60"/>
        <v>0</v>
      </c>
      <c r="AJ168" t="s">
        <v>43</v>
      </c>
      <c r="AK168">
        <f t="shared" si="61"/>
        <v>1</v>
      </c>
      <c r="AL168">
        <f t="shared" si="62"/>
        <v>0</v>
      </c>
      <c r="AM168">
        <v>4</v>
      </c>
      <c r="AN168">
        <f t="shared" si="63"/>
        <v>0</v>
      </c>
      <c r="AO168">
        <f t="shared" si="64"/>
        <v>0</v>
      </c>
      <c r="AP168">
        <f t="shared" si="65"/>
        <v>0</v>
      </c>
      <c r="AQ168">
        <v>10</v>
      </c>
      <c r="AR168">
        <v>10</v>
      </c>
      <c r="AS168">
        <v>10</v>
      </c>
    </row>
    <row r="169" spans="1:45" x14ac:dyDescent="0.2">
      <c r="A169" t="s">
        <v>34</v>
      </c>
      <c r="B169" t="s">
        <v>35</v>
      </c>
      <c r="C169">
        <v>16</v>
      </c>
      <c r="D169" t="s">
        <v>36</v>
      </c>
      <c r="E169" t="s">
        <v>37</v>
      </c>
      <c r="F169" t="s">
        <v>45</v>
      </c>
      <c r="G169">
        <f t="shared" si="49"/>
        <v>1</v>
      </c>
      <c r="H169">
        <v>4</v>
      </c>
      <c r="I169">
        <f t="shared" si="50"/>
        <v>0</v>
      </c>
      <c r="J169">
        <f t="shared" si="51"/>
        <v>0</v>
      </c>
      <c r="K169">
        <f t="shared" si="52"/>
        <v>0</v>
      </c>
      <c r="L169">
        <f t="shared" si="53"/>
        <v>0</v>
      </c>
      <c r="M169">
        <f t="shared" si="54"/>
        <v>1</v>
      </c>
      <c r="N169">
        <v>2</v>
      </c>
      <c r="O169">
        <f t="shared" si="44"/>
        <v>0</v>
      </c>
      <c r="P169">
        <f t="shared" si="45"/>
        <v>0</v>
      </c>
      <c r="Q169">
        <f t="shared" si="46"/>
        <v>1</v>
      </c>
      <c r="R169">
        <f t="shared" si="47"/>
        <v>0</v>
      </c>
      <c r="S169">
        <f t="shared" si="48"/>
        <v>0</v>
      </c>
      <c r="T169">
        <f t="shared" si="55"/>
        <v>0</v>
      </c>
      <c r="U169">
        <f t="shared" si="56"/>
        <v>0</v>
      </c>
      <c r="V169">
        <f t="shared" si="57"/>
        <v>1</v>
      </c>
      <c r="W169">
        <f t="shared" si="58"/>
        <v>0</v>
      </c>
      <c r="X169" t="s">
        <v>29</v>
      </c>
      <c r="Y169" t="s">
        <v>49</v>
      </c>
      <c r="Z169" t="s">
        <v>50</v>
      </c>
      <c r="AA169" t="s">
        <v>47</v>
      </c>
      <c r="AB169">
        <v>1</v>
      </c>
      <c r="AC169">
        <v>2</v>
      </c>
      <c r="AD169">
        <v>0</v>
      </c>
      <c r="AE169" t="s">
        <v>44</v>
      </c>
      <c r="AF169" t="s">
        <v>44</v>
      </c>
      <c r="AG169">
        <f t="shared" si="59"/>
        <v>0</v>
      </c>
      <c r="AH169" t="s">
        <v>43</v>
      </c>
      <c r="AI169">
        <f t="shared" si="60"/>
        <v>1</v>
      </c>
      <c r="AJ169" t="s">
        <v>43</v>
      </c>
      <c r="AK169">
        <f t="shared" si="61"/>
        <v>1</v>
      </c>
      <c r="AL169">
        <f t="shared" si="62"/>
        <v>1</v>
      </c>
      <c r="AM169">
        <v>0</v>
      </c>
      <c r="AN169">
        <f t="shared" si="63"/>
        <v>0</v>
      </c>
      <c r="AO169">
        <f t="shared" si="64"/>
        <v>1</v>
      </c>
      <c r="AP169">
        <f t="shared" si="65"/>
        <v>0</v>
      </c>
      <c r="AQ169">
        <v>14</v>
      </c>
      <c r="AR169">
        <v>15</v>
      </c>
      <c r="AS169">
        <v>16</v>
      </c>
    </row>
    <row r="170" spans="1:45" x14ac:dyDescent="0.2">
      <c r="A170" t="s">
        <v>34</v>
      </c>
      <c r="B170" t="s">
        <v>35</v>
      </c>
      <c r="C170">
        <v>16</v>
      </c>
      <c r="D170" t="s">
        <v>36</v>
      </c>
      <c r="E170" t="s">
        <v>37</v>
      </c>
      <c r="F170" t="s">
        <v>45</v>
      </c>
      <c r="G170">
        <f t="shared" si="49"/>
        <v>1</v>
      </c>
      <c r="H170">
        <v>2</v>
      </c>
      <c r="I170">
        <f t="shared" si="50"/>
        <v>0</v>
      </c>
      <c r="J170">
        <f t="shared" si="51"/>
        <v>0</v>
      </c>
      <c r="K170">
        <f t="shared" si="52"/>
        <v>1</v>
      </c>
      <c r="L170">
        <f t="shared" si="53"/>
        <v>0</v>
      </c>
      <c r="M170">
        <f t="shared" si="54"/>
        <v>0</v>
      </c>
      <c r="N170">
        <v>2</v>
      </c>
      <c r="O170">
        <f t="shared" si="44"/>
        <v>0</v>
      </c>
      <c r="P170">
        <f t="shared" si="45"/>
        <v>0</v>
      </c>
      <c r="Q170">
        <f t="shared" si="46"/>
        <v>1</v>
      </c>
      <c r="R170">
        <f t="shared" si="47"/>
        <v>0</v>
      </c>
      <c r="S170">
        <f t="shared" si="48"/>
        <v>0</v>
      </c>
      <c r="T170">
        <f t="shared" si="55"/>
        <v>0</v>
      </c>
      <c r="U170">
        <f t="shared" si="56"/>
        <v>0</v>
      </c>
      <c r="V170">
        <f t="shared" si="57"/>
        <v>0</v>
      </c>
      <c r="W170">
        <f t="shared" si="58"/>
        <v>0</v>
      </c>
      <c r="X170" t="s">
        <v>46</v>
      </c>
      <c r="Y170" t="s">
        <v>46</v>
      </c>
      <c r="Z170" t="s">
        <v>50</v>
      </c>
      <c r="AA170" t="s">
        <v>42</v>
      </c>
      <c r="AB170">
        <v>1</v>
      </c>
      <c r="AC170">
        <v>2</v>
      </c>
      <c r="AD170">
        <v>0</v>
      </c>
      <c r="AE170" t="s">
        <v>44</v>
      </c>
      <c r="AF170" t="s">
        <v>43</v>
      </c>
      <c r="AG170">
        <f t="shared" si="59"/>
        <v>1</v>
      </c>
      <c r="AH170" t="s">
        <v>43</v>
      </c>
      <c r="AI170">
        <f t="shared" si="60"/>
        <v>1</v>
      </c>
      <c r="AJ170" t="s">
        <v>43</v>
      </c>
      <c r="AK170">
        <f t="shared" si="61"/>
        <v>1</v>
      </c>
      <c r="AL170">
        <f t="shared" si="62"/>
        <v>1</v>
      </c>
      <c r="AM170">
        <v>0</v>
      </c>
      <c r="AN170">
        <f t="shared" si="63"/>
        <v>0</v>
      </c>
      <c r="AO170">
        <f t="shared" si="64"/>
        <v>0</v>
      </c>
      <c r="AP170">
        <f t="shared" si="65"/>
        <v>0</v>
      </c>
      <c r="AQ170">
        <v>6</v>
      </c>
      <c r="AR170">
        <v>7</v>
      </c>
      <c r="AS170">
        <v>0</v>
      </c>
    </row>
    <row r="171" spans="1:45" x14ac:dyDescent="0.2">
      <c r="A171" t="s">
        <v>34</v>
      </c>
      <c r="B171" t="s">
        <v>35</v>
      </c>
      <c r="C171">
        <v>16</v>
      </c>
      <c r="D171" t="s">
        <v>36</v>
      </c>
      <c r="E171" t="s">
        <v>37</v>
      </c>
      <c r="F171" t="s">
        <v>45</v>
      </c>
      <c r="G171">
        <f t="shared" si="49"/>
        <v>1</v>
      </c>
      <c r="H171">
        <v>4</v>
      </c>
      <c r="I171">
        <f t="shared" si="50"/>
        <v>0</v>
      </c>
      <c r="J171">
        <f t="shared" si="51"/>
        <v>0</v>
      </c>
      <c r="K171">
        <f t="shared" si="52"/>
        <v>0</v>
      </c>
      <c r="L171">
        <f t="shared" si="53"/>
        <v>0</v>
      </c>
      <c r="M171">
        <f t="shared" si="54"/>
        <v>1</v>
      </c>
      <c r="N171">
        <v>4</v>
      </c>
      <c r="O171">
        <f t="shared" si="44"/>
        <v>0</v>
      </c>
      <c r="P171">
        <f t="shared" si="45"/>
        <v>0</v>
      </c>
      <c r="Q171">
        <f t="shared" si="46"/>
        <v>0</v>
      </c>
      <c r="R171">
        <f t="shared" si="47"/>
        <v>0</v>
      </c>
      <c r="S171">
        <f t="shared" si="48"/>
        <v>1</v>
      </c>
      <c r="T171">
        <f t="shared" si="55"/>
        <v>1</v>
      </c>
      <c r="U171">
        <f t="shared" si="56"/>
        <v>0</v>
      </c>
      <c r="V171">
        <f t="shared" si="57"/>
        <v>0</v>
      </c>
      <c r="W171">
        <f t="shared" si="58"/>
        <v>0</v>
      </c>
      <c r="X171" t="s">
        <v>29</v>
      </c>
      <c r="Y171" t="s">
        <v>29</v>
      </c>
      <c r="Z171" t="s">
        <v>52</v>
      </c>
      <c r="AA171" t="s">
        <v>42</v>
      </c>
      <c r="AB171">
        <v>1</v>
      </c>
      <c r="AC171">
        <v>2</v>
      </c>
      <c r="AD171">
        <v>0</v>
      </c>
      <c r="AE171" t="s">
        <v>44</v>
      </c>
      <c r="AF171" t="s">
        <v>43</v>
      </c>
      <c r="AG171">
        <f t="shared" si="59"/>
        <v>1</v>
      </c>
      <c r="AH171" t="s">
        <v>43</v>
      </c>
      <c r="AI171">
        <f t="shared" si="60"/>
        <v>1</v>
      </c>
      <c r="AJ171" t="s">
        <v>43</v>
      </c>
      <c r="AK171">
        <f t="shared" si="61"/>
        <v>1</v>
      </c>
      <c r="AL171">
        <f t="shared" si="62"/>
        <v>1</v>
      </c>
      <c r="AM171">
        <v>0</v>
      </c>
      <c r="AN171">
        <f t="shared" si="63"/>
        <v>0</v>
      </c>
      <c r="AO171">
        <f t="shared" si="64"/>
        <v>1</v>
      </c>
      <c r="AP171">
        <f t="shared" si="65"/>
        <v>0</v>
      </c>
      <c r="AQ171">
        <v>14</v>
      </c>
      <c r="AR171">
        <v>14</v>
      </c>
      <c r="AS171">
        <v>14</v>
      </c>
    </row>
    <row r="172" spans="1:45" x14ac:dyDescent="0.2">
      <c r="A172" t="s">
        <v>34</v>
      </c>
      <c r="B172" t="s">
        <v>51</v>
      </c>
      <c r="C172">
        <v>16</v>
      </c>
      <c r="D172" t="s">
        <v>36</v>
      </c>
      <c r="E172" t="s">
        <v>37</v>
      </c>
      <c r="F172" t="s">
        <v>45</v>
      </c>
      <c r="G172">
        <f t="shared" si="49"/>
        <v>1</v>
      </c>
      <c r="H172">
        <v>3</v>
      </c>
      <c r="I172">
        <f t="shared" si="50"/>
        <v>0</v>
      </c>
      <c r="J172">
        <f t="shared" si="51"/>
        <v>0</v>
      </c>
      <c r="K172">
        <f t="shared" si="52"/>
        <v>0</v>
      </c>
      <c r="L172">
        <f t="shared" si="53"/>
        <v>1</v>
      </c>
      <c r="M172">
        <f t="shared" si="54"/>
        <v>0</v>
      </c>
      <c r="N172">
        <v>4</v>
      </c>
      <c r="O172">
        <f t="shared" si="44"/>
        <v>0</v>
      </c>
      <c r="P172">
        <f t="shared" si="45"/>
        <v>0</v>
      </c>
      <c r="Q172">
        <f t="shared" si="46"/>
        <v>0</v>
      </c>
      <c r="R172">
        <f t="shared" si="47"/>
        <v>0</v>
      </c>
      <c r="S172">
        <f t="shared" si="48"/>
        <v>1</v>
      </c>
      <c r="T172">
        <f t="shared" si="55"/>
        <v>0</v>
      </c>
      <c r="U172">
        <f t="shared" si="56"/>
        <v>0</v>
      </c>
      <c r="V172">
        <f t="shared" si="57"/>
        <v>0</v>
      </c>
      <c r="W172">
        <f t="shared" si="58"/>
        <v>1</v>
      </c>
      <c r="X172" t="s">
        <v>46</v>
      </c>
      <c r="Y172" t="s">
        <v>46</v>
      </c>
      <c r="Z172" t="s">
        <v>41</v>
      </c>
      <c r="AA172" t="s">
        <v>47</v>
      </c>
      <c r="AB172">
        <v>3</v>
      </c>
      <c r="AC172">
        <v>1</v>
      </c>
      <c r="AD172">
        <v>2</v>
      </c>
      <c r="AE172" t="s">
        <v>44</v>
      </c>
      <c r="AF172" t="s">
        <v>43</v>
      </c>
      <c r="AG172">
        <f t="shared" si="59"/>
        <v>1</v>
      </c>
      <c r="AH172" t="s">
        <v>44</v>
      </c>
      <c r="AI172">
        <f t="shared" si="60"/>
        <v>0</v>
      </c>
      <c r="AJ172" t="s">
        <v>43</v>
      </c>
      <c r="AK172">
        <f t="shared" si="61"/>
        <v>1</v>
      </c>
      <c r="AL172">
        <f t="shared" si="62"/>
        <v>0</v>
      </c>
      <c r="AM172">
        <v>0</v>
      </c>
      <c r="AN172">
        <f t="shared" si="63"/>
        <v>0</v>
      </c>
      <c r="AO172">
        <f t="shared" si="64"/>
        <v>0</v>
      </c>
      <c r="AP172">
        <f t="shared" si="65"/>
        <v>0</v>
      </c>
      <c r="AQ172">
        <v>6</v>
      </c>
      <c r="AR172">
        <v>5</v>
      </c>
      <c r="AS172">
        <v>0</v>
      </c>
    </row>
    <row r="173" spans="1:45" x14ac:dyDescent="0.2">
      <c r="A173" t="s">
        <v>34</v>
      </c>
      <c r="B173" t="s">
        <v>51</v>
      </c>
      <c r="C173">
        <v>16</v>
      </c>
      <c r="D173" t="s">
        <v>36</v>
      </c>
      <c r="E173" t="s">
        <v>37</v>
      </c>
      <c r="F173" t="s">
        <v>45</v>
      </c>
      <c r="G173">
        <f t="shared" si="49"/>
        <v>1</v>
      </c>
      <c r="H173">
        <v>1</v>
      </c>
      <c r="I173">
        <f t="shared" si="50"/>
        <v>0</v>
      </c>
      <c r="J173">
        <f t="shared" si="51"/>
        <v>1</v>
      </c>
      <c r="K173">
        <f t="shared" si="52"/>
        <v>0</v>
      </c>
      <c r="L173">
        <f t="shared" si="53"/>
        <v>0</v>
      </c>
      <c r="M173">
        <f t="shared" si="54"/>
        <v>0</v>
      </c>
      <c r="N173">
        <v>0</v>
      </c>
      <c r="O173">
        <f t="shared" si="44"/>
        <v>1</v>
      </c>
      <c r="P173">
        <f t="shared" si="45"/>
        <v>0</v>
      </c>
      <c r="Q173">
        <f t="shared" si="46"/>
        <v>0</v>
      </c>
      <c r="R173">
        <f t="shared" si="47"/>
        <v>0</v>
      </c>
      <c r="S173">
        <f t="shared" si="48"/>
        <v>0</v>
      </c>
      <c r="T173">
        <f t="shared" si="55"/>
        <v>0</v>
      </c>
      <c r="U173">
        <f t="shared" si="56"/>
        <v>0</v>
      </c>
      <c r="V173">
        <f t="shared" si="57"/>
        <v>0</v>
      </c>
      <c r="W173">
        <f t="shared" si="58"/>
        <v>0</v>
      </c>
      <c r="X173" t="s">
        <v>46</v>
      </c>
      <c r="Y173" t="s">
        <v>46</v>
      </c>
      <c r="Z173" t="s">
        <v>52</v>
      </c>
      <c r="AA173" t="s">
        <v>42</v>
      </c>
      <c r="AB173">
        <v>2</v>
      </c>
      <c r="AC173">
        <v>2</v>
      </c>
      <c r="AD173">
        <v>0</v>
      </c>
      <c r="AE173" t="s">
        <v>44</v>
      </c>
      <c r="AF173" t="s">
        <v>43</v>
      </c>
      <c r="AG173">
        <f t="shared" si="59"/>
        <v>1</v>
      </c>
      <c r="AH173" t="s">
        <v>43</v>
      </c>
      <c r="AI173">
        <f t="shared" si="60"/>
        <v>1</v>
      </c>
      <c r="AJ173" t="s">
        <v>43</v>
      </c>
      <c r="AK173">
        <f t="shared" si="61"/>
        <v>1</v>
      </c>
      <c r="AL173">
        <f t="shared" si="62"/>
        <v>1</v>
      </c>
      <c r="AM173">
        <v>2</v>
      </c>
      <c r="AN173">
        <f t="shared" si="63"/>
        <v>0</v>
      </c>
      <c r="AO173">
        <f t="shared" si="64"/>
        <v>0</v>
      </c>
      <c r="AP173">
        <f t="shared" si="65"/>
        <v>0</v>
      </c>
      <c r="AQ173">
        <v>13</v>
      </c>
      <c r="AR173">
        <v>15</v>
      </c>
      <c r="AS173">
        <v>16</v>
      </c>
    </row>
    <row r="174" spans="1:45" x14ac:dyDescent="0.2">
      <c r="A174" t="s">
        <v>34</v>
      </c>
      <c r="B174" t="s">
        <v>51</v>
      </c>
      <c r="C174">
        <v>17</v>
      </c>
      <c r="D174" t="s">
        <v>36</v>
      </c>
      <c r="E174" t="s">
        <v>48</v>
      </c>
      <c r="F174" t="s">
        <v>45</v>
      </c>
      <c r="G174">
        <f t="shared" si="49"/>
        <v>1</v>
      </c>
      <c r="H174">
        <v>4</v>
      </c>
      <c r="I174">
        <f t="shared" si="50"/>
        <v>0</v>
      </c>
      <c r="J174">
        <f t="shared" si="51"/>
        <v>0</v>
      </c>
      <c r="K174">
        <f t="shared" si="52"/>
        <v>0</v>
      </c>
      <c r="L174">
        <f t="shared" si="53"/>
        <v>0</v>
      </c>
      <c r="M174">
        <f t="shared" si="54"/>
        <v>1</v>
      </c>
      <c r="N174">
        <v>4</v>
      </c>
      <c r="O174">
        <f t="shared" si="44"/>
        <v>0</v>
      </c>
      <c r="P174">
        <f t="shared" si="45"/>
        <v>0</v>
      </c>
      <c r="Q174">
        <f t="shared" si="46"/>
        <v>0</v>
      </c>
      <c r="R174">
        <f t="shared" si="47"/>
        <v>0</v>
      </c>
      <c r="S174">
        <f t="shared" si="48"/>
        <v>1</v>
      </c>
      <c r="T174">
        <f t="shared" si="55"/>
        <v>1</v>
      </c>
      <c r="U174">
        <f t="shared" si="56"/>
        <v>0</v>
      </c>
      <c r="V174">
        <f t="shared" si="57"/>
        <v>0</v>
      </c>
      <c r="W174">
        <f t="shared" si="58"/>
        <v>0</v>
      </c>
      <c r="X174" t="s">
        <v>40</v>
      </c>
      <c r="Y174" t="s">
        <v>46</v>
      </c>
      <c r="Z174" t="s">
        <v>52</v>
      </c>
      <c r="AA174" t="s">
        <v>42</v>
      </c>
      <c r="AB174">
        <v>1</v>
      </c>
      <c r="AC174">
        <v>2</v>
      </c>
      <c r="AD174">
        <v>0</v>
      </c>
      <c r="AE174" t="s">
        <v>44</v>
      </c>
      <c r="AF174" t="s">
        <v>43</v>
      </c>
      <c r="AG174">
        <f t="shared" si="59"/>
        <v>1</v>
      </c>
      <c r="AH174" t="s">
        <v>43</v>
      </c>
      <c r="AI174">
        <f t="shared" si="60"/>
        <v>1</v>
      </c>
      <c r="AJ174" t="s">
        <v>43</v>
      </c>
      <c r="AK174">
        <f t="shared" si="61"/>
        <v>1</v>
      </c>
      <c r="AL174">
        <f t="shared" si="62"/>
        <v>1</v>
      </c>
      <c r="AM174">
        <v>0</v>
      </c>
      <c r="AN174">
        <f t="shared" si="63"/>
        <v>0</v>
      </c>
      <c r="AO174">
        <f t="shared" si="64"/>
        <v>1</v>
      </c>
      <c r="AP174">
        <f t="shared" si="65"/>
        <v>0</v>
      </c>
      <c r="AQ174">
        <v>13</v>
      </c>
      <c r="AR174">
        <v>11</v>
      </c>
      <c r="AS174">
        <v>10</v>
      </c>
    </row>
    <row r="175" spans="1:45" x14ac:dyDescent="0.2">
      <c r="A175" t="s">
        <v>34</v>
      </c>
      <c r="B175" t="s">
        <v>35</v>
      </c>
      <c r="C175">
        <v>16</v>
      </c>
      <c r="D175" t="s">
        <v>36</v>
      </c>
      <c r="E175" t="s">
        <v>37</v>
      </c>
      <c r="F175" t="s">
        <v>45</v>
      </c>
      <c r="G175">
        <f t="shared" si="49"/>
        <v>1</v>
      </c>
      <c r="H175">
        <v>1</v>
      </c>
      <c r="I175">
        <f t="shared" si="50"/>
        <v>0</v>
      </c>
      <c r="J175">
        <f t="shared" si="51"/>
        <v>1</v>
      </c>
      <c r="K175">
        <f t="shared" si="52"/>
        <v>0</v>
      </c>
      <c r="L175">
        <f t="shared" si="53"/>
        <v>0</v>
      </c>
      <c r="M175">
        <f t="shared" si="54"/>
        <v>0</v>
      </c>
      <c r="N175">
        <v>3</v>
      </c>
      <c r="O175">
        <f t="shared" si="44"/>
        <v>0</v>
      </c>
      <c r="P175">
        <f t="shared" si="45"/>
        <v>0</v>
      </c>
      <c r="Q175">
        <f t="shared" si="46"/>
        <v>0</v>
      </c>
      <c r="R175">
        <f t="shared" si="47"/>
        <v>1</v>
      </c>
      <c r="S175">
        <f t="shared" si="48"/>
        <v>0</v>
      </c>
      <c r="T175">
        <f t="shared" si="55"/>
        <v>0</v>
      </c>
      <c r="U175">
        <f t="shared" si="56"/>
        <v>0</v>
      </c>
      <c r="V175">
        <f t="shared" si="57"/>
        <v>0</v>
      </c>
      <c r="W175">
        <f t="shared" si="58"/>
        <v>0</v>
      </c>
      <c r="X175" t="s">
        <v>39</v>
      </c>
      <c r="Y175" t="s">
        <v>49</v>
      </c>
      <c r="Z175" t="s">
        <v>50</v>
      </c>
      <c r="AA175" t="s">
        <v>42</v>
      </c>
      <c r="AB175">
        <v>1</v>
      </c>
      <c r="AC175">
        <v>2</v>
      </c>
      <c r="AD175">
        <v>3</v>
      </c>
      <c r="AE175" t="s">
        <v>44</v>
      </c>
      <c r="AF175" t="s">
        <v>44</v>
      </c>
      <c r="AG175">
        <f t="shared" si="59"/>
        <v>0</v>
      </c>
      <c r="AH175" t="s">
        <v>44</v>
      </c>
      <c r="AI175">
        <f t="shared" si="60"/>
        <v>0</v>
      </c>
      <c r="AJ175" t="s">
        <v>43</v>
      </c>
      <c r="AK175">
        <f t="shared" si="61"/>
        <v>1</v>
      </c>
      <c r="AL175">
        <f t="shared" si="62"/>
        <v>0</v>
      </c>
      <c r="AM175">
        <v>0</v>
      </c>
      <c r="AN175">
        <f t="shared" si="63"/>
        <v>0</v>
      </c>
      <c r="AO175">
        <f t="shared" si="64"/>
        <v>0</v>
      </c>
      <c r="AP175">
        <f t="shared" si="65"/>
        <v>0</v>
      </c>
      <c r="AQ175">
        <v>8</v>
      </c>
      <c r="AR175">
        <v>7</v>
      </c>
      <c r="AS175">
        <v>0</v>
      </c>
    </row>
    <row r="176" spans="1:45" x14ac:dyDescent="0.2">
      <c r="A176" t="s">
        <v>34</v>
      </c>
      <c r="B176" t="s">
        <v>35</v>
      </c>
      <c r="C176">
        <v>16</v>
      </c>
      <c r="D176" t="s">
        <v>36</v>
      </c>
      <c r="E176" t="s">
        <v>48</v>
      </c>
      <c r="F176" t="s">
        <v>45</v>
      </c>
      <c r="G176">
        <f t="shared" si="49"/>
        <v>1</v>
      </c>
      <c r="H176">
        <v>3</v>
      </c>
      <c r="I176">
        <f t="shared" si="50"/>
        <v>0</v>
      </c>
      <c r="J176">
        <f t="shared" si="51"/>
        <v>0</v>
      </c>
      <c r="K176">
        <f t="shared" si="52"/>
        <v>0</v>
      </c>
      <c r="L176">
        <f t="shared" si="53"/>
        <v>1</v>
      </c>
      <c r="M176">
        <f t="shared" si="54"/>
        <v>0</v>
      </c>
      <c r="N176">
        <v>3</v>
      </c>
      <c r="O176">
        <f t="shared" si="44"/>
        <v>0</v>
      </c>
      <c r="P176">
        <f t="shared" si="45"/>
        <v>0</v>
      </c>
      <c r="Q176">
        <f t="shared" si="46"/>
        <v>0</v>
      </c>
      <c r="R176">
        <f t="shared" si="47"/>
        <v>1</v>
      </c>
      <c r="S176">
        <f t="shared" si="48"/>
        <v>0</v>
      </c>
      <c r="T176">
        <f t="shared" si="55"/>
        <v>0</v>
      </c>
      <c r="U176">
        <f t="shared" si="56"/>
        <v>0</v>
      </c>
      <c r="V176">
        <f t="shared" si="57"/>
        <v>0</v>
      </c>
      <c r="W176">
        <f t="shared" si="58"/>
        <v>0</v>
      </c>
      <c r="X176" t="s">
        <v>46</v>
      </c>
      <c r="Y176" t="s">
        <v>46</v>
      </c>
      <c r="Z176" t="s">
        <v>52</v>
      </c>
      <c r="AA176" t="s">
        <v>42</v>
      </c>
      <c r="AB176">
        <v>2</v>
      </c>
      <c r="AC176">
        <v>2</v>
      </c>
      <c r="AD176">
        <v>0</v>
      </c>
      <c r="AE176" t="s">
        <v>44</v>
      </c>
      <c r="AF176" t="s">
        <v>43</v>
      </c>
      <c r="AG176">
        <f t="shared" si="59"/>
        <v>1</v>
      </c>
      <c r="AH176" t="s">
        <v>43</v>
      </c>
      <c r="AI176">
        <f t="shared" si="60"/>
        <v>1</v>
      </c>
      <c r="AJ176" t="s">
        <v>43</v>
      </c>
      <c r="AK176">
        <f t="shared" si="61"/>
        <v>1</v>
      </c>
      <c r="AL176">
        <f t="shared" si="62"/>
        <v>1</v>
      </c>
      <c r="AM176">
        <v>4</v>
      </c>
      <c r="AN176">
        <f t="shared" si="63"/>
        <v>0</v>
      </c>
      <c r="AO176">
        <f t="shared" si="64"/>
        <v>0</v>
      </c>
      <c r="AP176">
        <f t="shared" si="65"/>
        <v>1</v>
      </c>
      <c r="AQ176">
        <v>10</v>
      </c>
      <c r="AR176">
        <v>11</v>
      </c>
      <c r="AS176">
        <v>9</v>
      </c>
    </row>
    <row r="177" spans="1:45" x14ac:dyDescent="0.2">
      <c r="A177" t="s">
        <v>34</v>
      </c>
      <c r="B177" t="s">
        <v>51</v>
      </c>
      <c r="C177">
        <v>17</v>
      </c>
      <c r="D177" t="s">
        <v>36</v>
      </c>
      <c r="E177" t="s">
        <v>48</v>
      </c>
      <c r="F177" t="s">
        <v>45</v>
      </c>
      <c r="G177">
        <f t="shared" si="49"/>
        <v>1</v>
      </c>
      <c r="H177">
        <v>4</v>
      </c>
      <c r="I177">
        <f t="shared" si="50"/>
        <v>0</v>
      </c>
      <c r="J177">
        <f t="shared" si="51"/>
        <v>0</v>
      </c>
      <c r="K177">
        <f t="shared" si="52"/>
        <v>0</v>
      </c>
      <c r="L177">
        <f t="shared" si="53"/>
        <v>0</v>
      </c>
      <c r="M177">
        <f t="shared" si="54"/>
        <v>1</v>
      </c>
      <c r="N177">
        <v>3</v>
      </c>
      <c r="O177">
        <f t="shared" si="44"/>
        <v>0</v>
      </c>
      <c r="P177">
        <f t="shared" si="45"/>
        <v>0</v>
      </c>
      <c r="Q177">
        <f t="shared" si="46"/>
        <v>0</v>
      </c>
      <c r="R177">
        <f t="shared" si="47"/>
        <v>1</v>
      </c>
      <c r="S177">
        <f t="shared" si="48"/>
        <v>0</v>
      </c>
      <c r="T177">
        <f t="shared" si="55"/>
        <v>0</v>
      </c>
      <c r="U177">
        <f t="shared" si="56"/>
        <v>1</v>
      </c>
      <c r="V177">
        <f t="shared" si="57"/>
        <v>0</v>
      </c>
      <c r="W177">
        <f t="shared" si="58"/>
        <v>0</v>
      </c>
      <c r="X177" t="s">
        <v>40</v>
      </c>
      <c r="Y177" t="s">
        <v>46</v>
      </c>
      <c r="Z177" t="s">
        <v>41</v>
      </c>
      <c r="AA177" t="s">
        <v>42</v>
      </c>
      <c r="AB177">
        <v>2</v>
      </c>
      <c r="AC177">
        <v>2</v>
      </c>
      <c r="AD177">
        <v>0</v>
      </c>
      <c r="AE177" t="s">
        <v>44</v>
      </c>
      <c r="AF177" t="s">
        <v>44</v>
      </c>
      <c r="AG177">
        <f t="shared" si="59"/>
        <v>0</v>
      </c>
      <c r="AH177" t="s">
        <v>43</v>
      </c>
      <c r="AI177">
        <f t="shared" si="60"/>
        <v>1</v>
      </c>
      <c r="AJ177" t="s">
        <v>43</v>
      </c>
      <c r="AK177">
        <f t="shared" si="61"/>
        <v>1</v>
      </c>
      <c r="AL177">
        <f t="shared" si="62"/>
        <v>1</v>
      </c>
      <c r="AM177">
        <v>4</v>
      </c>
      <c r="AN177">
        <f t="shared" si="63"/>
        <v>0</v>
      </c>
      <c r="AO177">
        <f t="shared" si="64"/>
        <v>1</v>
      </c>
      <c r="AP177">
        <f t="shared" si="65"/>
        <v>0</v>
      </c>
      <c r="AQ177">
        <v>10</v>
      </c>
      <c r="AR177">
        <v>9</v>
      </c>
      <c r="AS177">
        <v>9</v>
      </c>
    </row>
    <row r="178" spans="1:45" x14ac:dyDescent="0.2">
      <c r="A178" t="s">
        <v>34</v>
      </c>
      <c r="B178" t="s">
        <v>35</v>
      </c>
      <c r="C178">
        <v>16</v>
      </c>
      <c r="D178" t="s">
        <v>36</v>
      </c>
      <c r="E178" t="s">
        <v>37</v>
      </c>
      <c r="F178" t="s">
        <v>45</v>
      </c>
      <c r="G178">
        <f t="shared" si="49"/>
        <v>1</v>
      </c>
      <c r="H178">
        <v>2</v>
      </c>
      <c r="I178">
        <f t="shared" si="50"/>
        <v>0</v>
      </c>
      <c r="J178">
        <f t="shared" si="51"/>
        <v>0</v>
      </c>
      <c r="K178">
        <f t="shared" si="52"/>
        <v>1</v>
      </c>
      <c r="L178">
        <f t="shared" si="53"/>
        <v>0</v>
      </c>
      <c r="M178">
        <f t="shared" si="54"/>
        <v>0</v>
      </c>
      <c r="N178">
        <v>2</v>
      </c>
      <c r="O178">
        <f t="shared" si="44"/>
        <v>0</v>
      </c>
      <c r="P178">
        <f t="shared" si="45"/>
        <v>0</v>
      </c>
      <c r="Q178">
        <f t="shared" si="46"/>
        <v>1</v>
      </c>
      <c r="R178">
        <f t="shared" si="47"/>
        <v>0</v>
      </c>
      <c r="S178">
        <f t="shared" si="48"/>
        <v>0</v>
      </c>
      <c r="T178">
        <f t="shared" si="55"/>
        <v>0</v>
      </c>
      <c r="U178">
        <f t="shared" si="56"/>
        <v>0</v>
      </c>
      <c r="V178">
        <f t="shared" si="57"/>
        <v>0</v>
      </c>
      <c r="W178">
        <f t="shared" si="58"/>
        <v>0</v>
      </c>
      <c r="X178" t="s">
        <v>49</v>
      </c>
      <c r="Y178" t="s">
        <v>46</v>
      </c>
      <c r="Z178" t="s">
        <v>52</v>
      </c>
      <c r="AA178" t="s">
        <v>42</v>
      </c>
      <c r="AB178">
        <v>2</v>
      </c>
      <c r="AC178">
        <v>2</v>
      </c>
      <c r="AD178">
        <v>0</v>
      </c>
      <c r="AE178" t="s">
        <v>44</v>
      </c>
      <c r="AF178" t="s">
        <v>44</v>
      </c>
      <c r="AG178">
        <f t="shared" si="59"/>
        <v>0</v>
      </c>
      <c r="AH178" t="s">
        <v>43</v>
      </c>
      <c r="AI178">
        <f t="shared" si="60"/>
        <v>1</v>
      </c>
      <c r="AJ178" t="s">
        <v>43</v>
      </c>
      <c r="AK178">
        <f t="shared" si="61"/>
        <v>1</v>
      </c>
      <c r="AL178">
        <f t="shared" si="62"/>
        <v>1</v>
      </c>
      <c r="AM178">
        <v>2</v>
      </c>
      <c r="AN178">
        <f t="shared" si="63"/>
        <v>0</v>
      </c>
      <c r="AO178">
        <f t="shared" si="64"/>
        <v>0</v>
      </c>
      <c r="AP178">
        <f t="shared" si="65"/>
        <v>0</v>
      </c>
      <c r="AQ178">
        <v>13</v>
      </c>
      <c r="AR178">
        <v>13</v>
      </c>
      <c r="AS178">
        <v>11</v>
      </c>
    </row>
    <row r="179" spans="1:45" x14ac:dyDescent="0.2">
      <c r="A179" t="s">
        <v>34</v>
      </c>
      <c r="B179" t="s">
        <v>51</v>
      </c>
      <c r="C179">
        <v>17</v>
      </c>
      <c r="D179" t="s">
        <v>36</v>
      </c>
      <c r="E179" t="s">
        <v>37</v>
      </c>
      <c r="F179" t="s">
        <v>45</v>
      </c>
      <c r="G179">
        <f t="shared" si="49"/>
        <v>1</v>
      </c>
      <c r="H179">
        <v>3</v>
      </c>
      <c r="I179">
        <f t="shared" si="50"/>
        <v>0</v>
      </c>
      <c r="J179">
        <f t="shared" si="51"/>
        <v>0</v>
      </c>
      <c r="K179">
        <f t="shared" si="52"/>
        <v>0</v>
      </c>
      <c r="L179">
        <f t="shared" si="53"/>
        <v>1</v>
      </c>
      <c r="M179">
        <f t="shared" si="54"/>
        <v>0</v>
      </c>
      <c r="N179">
        <v>3</v>
      </c>
      <c r="O179">
        <f t="shared" si="44"/>
        <v>0</v>
      </c>
      <c r="P179">
        <f t="shared" si="45"/>
        <v>0</v>
      </c>
      <c r="Q179">
        <f t="shared" si="46"/>
        <v>0</v>
      </c>
      <c r="R179">
        <f t="shared" si="47"/>
        <v>1</v>
      </c>
      <c r="S179">
        <f t="shared" si="48"/>
        <v>0</v>
      </c>
      <c r="T179">
        <f t="shared" si="55"/>
        <v>0</v>
      </c>
      <c r="U179">
        <f t="shared" si="56"/>
        <v>0</v>
      </c>
      <c r="V179">
        <f t="shared" si="57"/>
        <v>0</v>
      </c>
      <c r="W179">
        <f t="shared" si="58"/>
        <v>0</v>
      </c>
      <c r="X179" t="s">
        <v>46</v>
      </c>
      <c r="Y179" t="s">
        <v>46</v>
      </c>
      <c r="Z179" t="s">
        <v>52</v>
      </c>
      <c r="AA179" t="s">
        <v>47</v>
      </c>
      <c r="AB179">
        <v>1</v>
      </c>
      <c r="AC179">
        <v>2</v>
      </c>
      <c r="AD179">
        <v>0</v>
      </c>
      <c r="AE179" t="s">
        <v>44</v>
      </c>
      <c r="AF179" t="s">
        <v>44</v>
      </c>
      <c r="AG179">
        <f t="shared" si="59"/>
        <v>0</v>
      </c>
      <c r="AH179" t="s">
        <v>44</v>
      </c>
      <c r="AI179">
        <f t="shared" si="60"/>
        <v>0</v>
      </c>
      <c r="AJ179" t="s">
        <v>43</v>
      </c>
      <c r="AK179">
        <f t="shared" si="61"/>
        <v>1</v>
      </c>
      <c r="AL179">
        <f t="shared" si="62"/>
        <v>0</v>
      </c>
      <c r="AM179">
        <v>4</v>
      </c>
      <c r="AN179">
        <f t="shared" si="63"/>
        <v>0</v>
      </c>
      <c r="AO179">
        <f t="shared" si="64"/>
        <v>0</v>
      </c>
      <c r="AP179">
        <f t="shared" si="65"/>
        <v>0</v>
      </c>
      <c r="AQ179">
        <v>6</v>
      </c>
      <c r="AR179">
        <v>5</v>
      </c>
      <c r="AS179">
        <v>6</v>
      </c>
    </row>
    <row r="180" spans="1:45" x14ac:dyDescent="0.2">
      <c r="A180" t="s">
        <v>34</v>
      </c>
      <c r="B180" t="s">
        <v>51</v>
      </c>
      <c r="C180">
        <v>16</v>
      </c>
      <c r="D180" t="s">
        <v>53</v>
      </c>
      <c r="E180" t="s">
        <v>37</v>
      </c>
      <c r="F180" t="s">
        <v>45</v>
      </c>
      <c r="G180">
        <f t="shared" si="49"/>
        <v>1</v>
      </c>
      <c r="H180">
        <v>4</v>
      </c>
      <c r="I180">
        <f t="shared" si="50"/>
        <v>0</v>
      </c>
      <c r="J180">
        <f t="shared" si="51"/>
        <v>0</v>
      </c>
      <c r="K180">
        <f t="shared" si="52"/>
        <v>0</v>
      </c>
      <c r="L180">
        <f t="shared" si="53"/>
        <v>0</v>
      </c>
      <c r="M180">
        <f t="shared" si="54"/>
        <v>1</v>
      </c>
      <c r="N180">
        <v>2</v>
      </c>
      <c r="O180">
        <f t="shared" si="44"/>
        <v>0</v>
      </c>
      <c r="P180">
        <f t="shared" si="45"/>
        <v>0</v>
      </c>
      <c r="Q180">
        <f t="shared" si="46"/>
        <v>1</v>
      </c>
      <c r="R180">
        <f t="shared" si="47"/>
        <v>0</v>
      </c>
      <c r="S180">
        <f t="shared" si="48"/>
        <v>0</v>
      </c>
      <c r="T180">
        <f t="shared" si="55"/>
        <v>0</v>
      </c>
      <c r="U180">
        <f t="shared" si="56"/>
        <v>0</v>
      </c>
      <c r="V180">
        <f t="shared" si="57"/>
        <v>1</v>
      </c>
      <c r="W180">
        <f t="shared" si="58"/>
        <v>0</v>
      </c>
      <c r="X180" t="s">
        <v>40</v>
      </c>
      <c r="Y180" t="s">
        <v>49</v>
      </c>
      <c r="Z180" t="s">
        <v>46</v>
      </c>
      <c r="AA180" t="s">
        <v>42</v>
      </c>
      <c r="AB180">
        <v>1</v>
      </c>
      <c r="AC180">
        <v>1</v>
      </c>
      <c r="AD180">
        <v>0</v>
      </c>
      <c r="AE180" t="s">
        <v>44</v>
      </c>
      <c r="AF180" t="s">
        <v>43</v>
      </c>
      <c r="AG180">
        <f t="shared" si="59"/>
        <v>1</v>
      </c>
      <c r="AH180" t="s">
        <v>44</v>
      </c>
      <c r="AI180">
        <f t="shared" si="60"/>
        <v>0</v>
      </c>
      <c r="AJ180" t="s">
        <v>43</v>
      </c>
      <c r="AK180">
        <f t="shared" si="61"/>
        <v>1</v>
      </c>
      <c r="AL180">
        <f t="shared" si="62"/>
        <v>0</v>
      </c>
      <c r="AM180">
        <v>10</v>
      </c>
      <c r="AN180">
        <f t="shared" si="63"/>
        <v>0</v>
      </c>
      <c r="AO180">
        <f t="shared" si="64"/>
        <v>0</v>
      </c>
      <c r="AP180">
        <f t="shared" si="65"/>
        <v>0</v>
      </c>
      <c r="AQ180">
        <v>10</v>
      </c>
      <c r="AR180">
        <v>8</v>
      </c>
      <c r="AS180">
        <v>9</v>
      </c>
    </row>
    <row r="181" spans="1:45" x14ac:dyDescent="0.2">
      <c r="A181" t="s">
        <v>34</v>
      </c>
      <c r="B181" t="s">
        <v>51</v>
      </c>
      <c r="C181">
        <v>17</v>
      </c>
      <c r="D181" t="s">
        <v>36</v>
      </c>
      <c r="E181" t="s">
        <v>37</v>
      </c>
      <c r="F181" t="s">
        <v>45</v>
      </c>
      <c r="G181">
        <f t="shared" si="49"/>
        <v>1</v>
      </c>
      <c r="H181">
        <v>4</v>
      </c>
      <c r="I181">
        <f t="shared" si="50"/>
        <v>0</v>
      </c>
      <c r="J181">
        <f t="shared" si="51"/>
        <v>0</v>
      </c>
      <c r="K181">
        <f t="shared" si="52"/>
        <v>0</v>
      </c>
      <c r="L181">
        <f t="shared" si="53"/>
        <v>0</v>
      </c>
      <c r="M181">
        <f t="shared" si="54"/>
        <v>1</v>
      </c>
      <c r="N181">
        <v>3</v>
      </c>
      <c r="O181">
        <f t="shared" si="44"/>
        <v>0</v>
      </c>
      <c r="P181">
        <f t="shared" si="45"/>
        <v>0</v>
      </c>
      <c r="Q181">
        <f t="shared" si="46"/>
        <v>0</v>
      </c>
      <c r="R181">
        <f t="shared" si="47"/>
        <v>1</v>
      </c>
      <c r="S181">
        <f t="shared" si="48"/>
        <v>0</v>
      </c>
      <c r="T181">
        <f t="shared" si="55"/>
        <v>0</v>
      </c>
      <c r="U181">
        <f t="shared" si="56"/>
        <v>1</v>
      </c>
      <c r="V181">
        <f t="shared" si="57"/>
        <v>0</v>
      </c>
      <c r="W181">
        <f t="shared" si="58"/>
        <v>0</v>
      </c>
      <c r="X181" t="s">
        <v>46</v>
      </c>
      <c r="Y181" t="s">
        <v>46</v>
      </c>
      <c r="Z181" t="s">
        <v>41</v>
      </c>
      <c r="AA181" t="s">
        <v>42</v>
      </c>
      <c r="AB181">
        <v>1</v>
      </c>
      <c r="AC181">
        <v>2</v>
      </c>
      <c r="AD181">
        <v>0</v>
      </c>
      <c r="AE181" t="s">
        <v>44</v>
      </c>
      <c r="AF181" t="s">
        <v>43</v>
      </c>
      <c r="AG181">
        <f t="shared" si="59"/>
        <v>1</v>
      </c>
      <c r="AH181" t="s">
        <v>44</v>
      </c>
      <c r="AI181">
        <f t="shared" si="60"/>
        <v>0</v>
      </c>
      <c r="AJ181" t="s">
        <v>43</v>
      </c>
      <c r="AK181">
        <f t="shared" si="61"/>
        <v>1</v>
      </c>
      <c r="AL181">
        <f t="shared" si="62"/>
        <v>0</v>
      </c>
      <c r="AM181">
        <v>4</v>
      </c>
      <c r="AN181">
        <f t="shared" si="63"/>
        <v>0</v>
      </c>
      <c r="AO181">
        <f t="shared" si="64"/>
        <v>0</v>
      </c>
      <c r="AP181">
        <f t="shared" si="65"/>
        <v>0</v>
      </c>
      <c r="AQ181">
        <v>10</v>
      </c>
      <c r="AR181">
        <v>10</v>
      </c>
      <c r="AS181">
        <v>11</v>
      </c>
    </row>
    <row r="182" spans="1:45" x14ac:dyDescent="0.2">
      <c r="A182" t="s">
        <v>34</v>
      </c>
      <c r="B182" t="s">
        <v>51</v>
      </c>
      <c r="C182">
        <v>16</v>
      </c>
      <c r="D182" t="s">
        <v>36</v>
      </c>
      <c r="E182" t="s">
        <v>37</v>
      </c>
      <c r="F182" t="s">
        <v>45</v>
      </c>
      <c r="G182">
        <f t="shared" si="49"/>
        <v>1</v>
      </c>
      <c r="H182">
        <v>4</v>
      </c>
      <c r="I182">
        <f t="shared" si="50"/>
        <v>0</v>
      </c>
      <c r="J182">
        <f t="shared" si="51"/>
        <v>0</v>
      </c>
      <c r="K182">
        <f t="shared" si="52"/>
        <v>0</v>
      </c>
      <c r="L182">
        <f t="shared" si="53"/>
        <v>0</v>
      </c>
      <c r="M182">
        <f t="shared" si="54"/>
        <v>1</v>
      </c>
      <c r="N182">
        <v>3</v>
      </c>
      <c r="O182">
        <f t="shared" si="44"/>
        <v>0</v>
      </c>
      <c r="P182">
        <f t="shared" si="45"/>
        <v>0</v>
      </c>
      <c r="Q182">
        <f t="shared" si="46"/>
        <v>0</v>
      </c>
      <c r="R182">
        <f t="shared" si="47"/>
        <v>1</v>
      </c>
      <c r="S182">
        <f t="shared" si="48"/>
        <v>0</v>
      </c>
      <c r="T182">
        <f t="shared" si="55"/>
        <v>0</v>
      </c>
      <c r="U182">
        <f t="shared" si="56"/>
        <v>1</v>
      </c>
      <c r="V182">
        <f t="shared" si="57"/>
        <v>0</v>
      </c>
      <c r="W182">
        <f t="shared" si="58"/>
        <v>0</v>
      </c>
      <c r="X182" t="s">
        <v>40</v>
      </c>
      <c r="Y182" t="s">
        <v>46</v>
      </c>
      <c r="Z182" t="s">
        <v>50</v>
      </c>
      <c r="AA182" t="s">
        <v>42</v>
      </c>
      <c r="AB182">
        <v>1</v>
      </c>
      <c r="AC182">
        <v>2</v>
      </c>
      <c r="AD182">
        <v>0</v>
      </c>
      <c r="AE182" t="s">
        <v>44</v>
      </c>
      <c r="AF182" t="s">
        <v>43</v>
      </c>
      <c r="AG182">
        <f t="shared" si="59"/>
        <v>1</v>
      </c>
      <c r="AH182" t="s">
        <v>43</v>
      </c>
      <c r="AI182">
        <f t="shared" si="60"/>
        <v>1</v>
      </c>
      <c r="AJ182" t="s">
        <v>43</v>
      </c>
      <c r="AK182">
        <f t="shared" si="61"/>
        <v>1</v>
      </c>
      <c r="AL182">
        <f t="shared" si="62"/>
        <v>1</v>
      </c>
      <c r="AM182">
        <v>10</v>
      </c>
      <c r="AN182">
        <f t="shared" si="63"/>
        <v>0</v>
      </c>
      <c r="AO182">
        <f t="shared" si="64"/>
        <v>1</v>
      </c>
      <c r="AP182">
        <f t="shared" si="65"/>
        <v>0</v>
      </c>
      <c r="AQ182">
        <v>9</v>
      </c>
      <c r="AR182">
        <v>8</v>
      </c>
      <c r="AS182">
        <v>8</v>
      </c>
    </row>
    <row r="183" spans="1:45" x14ac:dyDescent="0.2">
      <c r="A183" t="s">
        <v>34</v>
      </c>
      <c r="B183" t="s">
        <v>51</v>
      </c>
      <c r="C183">
        <v>16</v>
      </c>
      <c r="D183" t="s">
        <v>36</v>
      </c>
      <c r="E183" t="s">
        <v>37</v>
      </c>
      <c r="F183" t="s">
        <v>45</v>
      </c>
      <c r="G183">
        <f t="shared" si="49"/>
        <v>1</v>
      </c>
      <c r="H183">
        <v>3</v>
      </c>
      <c r="I183">
        <f t="shared" si="50"/>
        <v>0</v>
      </c>
      <c r="J183">
        <f t="shared" si="51"/>
        <v>0</v>
      </c>
      <c r="K183">
        <f t="shared" si="52"/>
        <v>0</v>
      </c>
      <c r="L183">
        <f t="shared" si="53"/>
        <v>1</v>
      </c>
      <c r="M183">
        <f t="shared" si="54"/>
        <v>0</v>
      </c>
      <c r="N183">
        <v>3</v>
      </c>
      <c r="O183">
        <f t="shared" si="44"/>
        <v>0</v>
      </c>
      <c r="P183">
        <f t="shared" si="45"/>
        <v>0</v>
      </c>
      <c r="Q183">
        <f t="shared" si="46"/>
        <v>0</v>
      </c>
      <c r="R183">
        <f t="shared" si="47"/>
        <v>1</v>
      </c>
      <c r="S183">
        <f t="shared" si="48"/>
        <v>0</v>
      </c>
      <c r="T183">
        <f t="shared" si="55"/>
        <v>0</v>
      </c>
      <c r="U183">
        <f t="shared" si="56"/>
        <v>0</v>
      </c>
      <c r="V183">
        <f t="shared" si="57"/>
        <v>0</v>
      </c>
      <c r="W183">
        <f t="shared" si="58"/>
        <v>0</v>
      </c>
      <c r="X183" t="s">
        <v>49</v>
      </c>
      <c r="Y183" t="s">
        <v>46</v>
      </c>
      <c r="Z183" t="s">
        <v>50</v>
      </c>
      <c r="AA183" t="s">
        <v>42</v>
      </c>
      <c r="AB183">
        <v>1</v>
      </c>
      <c r="AC183">
        <v>2</v>
      </c>
      <c r="AD183">
        <v>0</v>
      </c>
      <c r="AE183" t="s">
        <v>44</v>
      </c>
      <c r="AF183" t="s">
        <v>44</v>
      </c>
      <c r="AG183">
        <f t="shared" si="59"/>
        <v>0</v>
      </c>
      <c r="AH183" t="s">
        <v>43</v>
      </c>
      <c r="AI183">
        <f t="shared" si="60"/>
        <v>1</v>
      </c>
      <c r="AJ183" t="s">
        <v>43</v>
      </c>
      <c r="AK183">
        <f t="shared" si="61"/>
        <v>1</v>
      </c>
      <c r="AL183">
        <f t="shared" si="62"/>
        <v>1</v>
      </c>
      <c r="AM183">
        <v>2</v>
      </c>
      <c r="AN183">
        <f t="shared" si="63"/>
        <v>0</v>
      </c>
      <c r="AO183">
        <f t="shared" si="64"/>
        <v>0</v>
      </c>
      <c r="AP183">
        <f t="shared" si="65"/>
        <v>1</v>
      </c>
      <c r="AQ183">
        <v>12</v>
      </c>
      <c r="AR183">
        <v>13</v>
      </c>
      <c r="AS183">
        <v>12</v>
      </c>
    </row>
    <row r="184" spans="1:45" x14ac:dyDescent="0.2">
      <c r="A184" t="s">
        <v>34</v>
      </c>
      <c r="B184" t="s">
        <v>35</v>
      </c>
      <c r="C184">
        <v>17</v>
      </c>
      <c r="D184" t="s">
        <v>36</v>
      </c>
      <c r="E184" t="s">
        <v>37</v>
      </c>
      <c r="F184" t="s">
        <v>45</v>
      </c>
      <c r="G184">
        <f t="shared" si="49"/>
        <v>1</v>
      </c>
      <c r="H184">
        <v>2</v>
      </c>
      <c r="I184">
        <f t="shared" si="50"/>
        <v>0</v>
      </c>
      <c r="J184">
        <f t="shared" si="51"/>
        <v>0</v>
      </c>
      <c r="K184">
        <f t="shared" si="52"/>
        <v>1</v>
      </c>
      <c r="L184">
        <f t="shared" si="53"/>
        <v>0</v>
      </c>
      <c r="M184">
        <f t="shared" si="54"/>
        <v>0</v>
      </c>
      <c r="N184">
        <v>4</v>
      </c>
      <c r="O184">
        <f t="shared" si="44"/>
        <v>0</v>
      </c>
      <c r="P184">
        <f t="shared" si="45"/>
        <v>0</v>
      </c>
      <c r="Q184">
        <f t="shared" si="46"/>
        <v>0</v>
      </c>
      <c r="R184">
        <f t="shared" si="47"/>
        <v>0</v>
      </c>
      <c r="S184">
        <f t="shared" si="48"/>
        <v>1</v>
      </c>
      <c r="T184">
        <f t="shared" si="55"/>
        <v>0</v>
      </c>
      <c r="U184">
        <f t="shared" si="56"/>
        <v>0</v>
      </c>
      <c r="V184">
        <f t="shared" si="57"/>
        <v>0</v>
      </c>
      <c r="W184">
        <f t="shared" si="58"/>
        <v>0</v>
      </c>
      <c r="X184" t="s">
        <v>49</v>
      </c>
      <c r="Y184" t="s">
        <v>49</v>
      </c>
      <c r="Z184" t="s">
        <v>52</v>
      </c>
      <c r="AA184" t="s">
        <v>47</v>
      </c>
      <c r="AB184">
        <v>1</v>
      </c>
      <c r="AC184">
        <v>2</v>
      </c>
      <c r="AD184">
        <v>0</v>
      </c>
      <c r="AE184" t="s">
        <v>44</v>
      </c>
      <c r="AF184" t="s">
        <v>43</v>
      </c>
      <c r="AG184">
        <f t="shared" si="59"/>
        <v>1</v>
      </c>
      <c r="AH184" t="s">
        <v>44</v>
      </c>
      <c r="AI184">
        <f t="shared" si="60"/>
        <v>0</v>
      </c>
      <c r="AJ184" t="s">
        <v>44</v>
      </c>
      <c r="AK184">
        <f t="shared" si="61"/>
        <v>0</v>
      </c>
      <c r="AL184">
        <f t="shared" si="62"/>
        <v>0</v>
      </c>
      <c r="AM184">
        <v>0</v>
      </c>
      <c r="AN184">
        <f t="shared" si="63"/>
        <v>0</v>
      </c>
      <c r="AO184">
        <f t="shared" si="64"/>
        <v>0</v>
      </c>
      <c r="AP184">
        <f t="shared" si="65"/>
        <v>0</v>
      </c>
      <c r="AQ184">
        <v>16</v>
      </c>
      <c r="AR184">
        <v>17</v>
      </c>
      <c r="AS184">
        <v>17</v>
      </c>
    </row>
    <row r="185" spans="1:45" x14ac:dyDescent="0.2">
      <c r="A185" t="s">
        <v>34</v>
      </c>
      <c r="B185" t="s">
        <v>35</v>
      </c>
      <c r="C185">
        <v>17</v>
      </c>
      <c r="D185" t="s">
        <v>36</v>
      </c>
      <c r="E185" t="s">
        <v>48</v>
      </c>
      <c r="F185" t="s">
        <v>45</v>
      </c>
      <c r="G185">
        <f t="shared" si="49"/>
        <v>1</v>
      </c>
      <c r="H185">
        <v>3</v>
      </c>
      <c r="I185">
        <f t="shared" si="50"/>
        <v>0</v>
      </c>
      <c r="J185">
        <f t="shared" si="51"/>
        <v>0</v>
      </c>
      <c r="K185">
        <f t="shared" si="52"/>
        <v>0</v>
      </c>
      <c r="L185">
        <f t="shared" si="53"/>
        <v>1</v>
      </c>
      <c r="M185">
        <f t="shared" si="54"/>
        <v>0</v>
      </c>
      <c r="N185">
        <v>3</v>
      </c>
      <c r="O185">
        <f t="shared" si="44"/>
        <v>0</v>
      </c>
      <c r="P185">
        <f t="shared" si="45"/>
        <v>0</v>
      </c>
      <c r="Q185">
        <f t="shared" si="46"/>
        <v>0</v>
      </c>
      <c r="R185">
        <f t="shared" si="47"/>
        <v>1</v>
      </c>
      <c r="S185">
        <f t="shared" si="48"/>
        <v>0</v>
      </c>
      <c r="T185">
        <f t="shared" si="55"/>
        <v>0</v>
      </c>
      <c r="U185">
        <f t="shared" si="56"/>
        <v>0</v>
      </c>
      <c r="V185">
        <f t="shared" si="57"/>
        <v>0</v>
      </c>
      <c r="W185">
        <f t="shared" si="58"/>
        <v>0</v>
      </c>
      <c r="X185" t="s">
        <v>46</v>
      </c>
      <c r="Y185" t="s">
        <v>46</v>
      </c>
      <c r="Z185" t="s">
        <v>52</v>
      </c>
      <c r="AA185" t="s">
        <v>42</v>
      </c>
      <c r="AB185">
        <v>1</v>
      </c>
      <c r="AC185">
        <v>2</v>
      </c>
      <c r="AD185">
        <v>0</v>
      </c>
      <c r="AE185" t="s">
        <v>44</v>
      </c>
      <c r="AF185" t="s">
        <v>43</v>
      </c>
      <c r="AG185">
        <f t="shared" si="59"/>
        <v>1</v>
      </c>
      <c r="AH185" t="s">
        <v>44</v>
      </c>
      <c r="AI185">
        <f t="shared" si="60"/>
        <v>0</v>
      </c>
      <c r="AJ185" t="s">
        <v>43</v>
      </c>
      <c r="AK185">
        <f t="shared" si="61"/>
        <v>1</v>
      </c>
      <c r="AL185">
        <f t="shared" si="62"/>
        <v>0</v>
      </c>
      <c r="AM185">
        <v>56</v>
      </c>
      <c r="AN185">
        <f t="shared" si="63"/>
        <v>0</v>
      </c>
      <c r="AO185">
        <f t="shared" si="64"/>
        <v>0</v>
      </c>
      <c r="AP185">
        <f t="shared" si="65"/>
        <v>0</v>
      </c>
      <c r="AQ185">
        <v>9</v>
      </c>
      <c r="AR185">
        <v>9</v>
      </c>
      <c r="AS185">
        <v>8</v>
      </c>
    </row>
    <row r="186" spans="1:45" x14ac:dyDescent="0.2">
      <c r="A186" t="s">
        <v>34</v>
      </c>
      <c r="B186" t="s">
        <v>35</v>
      </c>
      <c r="C186">
        <v>16</v>
      </c>
      <c r="D186" t="s">
        <v>36</v>
      </c>
      <c r="E186" t="s">
        <v>37</v>
      </c>
      <c r="F186" t="s">
        <v>45</v>
      </c>
      <c r="G186">
        <f t="shared" si="49"/>
        <v>1</v>
      </c>
      <c r="H186">
        <v>3</v>
      </c>
      <c r="I186">
        <f t="shared" si="50"/>
        <v>0</v>
      </c>
      <c r="J186">
        <f t="shared" si="51"/>
        <v>0</v>
      </c>
      <c r="K186">
        <f t="shared" si="52"/>
        <v>0</v>
      </c>
      <c r="L186">
        <f t="shared" si="53"/>
        <v>1</v>
      </c>
      <c r="M186">
        <f t="shared" si="54"/>
        <v>0</v>
      </c>
      <c r="N186">
        <v>2</v>
      </c>
      <c r="O186">
        <f t="shared" si="44"/>
        <v>0</v>
      </c>
      <c r="P186">
        <f t="shared" si="45"/>
        <v>0</v>
      </c>
      <c r="Q186">
        <f t="shared" si="46"/>
        <v>1</v>
      </c>
      <c r="R186">
        <f t="shared" si="47"/>
        <v>0</v>
      </c>
      <c r="S186">
        <f t="shared" si="48"/>
        <v>0</v>
      </c>
      <c r="T186">
        <f t="shared" si="55"/>
        <v>0</v>
      </c>
      <c r="U186">
        <f t="shared" si="56"/>
        <v>0</v>
      </c>
      <c r="V186">
        <f t="shared" si="57"/>
        <v>0</v>
      </c>
      <c r="W186">
        <f t="shared" si="58"/>
        <v>0</v>
      </c>
      <c r="X186" t="s">
        <v>46</v>
      </c>
      <c r="Y186" t="s">
        <v>46</v>
      </c>
      <c r="Z186" t="s">
        <v>52</v>
      </c>
      <c r="AA186" t="s">
        <v>42</v>
      </c>
      <c r="AB186">
        <v>1</v>
      </c>
      <c r="AC186">
        <v>2</v>
      </c>
      <c r="AD186">
        <v>0</v>
      </c>
      <c r="AE186" t="s">
        <v>44</v>
      </c>
      <c r="AF186" t="s">
        <v>43</v>
      </c>
      <c r="AG186">
        <f t="shared" si="59"/>
        <v>1</v>
      </c>
      <c r="AH186" t="s">
        <v>43</v>
      </c>
      <c r="AI186">
        <f t="shared" si="60"/>
        <v>1</v>
      </c>
      <c r="AJ186" t="s">
        <v>43</v>
      </c>
      <c r="AK186">
        <f t="shared" si="61"/>
        <v>1</v>
      </c>
      <c r="AL186">
        <f t="shared" si="62"/>
        <v>1</v>
      </c>
      <c r="AM186">
        <v>14</v>
      </c>
      <c r="AN186">
        <f t="shared" si="63"/>
        <v>0</v>
      </c>
      <c r="AO186">
        <f t="shared" si="64"/>
        <v>0</v>
      </c>
      <c r="AP186">
        <f t="shared" si="65"/>
        <v>1</v>
      </c>
      <c r="AQ186">
        <v>12</v>
      </c>
      <c r="AR186">
        <v>13</v>
      </c>
      <c r="AS186">
        <v>12</v>
      </c>
    </row>
    <row r="187" spans="1:45" x14ac:dyDescent="0.2">
      <c r="A187" t="s">
        <v>34</v>
      </c>
      <c r="B187" t="s">
        <v>51</v>
      </c>
      <c r="C187">
        <v>17</v>
      </c>
      <c r="D187" t="s">
        <v>36</v>
      </c>
      <c r="E187" t="s">
        <v>37</v>
      </c>
      <c r="F187" t="s">
        <v>45</v>
      </c>
      <c r="G187">
        <f t="shared" si="49"/>
        <v>1</v>
      </c>
      <c r="H187">
        <v>3</v>
      </c>
      <c r="I187">
        <f t="shared" si="50"/>
        <v>0</v>
      </c>
      <c r="J187">
        <f t="shared" si="51"/>
        <v>0</v>
      </c>
      <c r="K187">
        <f t="shared" si="52"/>
        <v>0</v>
      </c>
      <c r="L187">
        <f t="shared" si="53"/>
        <v>1</v>
      </c>
      <c r="M187">
        <f t="shared" si="54"/>
        <v>0</v>
      </c>
      <c r="N187">
        <v>3</v>
      </c>
      <c r="O187">
        <f t="shared" si="44"/>
        <v>0</v>
      </c>
      <c r="P187">
        <f t="shared" si="45"/>
        <v>0</v>
      </c>
      <c r="Q187">
        <f t="shared" si="46"/>
        <v>0</v>
      </c>
      <c r="R187">
        <f t="shared" si="47"/>
        <v>1</v>
      </c>
      <c r="S187">
        <f t="shared" si="48"/>
        <v>0</v>
      </c>
      <c r="T187">
        <f t="shared" si="55"/>
        <v>0</v>
      </c>
      <c r="U187">
        <f t="shared" si="56"/>
        <v>0</v>
      </c>
      <c r="V187">
        <f t="shared" si="57"/>
        <v>0</v>
      </c>
      <c r="W187">
        <f t="shared" si="58"/>
        <v>0</v>
      </c>
      <c r="X187" t="s">
        <v>49</v>
      </c>
      <c r="Y187" t="s">
        <v>49</v>
      </c>
      <c r="Z187" t="s">
        <v>46</v>
      </c>
      <c r="AA187" t="s">
        <v>42</v>
      </c>
      <c r="AB187">
        <v>1</v>
      </c>
      <c r="AC187">
        <v>2</v>
      </c>
      <c r="AD187">
        <v>0</v>
      </c>
      <c r="AE187" t="s">
        <v>44</v>
      </c>
      <c r="AF187" t="s">
        <v>43</v>
      </c>
      <c r="AG187">
        <f t="shared" si="59"/>
        <v>1</v>
      </c>
      <c r="AH187" t="s">
        <v>44</v>
      </c>
      <c r="AI187">
        <f t="shared" si="60"/>
        <v>0</v>
      </c>
      <c r="AJ187" t="s">
        <v>43</v>
      </c>
      <c r="AK187">
        <f t="shared" si="61"/>
        <v>1</v>
      </c>
      <c r="AL187">
        <f t="shared" si="62"/>
        <v>0</v>
      </c>
      <c r="AM187">
        <v>12</v>
      </c>
      <c r="AN187">
        <f t="shared" si="63"/>
        <v>0</v>
      </c>
      <c r="AO187">
        <f t="shared" si="64"/>
        <v>0</v>
      </c>
      <c r="AP187">
        <f t="shared" si="65"/>
        <v>0</v>
      </c>
      <c r="AQ187">
        <v>12</v>
      </c>
      <c r="AR187">
        <v>12</v>
      </c>
      <c r="AS187">
        <v>11</v>
      </c>
    </row>
    <row r="188" spans="1:45" x14ac:dyDescent="0.2">
      <c r="A188" t="s">
        <v>34</v>
      </c>
      <c r="B188" t="s">
        <v>51</v>
      </c>
      <c r="C188">
        <v>16</v>
      </c>
      <c r="D188" t="s">
        <v>36</v>
      </c>
      <c r="E188" t="s">
        <v>37</v>
      </c>
      <c r="F188" t="s">
        <v>45</v>
      </c>
      <c r="G188">
        <f t="shared" si="49"/>
        <v>1</v>
      </c>
      <c r="H188">
        <v>1</v>
      </c>
      <c r="I188">
        <f t="shared" si="50"/>
        <v>0</v>
      </c>
      <c r="J188">
        <f t="shared" si="51"/>
        <v>1</v>
      </c>
      <c r="K188">
        <f t="shared" si="52"/>
        <v>0</v>
      </c>
      <c r="L188">
        <f t="shared" si="53"/>
        <v>0</v>
      </c>
      <c r="M188">
        <f t="shared" si="54"/>
        <v>0</v>
      </c>
      <c r="N188">
        <v>2</v>
      </c>
      <c r="O188">
        <f t="shared" si="44"/>
        <v>0</v>
      </c>
      <c r="P188">
        <f t="shared" si="45"/>
        <v>0</v>
      </c>
      <c r="Q188">
        <f t="shared" si="46"/>
        <v>1</v>
      </c>
      <c r="R188">
        <f t="shared" si="47"/>
        <v>0</v>
      </c>
      <c r="S188">
        <f t="shared" si="48"/>
        <v>0</v>
      </c>
      <c r="T188">
        <f t="shared" si="55"/>
        <v>0</v>
      </c>
      <c r="U188">
        <f t="shared" si="56"/>
        <v>0</v>
      </c>
      <c r="V188">
        <f t="shared" si="57"/>
        <v>0</v>
      </c>
      <c r="W188">
        <f t="shared" si="58"/>
        <v>0</v>
      </c>
      <c r="X188" t="s">
        <v>49</v>
      </c>
      <c r="Y188" t="s">
        <v>49</v>
      </c>
      <c r="Z188" t="s">
        <v>46</v>
      </c>
      <c r="AA188" t="s">
        <v>42</v>
      </c>
      <c r="AB188">
        <v>1</v>
      </c>
      <c r="AC188">
        <v>1</v>
      </c>
      <c r="AD188">
        <v>0</v>
      </c>
      <c r="AE188" t="s">
        <v>44</v>
      </c>
      <c r="AF188" t="s">
        <v>43</v>
      </c>
      <c r="AG188">
        <f t="shared" si="59"/>
        <v>1</v>
      </c>
      <c r="AH188" t="s">
        <v>43</v>
      </c>
      <c r="AI188">
        <f t="shared" si="60"/>
        <v>1</v>
      </c>
      <c r="AJ188" t="s">
        <v>43</v>
      </c>
      <c r="AK188">
        <f t="shared" si="61"/>
        <v>1</v>
      </c>
      <c r="AL188">
        <f t="shared" si="62"/>
        <v>1</v>
      </c>
      <c r="AM188">
        <v>2</v>
      </c>
      <c r="AN188">
        <f t="shared" si="63"/>
        <v>0</v>
      </c>
      <c r="AO188">
        <f t="shared" si="64"/>
        <v>0</v>
      </c>
      <c r="AP188">
        <f t="shared" si="65"/>
        <v>0</v>
      </c>
      <c r="AQ188">
        <v>11</v>
      </c>
      <c r="AR188">
        <v>12</v>
      </c>
      <c r="AS188">
        <v>11</v>
      </c>
    </row>
    <row r="189" spans="1:45" x14ac:dyDescent="0.2">
      <c r="A189" t="s">
        <v>34</v>
      </c>
      <c r="B189" t="s">
        <v>51</v>
      </c>
      <c r="C189">
        <v>16</v>
      </c>
      <c r="D189" t="s">
        <v>36</v>
      </c>
      <c r="E189" t="s">
        <v>48</v>
      </c>
      <c r="F189" t="s">
        <v>45</v>
      </c>
      <c r="G189">
        <f t="shared" si="49"/>
        <v>1</v>
      </c>
      <c r="H189">
        <v>2</v>
      </c>
      <c r="I189">
        <f t="shared" si="50"/>
        <v>0</v>
      </c>
      <c r="J189">
        <f t="shared" si="51"/>
        <v>0</v>
      </c>
      <c r="K189">
        <f t="shared" si="52"/>
        <v>1</v>
      </c>
      <c r="L189">
        <f t="shared" si="53"/>
        <v>0</v>
      </c>
      <c r="M189">
        <f t="shared" si="54"/>
        <v>0</v>
      </c>
      <c r="N189">
        <v>1</v>
      </c>
      <c r="O189">
        <f t="shared" si="44"/>
        <v>0</v>
      </c>
      <c r="P189">
        <f t="shared" si="45"/>
        <v>1</v>
      </c>
      <c r="Q189">
        <f t="shared" si="46"/>
        <v>0</v>
      </c>
      <c r="R189">
        <f t="shared" si="47"/>
        <v>0</v>
      </c>
      <c r="S189">
        <f t="shared" si="48"/>
        <v>0</v>
      </c>
      <c r="T189">
        <f t="shared" si="55"/>
        <v>0</v>
      </c>
      <c r="U189">
        <f t="shared" si="56"/>
        <v>0</v>
      </c>
      <c r="V189">
        <f t="shared" si="57"/>
        <v>0</v>
      </c>
      <c r="W189">
        <f t="shared" si="58"/>
        <v>0</v>
      </c>
      <c r="X189" t="s">
        <v>46</v>
      </c>
      <c r="Y189" t="s">
        <v>46</v>
      </c>
      <c r="Z189" t="s">
        <v>41</v>
      </c>
      <c r="AA189" t="s">
        <v>42</v>
      </c>
      <c r="AB189">
        <v>1</v>
      </c>
      <c r="AC189">
        <v>2</v>
      </c>
      <c r="AD189">
        <v>0</v>
      </c>
      <c r="AE189" t="s">
        <v>44</v>
      </c>
      <c r="AF189" t="s">
        <v>44</v>
      </c>
      <c r="AG189">
        <f t="shared" si="59"/>
        <v>0</v>
      </c>
      <c r="AH189" t="s">
        <v>43</v>
      </c>
      <c r="AI189">
        <f t="shared" si="60"/>
        <v>1</v>
      </c>
      <c r="AJ189" t="s">
        <v>43</v>
      </c>
      <c r="AK189">
        <f t="shared" si="61"/>
        <v>1</v>
      </c>
      <c r="AL189">
        <f t="shared" si="62"/>
        <v>1</v>
      </c>
      <c r="AM189">
        <v>0</v>
      </c>
      <c r="AN189">
        <f t="shared" si="63"/>
        <v>0</v>
      </c>
      <c r="AO189">
        <f t="shared" si="64"/>
        <v>0</v>
      </c>
      <c r="AP189">
        <f t="shared" si="65"/>
        <v>0</v>
      </c>
      <c r="AQ189">
        <v>15</v>
      </c>
      <c r="AR189">
        <v>15</v>
      </c>
      <c r="AS189">
        <v>15</v>
      </c>
    </row>
    <row r="190" spans="1:45" x14ac:dyDescent="0.2">
      <c r="A190" t="s">
        <v>34</v>
      </c>
      <c r="B190" t="s">
        <v>35</v>
      </c>
      <c r="C190">
        <v>17</v>
      </c>
      <c r="D190" t="s">
        <v>36</v>
      </c>
      <c r="E190" t="s">
        <v>37</v>
      </c>
      <c r="F190" t="s">
        <v>38</v>
      </c>
      <c r="G190">
        <f t="shared" si="49"/>
        <v>0</v>
      </c>
      <c r="H190">
        <v>3</v>
      </c>
      <c r="I190">
        <f t="shared" si="50"/>
        <v>0</v>
      </c>
      <c r="J190">
        <f t="shared" si="51"/>
        <v>0</v>
      </c>
      <c r="K190">
        <f t="shared" si="52"/>
        <v>0</v>
      </c>
      <c r="L190">
        <f t="shared" si="53"/>
        <v>1</v>
      </c>
      <c r="M190">
        <f t="shared" si="54"/>
        <v>0</v>
      </c>
      <c r="N190">
        <v>3</v>
      </c>
      <c r="O190">
        <f t="shared" si="44"/>
        <v>0</v>
      </c>
      <c r="P190">
        <f t="shared" si="45"/>
        <v>0</v>
      </c>
      <c r="Q190">
        <f t="shared" si="46"/>
        <v>0</v>
      </c>
      <c r="R190">
        <f t="shared" si="47"/>
        <v>1</v>
      </c>
      <c r="S190">
        <f t="shared" si="48"/>
        <v>0</v>
      </c>
      <c r="T190">
        <f t="shared" si="55"/>
        <v>0</v>
      </c>
      <c r="U190">
        <f t="shared" si="56"/>
        <v>0</v>
      </c>
      <c r="V190">
        <f t="shared" si="57"/>
        <v>0</v>
      </c>
      <c r="W190">
        <f t="shared" si="58"/>
        <v>0</v>
      </c>
      <c r="X190" t="s">
        <v>29</v>
      </c>
      <c r="Y190" t="s">
        <v>46</v>
      </c>
      <c r="Z190" t="s">
        <v>52</v>
      </c>
      <c r="AA190" t="s">
        <v>42</v>
      </c>
      <c r="AB190">
        <v>1</v>
      </c>
      <c r="AC190">
        <v>2</v>
      </c>
      <c r="AD190">
        <v>0</v>
      </c>
      <c r="AE190" t="s">
        <v>44</v>
      </c>
      <c r="AF190" t="s">
        <v>43</v>
      </c>
      <c r="AG190">
        <f t="shared" si="59"/>
        <v>1</v>
      </c>
      <c r="AH190" t="s">
        <v>44</v>
      </c>
      <c r="AI190">
        <f t="shared" si="60"/>
        <v>0</v>
      </c>
      <c r="AJ190" t="s">
        <v>43</v>
      </c>
      <c r="AK190">
        <f t="shared" si="61"/>
        <v>1</v>
      </c>
      <c r="AL190">
        <f t="shared" si="62"/>
        <v>0</v>
      </c>
      <c r="AM190">
        <v>6</v>
      </c>
      <c r="AN190">
        <f t="shared" si="63"/>
        <v>0</v>
      </c>
      <c r="AO190">
        <f t="shared" si="64"/>
        <v>0</v>
      </c>
      <c r="AP190">
        <f t="shared" si="65"/>
        <v>0</v>
      </c>
      <c r="AQ190">
        <v>8</v>
      </c>
      <c r="AR190">
        <v>7</v>
      </c>
      <c r="AS190">
        <v>9</v>
      </c>
    </row>
    <row r="191" spans="1:45" x14ac:dyDescent="0.2">
      <c r="A191" t="s">
        <v>34</v>
      </c>
      <c r="B191" t="s">
        <v>51</v>
      </c>
      <c r="C191">
        <v>17</v>
      </c>
      <c r="D191" t="s">
        <v>53</v>
      </c>
      <c r="E191" t="s">
        <v>37</v>
      </c>
      <c r="F191" t="s">
        <v>45</v>
      </c>
      <c r="G191">
        <f t="shared" si="49"/>
        <v>1</v>
      </c>
      <c r="H191">
        <v>1</v>
      </c>
      <c r="I191">
        <f t="shared" si="50"/>
        <v>0</v>
      </c>
      <c r="J191">
        <f t="shared" si="51"/>
        <v>1</v>
      </c>
      <c r="K191">
        <f t="shared" si="52"/>
        <v>0</v>
      </c>
      <c r="L191">
        <f t="shared" si="53"/>
        <v>0</v>
      </c>
      <c r="M191">
        <f t="shared" si="54"/>
        <v>0</v>
      </c>
      <c r="N191">
        <v>2</v>
      </c>
      <c r="O191">
        <f t="shared" si="44"/>
        <v>0</v>
      </c>
      <c r="P191">
        <f t="shared" si="45"/>
        <v>0</v>
      </c>
      <c r="Q191">
        <f t="shared" si="46"/>
        <v>1</v>
      </c>
      <c r="R191">
        <f t="shared" si="47"/>
        <v>0</v>
      </c>
      <c r="S191">
        <f t="shared" si="48"/>
        <v>0</v>
      </c>
      <c r="T191">
        <f t="shared" si="55"/>
        <v>0</v>
      </c>
      <c r="U191">
        <f t="shared" si="56"/>
        <v>0</v>
      </c>
      <c r="V191">
        <f t="shared" si="57"/>
        <v>0</v>
      </c>
      <c r="W191">
        <f t="shared" si="58"/>
        <v>0</v>
      </c>
      <c r="X191" t="s">
        <v>39</v>
      </c>
      <c r="Y191" t="s">
        <v>46</v>
      </c>
      <c r="Z191" t="s">
        <v>50</v>
      </c>
      <c r="AA191" t="s">
        <v>42</v>
      </c>
      <c r="AB191">
        <v>1</v>
      </c>
      <c r="AC191">
        <v>2</v>
      </c>
      <c r="AD191">
        <v>0</v>
      </c>
      <c r="AE191" t="s">
        <v>44</v>
      </c>
      <c r="AF191" t="s">
        <v>44</v>
      </c>
      <c r="AG191">
        <f t="shared" si="59"/>
        <v>0</v>
      </c>
      <c r="AH191" t="s">
        <v>44</v>
      </c>
      <c r="AI191">
        <f t="shared" si="60"/>
        <v>0</v>
      </c>
      <c r="AJ191" t="s">
        <v>44</v>
      </c>
      <c r="AK191">
        <f t="shared" si="61"/>
        <v>0</v>
      </c>
      <c r="AL191">
        <f t="shared" si="62"/>
        <v>0</v>
      </c>
      <c r="AM191">
        <v>4</v>
      </c>
      <c r="AN191">
        <f t="shared" si="63"/>
        <v>0</v>
      </c>
      <c r="AO191">
        <f t="shared" si="64"/>
        <v>0</v>
      </c>
      <c r="AP191">
        <f t="shared" si="65"/>
        <v>0</v>
      </c>
      <c r="AQ191">
        <v>8</v>
      </c>
      <c r="AR191">
        <v>9</v>
      </c>
      <c r="AS191">
        <v>10</v>
      </c>
    </row>
    <row r="192" spans="1:45" x14ac:dyDescent="0.2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f t="shared" si="49"/>
        <v>1</v>
      </c>
      <c r="H192">
        <v>2</v>
      </c>
      <c r="I192">
        <f t="shared" si="50"/>
        <v>0</v>
      </c>
      <c r="J192">
        <f t="shared" si="51"/>
        <v>0</v>
      </c>
      <c r="K192">
        <f t="shared" si="52"/>
        <v>1</v>
      </c>
      <c r="L192">
        <f t="shared" si="53"/>
        <v>0</v>
      </c>
      <c r="M192">
        <f t="shared" si="54"/>
        <v>0</v>
      </c>
      <c r="N192">
        <v>3</v>
      </c>
      <c r="O192">
        <f t="shared" si="44"/>
        <v>0</v>
      </c>
      <c r="P192">
        <f t="shared" si="45"/>
        <v>0</v>
      </c>
      <c r="Q192">
        <f t="shared" si="46"/>
        <v>0</v>
      </c>
      <c r="R192">
        <f t="shared" si="47"/>
        <v>1</v>
      </c>
      <c r="S192">
        <f t="shared" si="48"/>
        <v>0</v>
      </c>
      <c r="T192">
        <f t="shared" si="55"/>
        <v>0</v>
      </c>
      <c r="U192">
        <f t="shared" si="56"/>
        <v>0</v>
      </c>
      <c r="V192">
        <f t="shared" si="57"/>
        <v>0</v>
      </c>
      <c r="W192">
        <f t="shared" si="58"/>
        <v>0</v>
      </c>
      <c r="X192" t="s">
        <v>49</v>
      </c>
      <c r="Y192" t="s">
        <v>49</v>
      </c>
      <c r="Z192" t="s">
        <v>41</v>
      </c>
      <c r="AA192" t="s">
        <v>42</v>
      </c>
      <c r="AB192">
        <v>1</v>
      </c>
      <c r="AC192">
        <v>2</v>
      </c>
      <c r="AD192">
        <v>0</v>
      </c>
      <c r="AE192" t="s">
        <v>44</v>
      </c>
      <c r="AF192" t="s">
        <v>44</v>
      </c>
      <c r="AG192">
        <f t="shared" si="59"/>
        <v>0</v>
      </c>
      <c r="AH192" t="s">
        <v>44</v>
      </c>
      <c r="AI192">
        <f t="shared" si="60"/>
        <v>0</v>
      </c>
      <c r="AJ192" t="s">
        <v>43</v>
      </c>
      <c r="AK192">
        <f t="shared" si="61"/>
        <v>1</v>
      </c>
      <c r="AL192">
        <f t="shared" si="62"/>
        <v>0</v>
      </c>
      <c r="AM192">
        <v>10</v>
      </c>
      <c r="AN192">
        <f t="shared" si="63"/>
        <v>0</v>
      </c>
      <c r="AO192">
        <f t="shared" si="64"/>
        <v>0</v>
      </c>
      <c r="AP192">
        <f t="shared" si="65"/>
        <v>0</v>
      </c>
      <c r="AQ192">
        <v>11</v>
      </c>
      <c r="AR192">
        <v>12</v>
      </c>
      <c r="AS192">
        <v>13</v>
      </c>
    </row>
    <row r="193" spans="1:45" x14ac:dyDescent="0.2">
      <c r="A193" t="s">
        <v>34</v>
      </c>
      <c r="B193" t="s">
        <v>35</v>
      </c>
      <c r="C193">
        <v>17</v>
      </c>
      <c r="D193" t="s">
        <v>36</v>
      </c>
      <c r="E193" t="s">
        <v>37</v>
      </c>
      <c r="F193" t="s">
        <v>45</v>
      </c>
      <c r="G193">
        <f t="shared" si="49"/>
        <v>1</v>
      </c>
      <c r="H193">
        <v>1</v>
      </c>
      <c r="I193">
        <f t="shared" si="50"/>
        <v>0</v>
      </c>
      <c r="J193">
        <f t="shared" si="51"/>
        <v>1</v>
      </c>
      <c r="K193">
        <f t="shared" si="52"/>
        <v>0</v>
      </c>
      <c r="L193">
        <f t="shared" si="53"/>
        <v>0</v>
      </c>
      <c r="M193">
        <f t="shared" si="54"/>
        <v>0</v>
      </c>
      <c r="N193">
        <v>1</v>
      </c>
      <c r="O193">
        <f t="shared" si="44"/>
        <v>0</v>
      </c>
      <c r="P193">
        <f t="shared" si="45"/>
        <v>1</v>
      </c>
      <c r="Q193">
        <f t="shared" si="46"/>
        <v>0</v>
      </c>
      <c r="R193">
        <f t="shared" si="47"/>
        <v>0</v>
      </c>
      <c r="S193">
        <f t="shared" si="48"/>
        <v>0</v>
      </c>
      <c r="T193">
        <f t="shared" si="55"/>
        <v>0</v>
      </c>
      <c r="U193">
        <f t="shared" si="56"/>
        <v>0</v>
      </c>
      <c r="V193">
        <f t="shared" si="57"/>
        <v>0</v>
      </c>
      <c r="W193">
        <f t="shared" si="58"/>
        <v>0</v>
      </c>
      <c r="X193" t="s">
        <v>39</v>
      </c>
      <c r="Y193" t="s">
        <v>49</v>
      </c>
      <c r="Z193" t="s">
        <v>41</v>
      </c>
      <c r="AA193" t="s">
        <v>42</v>
      </c>
      <c r="AB193">
        <v>1</v>
      </c>
      <c r="AC193">
        <v>2</v>
      </c>
      <c r="AD193">
        <v>0</v>
      </c>
      <c r="AE193" t="s">
        <v>44</v>
      </c>
      <c r="AF193" t="s">
        <v>44</v>
      </c>
      <c r="AG193">
        <f t="shared" si="59"/>
        <v>0</v>
      </c>
      <c r="AH193" t="s">
        <v>44</v>
      </c>
      <c r="AI193">
        <f t="shared" si="60"/>
        <v>0</v>
      </c>
      <c r="AJ193" t="s">
        <v>43</v>
      </c>
      <c r="AK193">
        <f t="shared" si="61"/>
        <v>1</v>
      </c>
      <c r="AL193">
        <f t="shared" si="62"/>
        <v>0</v>
      </c>
      <c r="AM193">
        <v>0</v>
      </c>
      <c r="AN193">
        <f t="shared" si="63"/>
        <v>0</v>
      </c>
      <c r="AO193">
        <f t="shared" si="64"/>
        <v>0</v>
      </c>
      <c r="AP193">
        <f t="shared" si="65"/>
        <v>0</v>
      </c>
      <c r="AQ193">
        <v>8</v>
      </c>
      <c r="AR193">
        <v>8</v>
      </c>
      <c r="AS193">
        <v>9</v>
      </c>
    </row>
    <row r="194" spans="1:45" x14ac:dyDescent="0.2">
      <c r="A194" t="s">
        <v>34</v>
      </c>
      <c r="B194" t="s">
        <v>51</v>
      </c>
      <c r="C194">
        <v>17</v>
      </c>
      <c r="D194" t="s">
        <v>36</v>
      </c>
      <c r="E194" t="s">
        <v>37</v>
      </c>
      <c r="F194" t="s">
        <v>45</v>
      </c>
      <c r="G194">
        <f t="shared" si="49"/>
        <v>1</v>
      </c>
      <c r="H194">
        <v>1</v>
      </c>
      <c r="I194">
        <f t="shared" si="50"/>
        <v>0</v>
      </c>
      <c r="J194">
        <f t="shared" si="51"/>
        <v>1</v>
      </c>
      <c r="K194">
        <f t="shared" si="52"/>
        <v>0</v>
      </c>
      <c r="L194">
        <f t="shared" si="53"/>
        <v>0</v>
      </c>
      <c r="M194">
        <f t="shared" si="54"/>
        <v>0</v>
      </c>
      <c r="N194">
        <v>2</v>
      </c>
      <c r="O194">
        <f t="shared" ref="O194:O257" si="66" xml:space="preserve"> IF($N194=0,1,0)</f>
        <v>0</v>
      </c>
      <c r="P194">
        <f t="shared" ref="P194:P257" si="67" xml:space="preserve"> IF($N194=1,1,0)</f>
        <v>0</v>
      </c>
      <c r="Q194">
        <f t="shared" ref="Q194:Q257" si="68" xml:space="preserve"> IF($N194=2,1,0)</f>
        <v>1</v>
      </c>
      <c r="R194">
        <f t="shared" ref="R194:R257" si="69" xml:space="preserve"> IF($N194=3,1,0)</f>
        <v>0</v>
      </c>
      <c r="S194">
        <f t="shared" ref="S194:S257" si="70" xml:space="preserve"> IF($N194=4,1,0)</f>
        <v>0</v>
      </c>
      <c r="T194">
        <f t="shared" si="55"/>
        <v>0</v>
      </c>
      <c r="U194">
        <f t="shared" si="56"/>
        <v>0</v>
      </c>
      <c r="V194">
        <f t="shared" si="57"/>
        <v>0</v>
      </c>
      <c r="W194">
        <f t="shared" si="58"/>
        <v>0</v>
      </c>
      <c r="X194" t="s">
        <v>39</v>
      </c>
      <c r="Y194" t="s">
        <v>49</v>
      </c>
      <c r="Z194" t="s">
        <v>46</v>
      </c>
      <c r="AA194" t="s">
        <v>46</v>
      </c>
      <c r="AB194">
        <v>2</v>
      </c>
      <c r="AC194">
        <v>2</v>
      </c>
      <c r="AD194">
        <v>0</v>
      </c>
      <c r="AE194" t="s">
        <v>44</v>
      </c>
      <c r="AF194" t="s">
        <v>44</v>
      </c>
      <c r="AG194">
        <f t="shared" si="59"/>
        <v>0</v>
      </c>
      <c r="AH194" t="s">
        <v>43</v>
      </c>
      <c r="AI194">
        <f t="shared" si="60"/>
        <v>1</v>
      </c>
      <c r="AJ194" t="s">
        <v>43</v>
      </c>
      <c r="AK194">
        <f t="shared" si="61"/>
        <v>1</v>
      </c>
      <c r="AL194">
        <f t="shared" si="62"/>
        <v>1</v>
      </c>
      <c r="AM194">
        <v>12</v>
      </c>
      <c r="AN194">
        <f t="shared" si="63"/>
        <v>0</v>
      </c>
      <c r="AO194">
        <f t="shared" si="64"/>
        <v>0</v>
      </c>
      <c r="AP194">
        <f t="shared" si="65"/>
        <v>0</v>
      </c>
      <c r="AQ194">
        <v>7</v>
      </c>
      <c r="AR194">
        <v>8</v>
      </c>
      <c r="AS194">
        <v>8</v>
      </c>
    </row>
    <row r="195" spans="1:45" x14ac:dyDescent="0.2">
      <c r="A195" t="s">
        <v>34</v>
      </c>
      <c r="B195" t="s">
        <v>51</v>
      </c>
      <c r="C195">
        <v>16</v>
      </c>
      <c r="D195" t="s">
        <v>53</v>
      </c>
      <c r="E195" t="s">
        <v>37</v>
      </c>
      <c r="F195" t="s">
        <v>45</v>
      </c>
      <c r="G195">
        <f t="shared" ref="G195:G258" si="71">IF(F195="T",1,0)</f>
        <v>1</v>
      </c>
      <c r="H195">
        <v>3</v>
      </c>
      <c r="I195">
        <f t="shared" ref="I195:I258" si="72" xml:space="preserve"> IF($H195=0,1,0)</f>
        <v>0</v>
      </c>
      <c r="J195">
        <f t="shared" ref="J195:J258" si="73" xml:space="preserve"> IF($H195=1,1,0)</f>
        <v>0</v>
      </c>
      <c r="K195">
        <f t="shared" ref="K195:K258" si="74" xml:space="preserve"> IF($H195=2,1,0)</f>
        <v>0</v>
      </c>
      <c r="L195">
        <f t="shared" ref="L195:L258" si="75" xml:space="preserve"> IF($H195=3,1,0)</f>
        <v>1</v>
      </c>
      <c r="M195">
        <f t="shared" ref="M195:M258" si="76" xml:space="preserve"> IF($H195=4,1,0)</f>
        <v>0</v>
      </c>
      <c r="N195">
        <v>3</v>
      </c>
      <c r="O195">
        <f t="shared" si="66"/>
        <v>0</v>
      </c>
      <c r="P195">
        <f t="shared" si="67"/>
        <v>0</v>
      </c>
      <c r="Q195">
        <f t="shared" si="68"/>
        <v>0</v>
      </c>
      <c r="R195">
        <f t="shared" si="69"/>
        <v>1</v>
      </c>
      <c r="S195">
        <f t="shared" si="70"/>
        <v>0</v>
      </c>
      <c r="T195">
        <f t="shared" ref="T195:T258" si="77">IF(AND(M195=1,S195=1),1,0)</f>
        <v>0</v>
      </c>
      <c r="U195">
        <f t="shared" ref="U195:U258" si="78">IF(AND(M195=1,R195=1),1,0)</f>
        <v>0</v>
      </c>
      <c r="V195">
        <f t="shared" ref="V195:V258" si="79">IF(OR(AND(M195=1,Q195=1),AND(M195=1,P195=1)),1,0)</f>
        <v>0</v>
      </c>
      <c r="W195">
        <f t="shared" ref="W195:W258" si="80">IF(AND(L195=1,S195=1),1,0)</f>
        <v>0</v>
      </c>
      <c r="X195" t="s">
        <v>49</v>
      </c>
      <c r="Y195" t="s">
        <v>49</v>
      </c>
      <c r="Z195" t="s">
        <v>52</v>
      </c>
      <c r="AA195" t="s">
        <v>42</v>
      </c>
      <c r="AB195">
        <v>1</v>
      </c>
      <c r="AC195">
        <v>1</v>
      </c>
      <c r="AD195">
        <v>0</v>
      </c>
      <c r="AE195" t="s">
        <v>44</v>
      </c>
      <c r="AF195" t="s">
        <v>43</v>
      </c>
      <c r="AG195">
        <f t="shared" ref="AG195:AG258" si="81">IF(AF195="yes",1,0)</f>
        <v>1</v>
      </c>
      <c r="AH195" t="s">
        <v>44</v>
      </c>
      <c r="AI195">
        <f t="shared" ref="AI195:AI258" si="82">IF(AH195="yes",1,0)</f>
        <v>0</v>
      </c>
      <c r="AJ195" t="s">
        <v>43</v>
      </c>
      <c r="AK195">
        <f t="shared" ref="AK195:AK258" si="83">IF(AJ195="yes",1,0)</f>
        <v>1</v>
      </c>
      <c r="AL195">
        <f t="shared" ref="AL195:AL258" si="84">IF(AND(AI195=1,AK195=1),1,0)</f>
        <v>0</v>
      </c>
      <c r="AM195">
        <v>8</v>
      </c>
      <c r="AN195">
        <f t="shared" ref="AN195:AN258" si="85">IF(AND(M195=1,G195=0),1,0)</f>
        <v>0</v>
      </c>
      <c r="AO195">
        <f t="shared" ref="AO195:AO258" si="86">IF(AND(M195=1,AI195=1),1,0)</f>
        <v>0</v>
      </c>
      <c r="AP195">
        <f t="shared" ref="AP195:AP258" si="87">IF(AND(L195=1,AI195=1),1,0)</f>
        <v>0</v>
      </c>
      <c r="AQ195">
        <v>8</v>
      </c>
      <c r="AR195">
        <v>9</v>
      </c>
      <c r="AS195">
        <v>10</v>
      </c>
    </row>
    <row r="196" spans="1:45" x14ac:dyDescent="0.2">
      <c r="A196" t="s">
        <v>34</v>
      </c>
      <c r="B196" t="s">
        <v>51</v>
      </c>
      <c r="C196">
        <v>16</v>
      </c>
      <c r="D196" t="s">
        <v>36</v>
      </c>
      <c r="E196" t="s">
        <v>37</v>
      </c>
      <c r="F196" t="s">
        <v>45</v>
      </c>
      <c r="G196">
        <f t="shared" si="71"/>
        <v>1</v>
      </c>
      <c r="H196">
        <v>2</v>
      </c>
      <c r="I196">
        <f t="shared" si="72"/>
        <v>0</v>
      </c>
      <c r="J196">
        <f t="shared" si="73"/>
        <v>0</v>
      </c>
      <c r="K196">
        <f t="shared" si="74"/>
        <v>1</v>
      </c>
      <c r="L196">
        <f t="shared" si="75"/>
        <v>0</v>
      </c>
      <c r="M196">
        <f t="shared" si="76"/>
        <v>0</v>
      </c>
      <c r="N196">
        <v>3</v>
      </c>
      <c r="O196">
        <f t="shared" si="66"/>
        <v>0</v>
      </c>
      <c r="P196">
        <f t="shared" si="67"/>
        <v>0</v>
      </c>
      <c r="Q196">
        <f t="shared" si="68"/>
        <v>0</v>
      </c>
      <c r="R196">
        <f t="shared" si="69"/>
        <v>1</v>
      </c>
      <c r="S196">
        <f t="shared" si="70"/>
        <v>0</v>
      </c>
      <c r="T196">
        <f t="shared" si="77"/>
        <v>0</v>
      </c>
      <c r="U196">
        <f t="shared" si="78"/>
        <v>0</v>
      </c>
      <c r="V196">
        <f t="shared" si="79"/>
        <v>0</v>
      </c>
      <c r="W196">
        <f t="shared" si="80"/>
        <v>0</v>
      </c>
      <c r="X196" t="s">
        <v>46</v>
      </c>
      <c r="Y196" t="s">
        <v>46</v>
      </c>
      <c r="Z196" t="s">
        <v>50</v>
      </c>
      <c r="AA196" t="s">
        <v>47</v>
      </c>
      <c r="AB196">
        <v>2</v>
      </c>
      <c r="AC196">
        <v>1</v>
      </c>
      <c r="AD196">
        <v>0</v>
      </c>
      <c r="AE196" t="s">
        <v>44</v>
      </c>
      <c r="AF196" t="s">
        <v>44</v>
      </c>
      <c r="AG196">
        <f t="shared" si="81"/>
        <v>0</v>
      </c>
      <c r="AH196" t="s">
        <v>44</v>
      </c>
      <c r="AI196">
        <f t="shared" si="82"/>
        <v>0</v>
      </c>
      <c r="AJ196" t="s">
        <v>43</v>
      </c>
      <c r="AK196">
        <f t="shared" si="83"/>
        <v>1</v>
      </c>
      <c r="AL196">
        <f t="shared" si="84"/>
        <v>0</v>
      </c>
      <c r="AM196">
        <v>0</v>
      </c>
      <c r="AN196">
        <f t="shared" si="85"/>
        <v>0</v>
      </c>
      <c r="AO196">
        <f t="shared" si="86"/>
        <v>0</v>
      </c>
      <c r="AP196">
        <f t="shared" si="87"/>
        <v>0</v>
      </c>
      <c r="AQ196">
        <v>13</v>
      </c>
      <c r="AR196">
        <v>14</v>
      </c>
      <c r="AS196">
        <v>14</v>
      </c>
    </row>
    <row r="197" spans="1:45" x14ac:dyDescent="0.2">
      <c r="A197" t="s">
        <v>34</v>
      </c>
      <c r="B197" t="s">
        <v>35</v>
      </c>
      <c r="C197">
        <v>17</v>
      </c>
      <c r="D197" t="s">
        <v>36</v>
      </c>
      <c r="E197" t="s">
        <v>48</v>
      </c>
      <c r="F197" t="s">
        <v>45</v>
      </c>
      <c r="G197">
        <f t="shared" si="71"/>
        <v>1</v>
      </c>
      <c r="H197">
        <v>2</v>
      </c>
      <c r="I197">
        <f t="shared" si="72"/>
        <v>0</v>
      </c>
      <c r="J197">
        <f t="shared" si="73"/>
        <v>0</v>
      </c>
      <c r="K197">
        <f t="shared" si="74"/>
        <v>1</v>
      </c>
      <c r="L197">
        <f t="shared" si="75"/>
        <v>0</v>
      </c>
      <c r="M197">
        <f t="shared" si="76"/>
        <v>0</v>
      </c>
      <c r="N197">
        <v>4</v>
      </c>
      <c r="O197">
        <f t="shared" si="66"/>
        <v>0</v>
      </c>
      <c r="P197">
        <f t="shared" si="67"/>
        <v>0</v>
      </c>
      <c r="Q197">
        <f t="shared" si="68"/>
        <v>0</v>
      </c>
      <c r="R197">
        <f t="shared" si="69"/>
        <v>0</v>
      </c>
      <c r="S197">
        <f t="shared" si="70"/>
        <v>1</v>
      </c>
      <c r="T197">
        <f t="shared" si="77"/>
        <v>0</v>
      </c>
      <c r="U197">
        <f t="shared" si="78"/>
        <v>0</v>
      </c>
      <c r="V197">
        <f t="shared" si="79"/>
        <v>0</v>
      </c>
      <c r="W197">
        <f t="shared" si="80"/>
        <v>0</v>
      </c>
      <c r="X197" t="s">
        <v>49</v>
      </c>
      <c r="Y197" t="s">
        <v>49</v>
      </c>
      <c r="Z197" t="s">
        <v>41</v>
      </c>
      <c r="AA197" t="s">
        <v>47</v>
      </c>
      <c r="AB197">
        <v>1</v>
      </c>
      <c r="AC197">
        <v>2</v>
      </c>
      <c r="AD197">
        <v>0</v>
      </c>
      <c r="AE197" t="s">
        <v>44</v>
      </c>
      <c r="AF197" t="s">
        <v>44</v>
      </c>
      <c r="AG197">
        <f t="shared" si="81"/>
        <v>0</v>
      </c>
      <c r="AH197" t="s">
        <v>44</v>
      </c>
      <c r="AI197">
        <f t="shared" si="82"/>
        <v>0</v>
      </c>
      <c r="AJ197" t="s">
        <v>43</v>
      </c>
      <c r="AK197">
        <f t="shared" si="83"/>
        <v>1</v>
      </c>
      <c r="AL197">
        <f t="shared" si="84"/>
        <v>0</v>
      </c>
      <c r="AM197">
        <v>0</v>
      </c>
      <c r="AN197">
        <f t="shared" si="85"/>
        <v>0</v>
      </c>
      <c r="AO197">
        <f t="shared" si="86"/>
        <v>0</v>
      </c>
      <c r="AP197">
        <f t="shared" si="87"/>
        <v>0</v>
      </c>
      <c r="AQ197">
        <v>14</v>
      </c>
      <c r="AR197">
        <v>15</v>
      </c>
      <c r="AS197">
        <v>15</v>
      </c>
    </row>
    <row r="198" spans="1:45" x14ac:dyDescent="0.2">
      <c r="A198" t="s">
        <v>34</v>
      </c>
      <c r="B198" t="s">
        <v>51</v>
      </c>
      <c r="C198">
        <v>17</v>
      </c>
      <c r="D198" t="s">
        <v>36</v>
      </c>
      <c r="E198" t="s">
        <v>37</v>
      </c>
      <c r="F198" t="s">
        <v>45</v>
      </c>
      <c r="G198">
        <f t="shared" si="71"/>
        <v>1</v>
      </c>
      <c r="H198">
        <v>4</v>
      </c>
      <c r="I198">
        <f t="shared" si="72"/>
        <v>0</v>
      </c>
      <c r="J198">
        <f t="shared" si="73"/>
        <v>0</v>
      </c>
      <c r="K198">
        <f t="shared" si="74"/>
        <v>0</v>
      </c>
      <c r="L198">
        <f t="shared" si="75"/>
        <v>0</v>
      </c>
      <c r="M198">
        <f t="shared" si="76"/>
        <v>1</v>
      </c>
      <c r="N198">
        <v>4</v>
      </c>
      <c r="O198">
        <f t="shared" si="66"/>
        <v>0</v>
      </c>
      <c r="P198">
        <f t="shared" si="67"/>
        <v>0</v>
      </c>
      <c r="Q198">
        <f t="shared" si="68"/>
        <v>0</v>
      </c>
      <c r="R198">
        <f t="shared" si="69"/>
        <v>0</v>
      </c>
      <c r="S198">
        <f t="shared" si="70"/>
        <v>1</v>
      </c>
      <c r="T198">
        <f t="shared" si="77"/>
        <v>1</v>
      </c>
      <c r="U198">
        <f t="shared" si="78"/>
        <v>0</v>
      </c>
      <c r="V198">
        <f t="shared" si="79"/>
        <v>0</v>
      </c>
      <c r="W198">
        <f t="shared" si="80"/>
        <v>0</v>
      </c>
      <c r="X198" t="s">
        <v>49</v>
      </c>
      <c r="Y198" t="s">
        <v>40</v>
      </c>
      <c r="Z198" t="s">
        <v>50</v>
      </c>
      <c r="AA198" t="s">
        <v>42</v>
      </c>
      <c r="AB198">
        <v>1</v>
      </c>
      <c r="AC198">
        <v>1</v>
      </c>
      <c r="AD198">
        <v>0</v>
      </c>
      <c r="AE198" t="s">
        <v>44</v>
      </c>
      <c r="AF198" t="s">
        <v>44</v>
      </c>
      <c r="AG198">
        <f t="shared" si="81"/>
        <v>0</v>
      </c>
      <c r="AH198" t="s">
        <v>44</v>
      </c>
      <c r="AI198">
        <f t="shared" si="82"/>
        <v>0</v>
      </c>
      <c r="AJ198" t="s">
        <v>43</v>
      </c>
      <c r="AK198">
        <f t="shared" si="83"/>
        <v>1</v>
      </c>
      <c r="AL198">
        <f t="shared" si="84"/>
        <v>0</v>
      </c>
      <c r="AM198">
        <v>4</v>
      </c>
      <c r="AN198">
        <f t="shared" si="85"/>
        <v>0</v>
      </c>
      <c r="AO198">
        <f t="shared" si="86"/>
        <v>0</v>
      </c>
      <c r="AP198">
        <f t="shared" si="87"/>
        <v>0</v>
      </c>
      <c r="AQ198">
        <v>17</v>
      </c>
      <c r="AR198">
        <v>15</v>
      </c>
      <c r="AS198">
        <v>16</v>
      </c>
    </row>
    <row r="199" spans="1:45" x14ac:dyDescent="0.2">
      <c r="A199" t="s">
        <v>34</v>
      </c>
      <c r="B199" t="s">
        <v>51</v>
      </c>
      <c r="C199">
        <v>16</v>
      </c>
      <c r="D199" t="s">
        <v>53</v>
      </c>
      <c r="E199" t="s">
        <v>48</v>
      </c>
      <c r="F199" t="s">
        <v>45</v>
      </c>
      <c r="G199">
        <f t="shared" si="71"/>
        <v>1</v>
      </c>
      <c r="H199">
        <v>3</v>
      </c>
      <c r="I199">
        <f t="shared" si="72"/>
        <v>0</v>
      </c>
      <c r="J199">
        <f t="shared" si="73"/>
        <v>0</v>
      </c>
      <c r="K199">
        <f t="shared" si="74"/>
        <v>0</v>
      </c>
      <c r="L199">
        <f t="shared" si="75"/>
        <v>1</v>
      </c>
      <c r="M199">
        <f t="shared" si="76"/>
        <v>0</v>
      </c>
      <c r="N199">
        <v>3</v>
      </c>
      <c r="O199">
        <f t="shared" si="66"/>
        <v>0</v>
      </c>
      <c r="P199">
        <f t="shared" si="67"/>
        <v>0</v>
      </c>
      <c r="Q199">
        <f t="shared" si="68"/>
        <v>0</v>
      </c>
      <c r="R199">
        <f t="shared" si="69"/>
        <v>1</v>
      </c>
      <c r="S199">
        <f t="shared" si="70"/>
        <v>0</v>
      </c>
      <c r="T199">
        <f t="shared" si="77"/>
        <v>0</v>
      </c>
      <c r="U199">
        <f t="shared" si="78"/>
        <v>0</v>
      </c>
      <c r="V199">
        <f t="shared" si="79"/>
        <v>0</v>
      </c>
      <c r="W199">
        <f t="shared" si="80"/>
        <v>0</v>
      </c>
      <c r="X199" t="s">
        <v>40</v>
      </c>
      <c r="Y199" t="s">
        <v>46</v>
      </c>
      <c r="Z199" t="s">
        <v>50</v>
      </c>
      <c r="AA199" t="s">
        <v>47</v>
      </c>
      <c r="AB199">
        <v>3</v>
      </c>
      <c r="AC199">
        <v>1</v>
      </c>
      <c r="AD199">
        <v>0</v>
      </c>
      <c r="AE199" t="s">
        <v>44</v>
      </c>
      <c r="AF199" t="s">
        <v>43</v>
      </c>
      <c r="AG199">
        <f t="shared" si="81"/>
        <v>1</v>
      </c>
      <c r="AH199" t="s">
        <v>43</v>
      </c>
      <c r="AI199">
        <f t="shared" si="82"/>
        <v>1</v>
      </c>
      <c r="AJ199" t="s">
        <v>43</v>
      </c>
      <c r="AK199">
        <f t="shared" si="83"/>
        <v>1</v>
      </c>
      <c r="AL199">
        <f t="shared" si="84"/>
        <v>1</v>
      </c>
      <c r="AM199">
        <v>8</v>
      </c>
      <c r="AN199">
        <f t="shared" si="85"/>
        <v>0</v>
      </c>
      <c r="AO199">
        <f t="shared" si="86"/>
        <v>0</v>
      </c>
      <c r="AP199">
        <f t="shared" si="87"/>
        <v>1</v>
      </c>
      <c r="AQ199">
        <v>9</v>
      </c>
      <c r="AR199">
        <v>9</v>
      </c>
      <c r="AS199">
        <v>10</v>
      </c>
    </row>
    <row r="200" spans="1:45" x14ac:dyDescent="0.2">
      <c r="A200" t="s">
        <v>34</v>
      </c>
      <c r="B200" t="s">
        <v>35</v>
      </c>
      <c r="C200">
        <v>17</v>
      </c>
      <c r="D200" t="s">
        <v>36</v>
      </c>
      <c r="E200" t="s">
        <v>37</v>
      </c>
      <c r="F200" t="s">
        <v>45</v>
      </c>
      <c r="G200">
        <f t="shared" si="71"/>
        <v>1</v>
      </c>
      <c r="H200">
        <v>4</v>
      </c>
      <c r="I200">
        <f t="shared" si="72"/>
        <v>0</v>
      </c>
      <c r="J200">
        <f t="shared" si="73"/>
        <v>0</v>
      </c>
      <c r="K200">
        <f t="shared" si="74"/>
        <v>0</v>
      </c>
      <c r="L200">
        <f t="shared" si="75"/>
        <v>0</v>
      </c>
      <c r="M200">
        <f t="shared" si="76"/>
        <v>1</v>
      </c>
      <c r="N200">
        <v>4</v>
      </c>
      <c r="O200">
        <f t="shared" si="66"/>
        <v>0</v>
      </c>
      <c r="P200">
        <f t="shared" si="67"/>
        <v>0</v>
      </c>
      <c r="Q200">
        <f t="shared" si="68"/>
        <v>0</v>
      </c>
      <c r="R200">
        <f t="shared" si="69"/>
        <v>0</v>
      </c>
      <c r="S200">
        <f t="shared" si="70"/>
        <v>1</v>
      </c>
      <c r="T200">
        <f t="shared" si="77"/>
        <v>1</v>
      </c>
      <c r="U200">
        <f t="shared" si="78"/>
        <v>0</v>
      </c>
      <c r="V200">
        <f t="shared" si="79"/>
        <v>0</v>
      </c>
      <c r="W200">
        <f t="shared" si="80"/>
        <v>0</v>
      </c>
      <c r="X200" t="s">
        <v>49</v>
      </c>
      <c r="Y200" t="s">
        <v>40</v>
      </c>
      <c r="Z200" t="s">
        <v>50</v>
      </c>
      <c r="AA200" t="s">
        <v>42</v>
      </c>
      <c r="AB200">
        <v>2</v>
      </c>
      <c r="AC200">
        <v>1</v>
      </c>
      <c r="AD200">
        <v>1</v>
      </c>
      <c r="AE200" t="s">
        <v>44</v>
      </c>
      <c r="AF200" t="s">
        <v>43</v>
      </c>
      <c r="AG200">
        <f t="shared" si="81"/>
        <v>1</v>
      </c>
      <c r="AH200" t="s">
        <v>44</v>
      </c>
      <c r="AI200">
        <f t="shared" si="82"/>
        <v>0</v>
      </c>
      <c r="AJ200" t="s">
        <v>43</v>
      </c>
      <c r="AK200">
        <f t="shared" si="83"/>
        <v>1</v>
      </c>
      <c r="AL200">
        <f t="shared" si="84"/>
        <v>0</v>
      </c>
      <c r="AM200">
        <v>24</v>
      </c>
      <c r="AN200">
        <f t="shared" si="85"/>
        <v>0</v>
      </c>
      <c r="AO200">
        <f t="shared" si="86"/>
        <v>0</v>
      </c>
      <c r="AP200">
        <f t="shared" si="87"/>
        <v>0</v>
      </c>
      <c r="AQ200">
        <v>18</v>
      </c>
      <c r="AR200">
        <v>18</v>
      </c>
      <c r="AS200">
        <v>18</v>
      </c>
    </row>
    <row r="201" spans="1:45" x14ac:dyDescent="0.2">
      <c r="A201" t="s">
        <v>34</v>
      </c>
      <c r="B201" t="s">
        <v>35</v>
      </c>
      <c r="C201">
        <v>16</v>
      </c>
      <c r="D201" t="s">
        <v>36</v>
      </c>
      <c r="E201" t="s">
        <v>48</v>
      </c>
      <c r="F201" t="s">
        <v>45</v>
      </c>
      <c r="G201">
        <f t="shared" si="71"/>
        <v>1</v>
      </c>
      <c r="H201">
        <v>4</v>
      </c>
      <c r="I201">
        <f t="shared" si="72"/>
        <v>0</v>
      </c>
      <c r="J201">
        <f t="shared" si="73"/>
        <v>0</v>
      </c>
      <c r="K201">
        <f t="shared" si="74"/>
        <v>0</v>
      </c>
      <c r="L201">
        <f t="shared" si="75"/>
        <v>0</v>
      </c>
      <c r="M201">
        <f t="shared" si="76"/>
        <v>1</v>
      </c>
      <c r="N201">
        <v>4</v>
      </c>
      <c r="O201">
        <f t="shared" si="66"/>
        <v>0</v>
      </c>
      <c r="P201">
        <f t="shared" si="67"/>
        <v>0</v>
      </c>
      <c r="Q201">
        <f t="shared" si="68"/>
        <v>0</v>
      </c>
      <c r="R201">
        <f t="shared" si="69"/>
        <v>0</v>
      </c>
      <c r="S201">
        <f t="shared" si="70"/>
        <v>1</v>
      </c>
      <c r="T201">
        <f t="shared" si="77"/>
        <v>1</v>
      </c>
      <c r="U201">
        <f t="shared" si="78"/>
        <v>0</v>
      </c>
      <c r="V201">
        <f t="shared" si="79"/>
        <v>0</v>
      </c>
      <c r="W201">
        <f t="shared" si="80"/>
        <v>0</v>
      </c>
      <c r="X201" t="s">
        <v>40</v>
      </c>
      <c r="Y201" t="s">
        <v>40</v>
      </c>
      <c r="Z201" t="s">
        <v>52</v>
      </c>
      <c r="AA201" t="s">
        <v>42</v>
      </c>
      <c r="AB201">
        <v>1</v>
      </c>
      <c r="AC201">
        <v>2</v>
      </c>
      <c r="AD201">
        <v>0</v>
      </c>
      <c r="AE201" t="s">
        <v>44</v>
      </c>
      <c r="AF201" t="s">
        <v>43</v>
      </c>
      <c r="AG201">
        <f t="shared" si="81"/>
        <v>1</v>
      </c>
      <c r="AH201" t="s">
        <v>43</v>
      </c>
      <c r="AI201">
        <f t="shared" si="82"/>
        <v>1</v>
      </c>
      <c r="AJ201" t="s">
        <v>43</v>
      </c>
      <c r="AK201">
        <f t="shared" si="83"/>
        <v>1</v>
      </c>
      <c r="AL201">
        <f t="shared" si="84"/>
        <v>1</v>
      </c>
      <c r="AM201">
        <v>0</v>
      </c>
      <c r="AN201">
        <f t="shared" si="85"/>
        <v>0</v>
      </c>
      <c r="AO201">
        <f t="shared" si="86"/>
        <v>1</v>
      </c>
      <c r="AP201">
        <f t="shared" si="87"/>
        <v>0</v>
      </c>
      <c r="AQ201">
        <v>9</v>
      </c>
      <c r="AR201">
        <v>9</v>
      </c>
      <c r="AS201">
        <v>10</v>
      </c>
    </row>
    <row r="202" spans="1:45" x14ac:dyDescent="0.2">
      <c r="A202" t="s">
        <v>34</v>
      </c>
      <c r="B202" t="s">
        <v>35</v>
      </c>
      <c r="C202">
        <v>16</v>
      </c>
      <c r="D202" t="s">
        <v>36</v>
      </c>
      <c r="E202" t="s">
        <v>37</v>
      </c>
      <c r="F202" t="s">
        <v>45</v>
      </c>
      <c r="G202">
        <f t="shared" si="71"/>
        <v>1</v>
      </c>
      <c r="H202">
        <v>4</v>
      </c>
      <c r="I202">
        <f t="shared" si="72"/>
        <v>0</v>
      </c>
      <c r="J202">
        <f t="shared" si="73"/>
        <v>0</v>
      </c>
      <c r="K202">
        <f t="shared" si="74"/>
        <v>0</v>
      </c>
      <c r="L202">
        <f t="shared" si="75"/>
        <v>0</v>
      </c>
      <c r="M202">
        <f t="shared" si="76"/>
        <v>1</v>
      </c>
      <c r="N202">
        <v>3</v>
      </c>
      <c r="O202">
        <f t="shared" si="66"/>
        <v>0</v>
      </c>
      <c r="P202">
        <f t="shared" si="67"/>
        <v>0</v>
      </c>
      <c r="Q202">
        <f t="shared" si="68"/>
        <v>0</v>
      </c>
      <c r="R202">
        <f t="shared" si="69"/>
        <v>1</v>
      </c>
      <c r="S202">
        <f t="shared" si="70"/>
        <v>0</v>
      </c>
      <c r="T202">
        <f t="shared" si="77"/>
        <v>0</v>
      </c>
      <c r="U202">
        <f t="shared" si="78"/>
        <v>1</v>
      </c>
      <c r="V202">
        <f t="shared" si="79"/>
        <v>0</v>
      </c>
      <c r="W202">
        <f t="shared" si="80"/>
        <v>0</v>
      </c>
      <c r="X202" t="s">
        <v>29</v>
      </c>
      <c r="Y202" t="s">
        <v>46</v>
      </c>
      <c r="Z202" t="s">
        <v>50</v>
      </c>
      <c r="AA202" t="s">
        <v>42</v>
      </c>
      <c r="AB202">
        <v>1</v>
      </c>
      <c r="AC202">
        <v>2</v>
      </c>
      <c r="AD202">
        <v>0</v>
      </c>
      <c r="AE202" t="s">
        <v>44</v>
      </c>
      <c r="AF202" t="s">
        <v>43</v>
      </c>
      <c r="AG202">
        <f t="shared" si="81"/>
        <v>1</v>
      </c>
      <c r="AH202" t="s">
        <v>44</v>
      </c>
      <c r="AI202">
        <f t="shared" si="82"/>
        <v>0</v>
      </c>
      <c r="AJ202" t="s">
        <v>43</v>
      </c>
      <c r="AK202">
        <f t="shared" si="83"/>
        <v>1</v>
      </c>
      <c r="AL202">
        <f t="shared" si="84"/>
        <v>0</v>
      </c>
      <c r="AM202">
        <v>2</v>
      </c>
      <c r="AN202">
        <f t="shared" si="85"/>
        <v>0</v>
      </c>
      <c r="AO202">
        <f t="shared" si="86"/>
        <v>0</v>
      </c>
      <c r="AP202">
        <f t="shared" si="87"/>
        <v>0</v>
      </c>
      <c r="AQ202">
        <v>16</v>
      </c>
      <c r="AR202">
        <v>16</v>
      </c>
      <c r="AS202">
        <v>16</v>
      </c>
    </row>
    <row r="203" spans="1:45" x14ac:dyDescent="0.2">
      <c r="A203" t="s">
        <v>34</v>
      </c>
      <c r="B203" t="s">
        <v>35</v>
      </c>
      <c r="C203">
        <v>16</v>
      </c>
      <c r="D203" t="s">
        <v>36</v>
      </c>
      <c r="E203" t="s">
        <v>37</v>
      </c>
      <c r="F203" t="s">
        <v>45</v>
      </c>
      <c r="G203">
        <f t="shared" si="71"/>
        <v>1</v>
      </c>
      <c r="H203">
        <v>2</v>
      </c>
      <c r="I203">
        <f t="shared" si="72"/>
        <v>0</v>
      </c>
      <c r="J203">
        <f t="shared" si="73"/>
        <v>0</v>
      </c>
      <c r="K203">
        <f t="shared" si="74"/>
        <v>1</v>
      </c>
      <c r="L203">
        <f t="shared" si="75"/>
        <v>0</v>
      </c>
      <c r="M203">
        <f t="shared" si="76"/>
        <v>0</v>
      </c>
      <c r="N203">
        <v>3</v>
      </c>
      <c r="O203">
        <f t="shared" si="66"/>
        <v>0</v>
      </c>
      <c r="P203">
        <f t="shared" si="67"/>
        <v>0</v>
      </c>
      <c r="Q203">
        <f t="shared" si="68"/>
        <v>0</v>
      </c>
      <c r="R203">
        <f t="shared" si="69"/>
        <v>1</v>
      </c>
      <c r="S203">
        <f t="shared" si="70"/>
        <v>0</v>
      </c>
      <c r="T203">
        <f t="shared" si="77"/>
        <v>0</v>
      </c>
      <c r="U203">
        <f t="shared" si="78"/>
        <v>0</v>
      </c>
      <c r="V203">
        <f t="shared" si="79"/>
        <v>0</v>
      </c>
      <c r="W203">
        <f t="shared" si="80"/>
        <v>0</v>
      </c>
      <c r="X203" t="s">
        <v>46</v>
      </c>
      <c r="Y203" t="s">
        <v>46</v>
      </c>
      <c r="Z203" t="s">
        <v>52</v>
      </c>
      <c r="AA203" t="s">
        <v>42</v>
      </c>
      <c r="AB203">
        <v>1</v>
      </c>
      <c r="AC203">
        <v>2</v>
      </c>
      <c r="AD203">
        <v>0</v>
      </c>
      <c r="AE203" t="s">
        <v>43</v>
      </c>
      <c r="AF203" t="s">
        <v>43</v>
      </c>
      <c r="AG203">
        <f t="shared" si="81"/>
        <v>1</v>
      </c>
      <c r="AH203" t="s">
        <v>43</v>
      </c>
      <c r="AI203">
        <f t="shared" si="82"/>
        <v>1</v>
      </c>
      <c r="AJ203" t="s">
        <v>44</v>
      </c>
      <c r="AK203">
        <f t="shared" si="83"/>
        <v>0</v>
      </c>
      <c r="AL203">
        <f t="shared" si="84"/>
        <v>0</v>
      </c>
      <c r="AM203">
        <v>6</v>
      </c>
      <c r="AN203">
        <f t="shared" si="85"/>
        <v>0</v>
      </c>
      <c r="AO203">
        <f t="shared" si="86"/>
        <v>0</v>
      </c>
      <c r="AP203">
        <f t="shared" si="87"/>
        <v>0</v>
      </c>
      <c r="AQ203">
        <v>8</v>
      </c>
      <c r="AR203">
        <v>10</v>
      </c>
      <c r="AS203">
        <v>10</v>
      </c>
    </row>
    <row r="204" spans="1:45" x14ac:dyDescent="0.2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45</v>
      </c>
      <c r="G204">
        <f t="shared" si="71"/>
        <v>1</v>
      </c>
      <c r="H204">
        <v>1</v>
      </c>
      <c r="I204">
        <f t="shared" si="72"/>
        <v>0</v>
      </c>
      <c r="J204">
        <f t="shared" si="73"/>
        <v>1</v>
      </c>
      <c r="K204">
        <f t="shared" si="74"/>
        <v>0</v>
      </c>
      <c r="L204">
        <f t="shared" si="75"/>
        <v>0</v>
      </c>
      <c r="M204">
        <f t="shared" si="76"/>
        <v>0</v>
      </c>
      <c r="N204">
        <v>1</v>
      </c>
      <c r="O204">
        <f t="shared" si="66"/>
        <v>0</v>
      </c>
      <c r="P204">
        <f t="shared" si="67"/>
        <v>1</v>
      </c>
      <c r="Q204">
        <f t="shared" si="68"/>
        <v>0</v>
      </c>
      <c r="R204">
        <f t="shared" si="69"/>
        <v>0</v>
      </c>
      <c r="S204">
        <f t="shared" si="70"/>
        <v>0</v>
      </c>
      <c r="T204">
        <f t="shared" si="77"/>
        <v>0</v>
      </c>
      <c r="U204">
        <f t="shared" si="78"/>
        <v>0</v>
      </c>
      <c r="V204">
        <f t="shared" si="79"/>
        <v>0</v>
      </c>
      <c r="W204">
        <f t="shared" si="80"/>
        <v>0</v>
      </c>
      <c r="X204" t="s">
        <v>46</v>
      </c>
      <c r="Y204" t="s">
        <v>46</v>
      </c>
      <c r="Z204" t="s">
        <v>41</v>
      </c>
      <c r="AA204" t="s">
        <v>42</v>
      </c>
      <c r="AB204">
        <v>1</v>
      </c>
      <c r="AC204">
        <v>2</v>
      </c>
      <c r="AD204">
        <v>0</v>
      </c>
      <c r="AE204" t="s">
        <v>44</v>
      </c>
      <c r="AF204" t="s">
        <v>43</v>
      </c>
      <c r="AG204">
        <f t="shared" si="81"/>
        <v>1</v>
      </c>
      <c r="AH204" t="s">
        <v>43</v>
      </c>
      <c r="AI204">
        <f t="shared" si="82"/>
        <v>1</v>
      </c>
      <c r="AJ204" t="s">
        <v>44</v>
      </c>
      <c r="AK204">
        <f t="shared" si="83"/>
        <v>0</v>
      </c>
      <c r="AL204">
        <f t="shared" si="84"/>
        <v>0</v>
      </c>
      <c r="AM204">
        <v>4</v>
      </c>
      <c r="AN204">
        <f t="shared" si="85"/>
        <v>0</v>
      </c>
      <c r="AO204">
        <f t="shared" si="86"/>
        <v>0</v>
      </c>
      <c r="AP204">
        <f t="shared" si="87"/>
        <v>0</v>
      </c>
      <c r="AQ204">
        <v>9</v>
      </c>
      <c r="AR204">
        <v>9</v>
      </c>
      <c r="AS204">
        <v>10</v>
      </c>
    </row>
    <row r="205" spans="1:45" x14ac:dyDescent="0.2">
      <c r="A205" t="s">
        <v>34</v>
      </c>
      <c r="B205" t="s">
        <v>35</v>
      </c>
      <c r="C205">
        <v>17</v>
      </c>
      <c r="D205" t="s">
        <v>53</v>
      </c>
      <c r="E205" t="s">
        <v>37</v>
      </c>
      <c r="F205" t="s">
        <v>45</v>
      </c>
      <c r="G205">
        <f t="shared" si="71"/>
        <v>1</v>
      </c>
      <c r="H205">
        <v>2</v>
      </c>
      <c r="I205">
        <f t="shared" si="72"/>
        <v>0</v>
      </c>
      <c r="J205">
        <f t="shared" si="73"/>
        <v>0</v>
      </c>
      <c r="K205">
        <f t="shared" si="74"/>
        <v>1</v>
      </c>
      <c r="L205">
        <f t="shared" si="75"/>
        <v>0</v>
      </c>
      <c r="M205">
        <f t="shared" si="76"/>
        <v>0</v>
      </c>
      <c r="N205">
        <v>2</v>
      </c>
      <c r="O205">
        <f t="shared" si="66"/>
        <v>0</v>
      </c>
      <c r="P205">
        <f t="shared" si="67"/>
        <v>0</v>
      </c>
      <c r="Q205">
        <f t="shared" si="68"/>
        <v>1</v>
      </c>
      <c r="R205">
        <f t="shared" si="69"/>
        <v>0</v>
      </c>
      <c r="S205">
        <f t="shared" si="70"/>
        <v>0</v>
      </c>
      <c r="T205">
        <f t="shared" si="77"/>
        <v>0</v>
      </c>
      <c r="U205">
        <f t="shared" si="78"/>
        <v>0</v>
      </c>
      <c r="V205">
        <f t="shared" si="79"/>
        <v>0</v>
      </c>
      <c r="W205">
        <f t="shared" si="80"/>
        <v>0</v>
      </c>
      <c r="X205" t="s">
        <v>46</v>
      </c>
      <c r="Y205" t="s">
        <v>46</v>
      </c>
      <c r="Z205" t="s">
        <v>52</v>
      </c>
      <c r="AA205" t="s">
        <v>42</v>
      </c>
      <c r="AB205">
        <v>1</v>
      </c>
      <c r="AC205">
        <v>1</v>
      </c>
      <c r="AD205">
        <v>0</v>
      </c>
      <c r="AE205" t="s">
        <v>44</v>
      </c>
      <c r="AF205" t="s">
        <v>43</v>
      </c>
      <c r="AG205">
        <f t="shared" si="81"/>
        <v>1</v>
      </c>
      <c r="AH205" t="s">
        <v>44</v>
      </c>
      <c r="AI205">
        <f t="shared" si="82"/>
        <v>0</v>
      </c>
      <c r="AJ205" t="s">
        <v>43</v>
      </c>
      <c r="AK205">
        <f t="shared" si="83"/>
        <v>1</v>
      </c>
      <c r="AL205">
        <f t="shared" si="84"/>
        <v>0</v>
      </c>
      <c r="AM205">
        <v>18</v>
      </c>
      <c r="AN205">
        <f t="shared" si="85"/>
        <v>0</v>
      </c>
      <c r="AO205">
        <f t="shared" si="86"/>
        <v>0</v>
      </c>
      <c r="AP205">
        <f t="shared" si="87"/>
        <v>0</v>
      </c>
      <c r="AQ205">
        <v>7</v>
      </c>
      <c r="AR205">
        <v>6</v>
      </c>
      <c r="AS205">
        <v>6</v>
      </c>
    </row>
    <row r="206" spans="1:45" x14ac:dyDescent="0.2">
      <c r="A206" t="s">
        <v>34</v>
      </c>
      <c r="B206" t="s">
        <v>35</v>
      </c>
      <c r="C206">
        <v>16</v>
      </c>
      <c r="D206" t="s">
        <v>53</v>
      </c>
      <c r="E206" t="s">
        <v>37</v>
      </c>
      <c r="F206" t="s">
        <v>45</v>
      </c>
      <c r="G206">
        <f t="shared" si="71"/>
        <v>1</v>
      </c>
      <c r="H206">
        <v>2</v>
      </c>
      <c r="I206">
        <f t="shared" si="72"/>
        <v>0</v>
      </c>
      <c r="J206">
        <f t="shared" si="73"/>
        <v>0</v>
      </c>
      <c r="K206">
        <f t="shared" si="74"/>
        <v>1</v>
      </c>
      <c r="L206">
        <f t="shared" si="75"/>
        <v>0</v>
      </c>
      <c r="M206">
        <f t="shared" si="76"/>
        <v>0</v>
      </c>
      <c r="N206">
        <v>2</v>
      </c>
      <c r="O206">
        <f t="shared" si="66"/>
        <v>0</v>
      </c>
      <c r="P206">
        <f t="shared" si="67"/>
        <v>0</v>
      </c>
      <c r="Q206">
        <f t="shared" si="68"/>
        <v>1</v>
      </c>
      <c r="R206">
        <f t="shared" si="69"/>
        <v>0</v>
      </c>
      <c r="S206">
        <f t="shared" si="70"/>
        <v>0</v>
      </c>
      <c r="T206">
        <f t="shared" si="77"/>
        <v>0</v>
      </c>
      <c r="U206">
        <f t="shared" si="78"/>
        <v>0</v>
      </c>
      <c r="V206">
        <f t="shared" si="79"/>
        <v>0</v>
      </c>
      <c r="W206">
        <f t="shared" si="80"/>
        <v>0</v>
      </c>
      <c r="X206" t="s">
        <v>49</v>
      </c>
      <c r="Y206" t="s">
        <v>49</v>
      </c>
      <c r="Z206" t="s">
        <v>52</v>
      </c>
      <c r="AA206" t="s">
        <v>42</v>
      </c>
      <c r="AB206">
        <v>2</v>
      </c>
      <c r="AC206">
        <v>4</v>
      </c>
      <c r="AD206">
        <v>0</v>
      </c>
      <c r="AE206" t="s">
        <v>44</v>
      </c>
      <c r="AF206" t="s">
        <v>43</v>
      </c>
      <c r="AG206">
        <f t="shared" si="81"/>
        <v>1</v>
      </c>
      <c r="AH206" t="s">
        <v>43</v>
      </c>
      <c r="AI206">
        <f t="shared" si="82"/>
        <v>1</v>
      </c>
      <c r="AJ206" t="s">
        <v>43</v>
      </c>
      <c r="AK206">
        <f t="shared" si="83"/>
        <v>1</v>
      </c>
      <c r="AL206">
        <f t="shared" si="84"/>
        <v>1</v>
      </c>
      <c r="AM206">
        <v>6</v>
      </c>
      <c r="AN206">
        <f t="shared" si="85"/>
        <v>0</v>
      </c>
      <c r="AO206">
        <f t="shared" si="86"/>
        <v>0</v>
      </c>
      <c r="AP206">
        <f t="shared" si="87"/>
        <v>0</v>
      </c>
      <c r="AQ206">
        <v>10</v>
      </c>
      <c r="AR206">
        <v>10</v>
      </c>
      <c r="AS206">
        <v>11</v>
      </c>
    </row>
    <row r="207" spans="1:45" x14ac:dyDescent="0.2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f t="shared" si="71"/>
        <v>1</v>
      </c>
      <c r="H207">
        <v>3</v>
      </c>
      <c r="I207">
        <f t="shared" si="72"/>
        <v>0</v>
      </c>
      <c r="J207">
        <f t="shared" si="73"/>
        <v>0</v>
      </c>
      <c r="K207">
        <f t="shared" si="74"/>
        <v>0</v>
      </c>
      <c r="L207">
        <f t="shared" si="75"/>
        <v>1</v>
      </c>
      <c r="M207">
        <f t="shared" si="76"/>
        <v>0</v>
      </c>
      <c r="N207">
        <v>4</v>
      </c>
      <c r="O207">
        <f t="shared" si="66"/>
        <v>0</v>
      </c>
      <c r="P207">
        <f t="shared" si="67"/>
        <v>0</v>
      </c>
      <c r="Q207">
        <f t="shared" si="68"/>
        <v>0</v>
      </c>
      <c r="R207">
        <f t="shared" si="69"/>
        <v>0</v>
      </c>
      <c r="S207">
        <f t="shared" si="70"/>
        <v>1</v>
      </c>
      <c r="T207">
        <f t="shared" si="77"/>
        <v>0</v>
      </c>
      <c r="U207">
        <f t="shared" si="78"/>
        <v>0</v>
      </c>
      <c r="V207">
        <f t="shared" si="79"/>
        <v>0</v>
      </c>
      <c r="W207">
        <f t="shared" si="80"/>
        <v>1</v>
      </c>
      <c r="X207" t="s">
        <v>39</v>
      </c>
      <c r="Y207" t="s">
        <v>49</v>
      </c>
      <c r="Z207" t="s">
        <v>50</v>
      </c>
      <c r="AA207" t="s">
        <v>42</v>
      </c>
      <c r="AB207">
        <v>1</v>
      </c>
      <c r="AC207">
        <v>3</v>
      </c>
      <c r="AD207">
        <v>1</v>
      </c>
      <c r="AE207" t="s">
        <v>44</v>
      </c>
      <c r="AF207" t="s">
        <v>43</v>
      </c>
      <c r="AG207">
        <f t="shared" si="81"/>
        <v>1</v>
      </c>
      <c r="AH207" t="s">
        <v>43</v>
      </c>
      <c r="AI207">
        <f t="shared" si="82"/>
        <v>1</v>
      </c>
      <c r="AJ207" t="s">
        <v>43</v>
      </c>
      <c r="AK207">
        <f t="shared" si="83"/>
        <v>1</v>
      </c>
      <c r="AL207">
        <f t="shared" si="84"/>
        <v>1</v>
      </c>
      <c r="AM207">
        <v>28</v>
      </c>
      <c r="AN207">
        <f t="shared" si="85"/>
        <v>0</v>
      </c>
      <c r="AO207">
        <f t="shared" si="86"/>
        <v>0</v>
      </c>
      <c r="AP207">
        <f t="shared" si="87"/>
        <v>1</v>
      </c>
      <c r="AQ207">
        <v>10</v>
      </c>
      <c r="AR207">
        <v>9</v>
      </c>
      <c r="AS207">
        <v>9</v>
      </c>
    </row>
    <row r="208" spans="1:45" x14ac:dyDescent="0.2">
      <c r="A208" t="s">
        <v>34</v>
      </c>
      <c r="B208" t="s">
        <v>35</v>
      </c>
      <c r="C208">
        <v>16</v>
      </c>
      <c r="D208" t="s">
        <v>36</v>
      </c>
      <c r="E208" t="s">
        <v>37</v>
      </c>
      <c r="F208" t="s">
        <v>38</v>
      </c>
      <c r="G208">
        <f t="shared" si="71"/>
        <v>0</v>
      </c>
      <c r="H208">
        <v>3</v>
      </c>
      <c r="I208">
        <f t="shared" si="72"/>
        <v>0</v>
      </c>
      <c r="J208">
        <f t="shared" si="73"/>
        <v>0</v>
      </c>
      <c r="K208">
        <f t="shared" si="74"/>
        <v>0</v>
      </c>
      <c r="L208">
        <f t="shared" si="75"/>
        <v>1</v>
      </c>
      <c r="M208">
        <f t="shared" si="76"/>
        <v>0</v>
      </c>
      <c r="N208">
        <v>1</v>
      </c>
      <c r="O208">
        <f t="shared" si="66"/>
        <v>0</v>
      </c>
      <c r="P208">
        <f t="shared" si="67"/>
        <v>1</v>
      </c>
      <c r="Q208">
        <f t="shared" si="68"/>
        <v>0</v>
      </c>
      <c r="R208">
        <f t="shared" si="69"/>
        <v>0</v>
      </c>
      <c r="S208">
        <f t="shared" si="70"/>
        <v>0</v>
      </c>
      <c r="T208">
        <f t="shared" si="77"/>
        <v>0</v>
      </c>
      <c r="U208">
        <f t="shared" si="78"/>
        <v>0</v>
      </c>
      <c r="V208">
        <f t="shared" si="79"/>
        <v>0</v>
      </c>
      <c r="W208">
        <f t="shared" si="80"/>
        <v>0</v>
      </c>
      <c r="X208" t="s">
        <v>49</v>
      </c>
      <c r="Y208" t="s">
        <v>46</v>
      </c>
      <c r="Z208" t="s">
        <v>41</v>
      </c>
      <c r="AA208" t="s">
        <v>42</v>
      </c>
      <c r="AB208">
        <v>1</v>
      </c>
      <c r="AC208">
        <v>2</v>
      </c>
      <c r="AD208">
        <v>3</v>
      </c>
      <c r="AE208" t="s">
        <v>44</v>
      </c>
      <c r="AF208" t="s">
        <v>43</v>
      </c>
      <c r="AG208">
        <f t="shared" si="81"/>
        <v>1</v>
      </c>
      <c r="AH208" t="s">
        <v>43</v>
      </c>
      <c r="AI208">
        <f t="shared" si="82"/>
        <v>1</v>
      </c>
      <c r="AJ208" t="s">
        <v>43</v>
      </c>
      <c r="AK208">
        <f t="shared" si="83"/>
        <v>1</v>
      </c>
      <c r="AL208">
        <f t="shared" si="84"/>
        <v>1</v>
      </c>
      <c r="AM208">
        <v>5</v>
      </c>
      <c r="AN208">
        <f t="shared" si="85"/>
        <v>0</v>
      </c>
      <c r="AO208">
        <f t="shared" si="86"/>
        <v>0</v>
      </c>
      <c r="AP208">
        <f t="shared" si="87"/>
        <v>1</v>
      </c>
      <c r="AQ208">
        <v>7</v>
      </c>
      <c r="AR208">
        <v>7</v>
      </c>
      <c r="AS208">
        <v>7</v>
      </c>
    </row>
    <row r="209" spans="1:45" x14ac:dyDescent="0.2">
      <c r="A209" t="s">
        <v>34</v>
      </c>
      <c r="B209" t="s">
        <v>35</v>
      </c>
      <c r="C209">
        <v>16</v>
      </c>
      <c r="D209" t="s">
        <v>36</v>
      </c>
      <c r="E209" t="s">
        <v>37</v>
      </c>
      <c r="F209" t="s">
        <v>45</v>
      </c>
      <c r="G209">
        <f t="shared" si="71"/>
        <v>1</v>
      </c>
      <c r="H209">
        <v>4</v>
      </c>
      <c r="I209">
        <f t="shared" si="72"/>
        <v>0</v>
      </c>
      <c r="J209">
        <f t="shared" si="73"/>
        <v>0</v>
      </c>
      <c r="K209">
        <f t="shared" si="74"/>
        <v>0</v>
      </c>
      <c r="L209">
        <f t="shared" si="75"/>
        <v>0</v>
      </c>
      <c r="M209">
        <f t="shared" si="76"/>
        <v>1</v>
      </c>
      <c r="N209">
        <v>3</v>
      </c>
      <c r="O209">
        <f t="shared" si="66"/>
        <v>0</v>
      </c>
      <c r="P209">
        <f t="shared" si="67"/>
        <v>0</v>
      </c>
      <c r="Q209">
        <f t="shared" si="68"/>
        <v>0</v>
      </c>
      <c r="R209">
        <f t="shared" si="69"/>
        <v>1</v>
      </c>
      <c r="S209">
        <f t="shared" si="70"/>
        <v>0</v>
      </c>
      <c r="T209">
        <f t="shared" si="77"/>
        <v>0</v>
      </c>
      <c r="U209">
        <f t="shared" si="78"/>
        <v>1</v>
      </c>
      <c r="V209">
        <f t="shared" si="79"/>
        <v>0</v>
      </c>
      <c r="W209">
        <f t="shared" si="80"/>
        <v>0</v>
      </c>
      <c r="X209" t="s">
        <v>40</v>
      </c>
      <c r="Y209" t="s">
        <v>46</v>
      </c>
      <c r="Z209" t="s">
        <v>46</v>
      </c>
      <c r="AA209" t="s">
        <v>42</v>
      </c>
      <c r="AB209">
        <v>1</v>
      </c>
      <c r="AC209">
        <v>2</v>
      </c>
      <c r="AD209">
        <v>0</v>
      </c>
      <c r="AE209" t="s">
        <v>44</v>
      </c>
      <c r="AF209" t="s">
        <v>44</v>
      </c>
      <c r="AG209">
        <f t="shared" si="81"/>
        <v>0</v>
      </c>
      <c r="AH209" t="s">
        <v>43</v>
      </c>
      <c r="AI209">
        <f t="shared" si="82"/>
        <v>1</v>
      </c>
      <c r="AJ209" t="s">
        <v>43</v>
      </c>
      <c r="AK209">
        <f t="shared" si="83"/>
        <v>1</v>
      </c>
      <c r="AL209">
        <f t="shared" si="84"/>
        <v>1</v>
      </c>
      <c r="AM209">
        <v>10</v>
      </c>
      <c r="AN209">
        <f t="shared" si="85"/>
        <v>0</v>
      </c>
      <c r="AO209">
        <f t="shared" si="86"/>
        <v>1</v>
      </c>
      <c r="AP209">
        <f t="shared" si="87"/>
        <v>0</v>
      </c>
      <c r="AQ209">
        <v>11</v>
      </c>
      <c r="AR209">
        <v>12</v>
      </c>
      <c r="AS209">
        <v>13</v>
      </c>
    </row>
    <row r="210" spans="1:45" x14ac:dyDescent="0.2">
      <c r="A210" t="s">
        <v>34</v>
      </c>
      <c r="B210" t="s">
        <v>35</v>
      </c>
      <c r="C210">
        <v>16</v>
      </c>
      <c r="D210" t="s">
        <v>36</v>
      </c>
      <c r="E210" t="s">
        <v>37</v>
      </c>
      <c r="F210" t="s">
        <v>45</v>
      </c>
      <c r="G210">
        <f t="shared" si="71"/>
        <v>1</v>
      </c>
      <c r="H210">
        <v>1</v>
      </c>
      <c r="I210">
        <f t="shared" si="72"/>
        <v>0</v>
      </c>
      <c r="J210">
        <f t="shared" si="73"/>
        <v>1</v>
      </c>
      <c r="K210">
        <f t="shared" si="74"/>
        <v>0</v>
      </c>
      <c r="L210">
        <f t="shared" si="75"/>
        <v>0</v>
      </c>
      <c r="M210">
        <f t="shared" si="76"/>
        <v>0</v>
      </c>
      <c r="N210">
        <v>1</v>
      </c>
      <c r="O210">
        <f t="shared" si="66"/>
        <v>0</v>
      </c>
      <c r="P210">
        <f t="shared" si="67"/>
        <v>1</v>
      </c>
      <c r="Q210">
        <f t="shared" si="68"/>
        <v>0</v>
      </c>
      <c r="R210">
        <f t="shared" si="69"/>
        <v>0</v>
      </c>
      <c r="S210">
        <f t="shared" si="70"/>
        <v>0</v>
      </c>
      <c r="T210">
        <f t="shared" si="77"/>
        <v>0</v>
      </c>
      <c r="U210">
        <f t="shared" si="78"/>
        <v>0</v>
      </c>
      <c r="V210">
        <f t="shared" si="79"/>
        <v>0</v>
      </c>
      <c r="W210">
        <f t="shared" si="80"/>
        <v>0</v>
      </c>
      <c r="X210" t="s">
        <v>39</v>
      </c>
      <c r="Y210" t="s">
        <v>46</v>
      </c>
      <c r="Z210" t="s">
        <v>50</v>
      </c>
      <c r="AA210" t="s">
        <v>42</v>
      </c>
      <c r="AB210">
        <v>2</v>
      </c>
      <c r="AC210">
        <v>1</v>
      </c>
      <c r="AD210">
        <v>0</v>
      </c>
      <c r="AE210" t="s">
        <v>44</v>
      </c>
      <c r="AF210" t="s">
        <v>43</v>
      </c>
      <c r="AG210">
        <f t="shared" si="81"/>
        <v>1</v>
      </c>
      <c r="AH210" t="s">
        <v>43</v>
      </c>
      <c r="AI210">
        <f t="shared" si="82"/>
        <v>1</v>
      </c>
      <c r="AJ210" t="s">
        <v>44</v>
      </c>
      <c r="AK210">
        <f t="shared" si="83"/>
        <v>0</v>
      </c>
      <c r="AL210">
        <f t="shared" si="84"/>
        <v>0</v>
      </c>
      <c r="AM210">
        <v>6</v>
      </c>
      <c r="AN210">
        <f t="shared" si="85"/>
        <v>0</v>
      </c>
      <c r="AO210">
        <f t="shared" si="86"/>
        <v>0</v>
      </c>
      <c r="AP210">
        <f t="shared" si="87"/>
        <v>0</v>
      </c>
      <c r="AQ210">
        <v>9</v>
      </c>
      <c r="AR210">
        <v>9</v>
      </c>
      <c r="AS210">
        <v>10</v>
      </c>
    </row>
    <row r="211" spans="1:45" x14ac:dyDescent="0.2">
      <c r="A211" t="s">
        <v>34</v>
      </c>
      <c r="B211" t="s">
        <v>35</v>
      </c>
      <c r="C211">
        <v>17</v>
      </c>
      <c r="D211" t="s">
        <v>53</v>
      </c>
      <c r="E211" t="s">
        <v>37</v>
      </c>
      <c r="F211" t="s">
        <v>45</v>
      </c>
      <c r="G211">
        <f t="shared" si="71"/>
        <v>1</v>
      </c>
      <c r="H211">
        <v>4</v>
      </c>
      <c r="I211">
        <f t="shared" si="72"/>
        <v>0</v>
      </c>
      <c r="J211">
        <f t="shared" si="73"/>
        <v>0</v>
      </c>
      <c r="K211">
        <f t="shared" si="74"/>
        <v>0</v>
      </c>
      <c r="L211">
        <f t="shared" si="75"/>
        <v>0</v>
      </c>
      <c r="M211">
        <f t="shared" si="76"/>
        <v>1</v>
      </c>
      <c r="N211">
        <v>3</v>
      </c>
      <c r="O211">
        <f t="shared" si="66"/>
        <v>0</v>
      </c>
      <c r="P211">
        <f t="shared" si="67"/>
        <v>0</v>
      </c>
      <c r="Q211">
        <f t="shared" si="68"/>
        <v>0</v>
      </c>
      <c r="R211">
        <f t="shared" si="69"/>
        <v>1</v>
      </c>
      <c r="S211">
        <f t="shared" si="70"/>
        <v>0</v>
      </c>
      <c r="T211">
        <f t="shared" si="77"/>
        <v>0</v>
      </c>
      <c r="U211">
        <f t="shared" si="78"/>
        <v>1</v>
      </c>
      <c r="V211">
        <f t="shared" si="79"/>
        <v>0</v>
      </c>
      <c r="W211">
        <f t="shared" si="80"/>
        <v>0</v>
      </c>
      <c r="X211" t="s">
        <v>40</v>
      </c>
      <c r="Y211" t="s">
        <v>46</v>
      </c>
      <c r="Z211" t="s">
        <v>52</v>
      </c>
      <c r="AA211" t="s">
        <v>42</v>
      </c>
      <c r="AB211">
        <v>2</v>
      </c>
      <c r="AC211">
        <v>3</v>
      </c>
      <c r="AD211">
        <v>0</v>
      </c>
      <c r="AE211" t="s">
        <v>44</v>
      </c>
      <c r="AF211" t="s">
        <v>43</v>
      </c>
      <c r="AG211">
        <f t="shared" si="81"/>
        <v>1</v>
      </c>
      <c r="AH211" t="s">
        <v>43</v>
      </c>
      <c r="AI211">
        <f t="shared" si="82"/>
        <v>1</v>
      </c>
      <c r="AJ211" t="s">
        <v>43</v>
      </c>
      <c r="AK211">
        <f t="shared" si="83"/>
        <v>1</v>
      </c>
      <c r="AL211">
        <f t="shared" si="84"/>
        <v>1</v>
      </c>
      <c r="AM211">
        <v>6</v>
      </c>
      <c r="AN211">
        <f t="shared" si="85"/>
        <v>0</v>
      </c>
      <c r="AO211">
        <f t="shared" si="86"/>
        <v>1</v>
      </c>
      <c r="AP211">
        <f t="shared" si="87"/>
        <v>0</v>
      </c>
      <c r="AQ211">
        <v>7</v>
      </c>
      <c r="AR211">
        <v>7</v>
      </c>
      <c r="AS211">
        <v>7</v>
      </c>
    </row>
    <row r="212" spans="1:45" x14ac:dyDescent="0.2">
      <c r="A212" t="s">
        <v>34</v>
      </c>
      <c r="B212" t="s">
        <v>35</v>
      </c>
      <c r="C212">
        <v>19</v>
      </c>
      <c r="D212" t="s">
        <v>36</v>
      </c>
      <c r="E212" t="s">
        <v>37</v>
      </c>
      <c r="F212" t="s">
        <v>45</v>
      </c>
      <c r="G212">
        <f t="shared" si="71"/>
        <v>1</v>
      </c>
      <c r="H212">
        <v>3</v>
      </c>
      <c r="I212">
        <f t="shared" si="72"/>
        <v>0</v>
      </c>
      <c r="J212">
        <f t="shared" si="73"/>
        <v>0</v>
      </c>
      <c r="K212">
        <f t="shared" si="74"/>
        <v>0</v>
      </c>
      <c r="L212">
        <f t="shared" si="75"/>
        <v>1</v>
      </c>
      <c r="M212">
        <f t="shared" si="76"/>
        <v>0</v>
      </c>
      <c r="N212">
        <v>3</v>
      </c>
      <c r="O212">
        <f t="shared" si="66"/>
        <v>0</v>
      </c>
      <c r="P212">
        <f t="shared" si="67"/>
        <v>0</v>
      </c>
      <c r="Q212">
        <f t="shared" si="68"/>
        <v>0</v>
      </c>
      <c r="R212">
        <f t="shared" si="69"/>
        <v>1</v>
      </c>
      <c r="S212">
        <f t="shared" si="70"/>
        <v>0</v>
      </c>
      <c r="T212">
        <f t="shared" si="77"/>
        <v>0</v>
      </c>
      <c r="U212">
        <f t="shared" si="78"/>
        <v>0</v>
      </c>
      <c r="V212">
        <f t="shared" si="79"/>
        <v>0</v>
      </c>
      <c r="W212">
        <f t="shared" si="80"/>
        <v>0</v>
      </c>
      <c r="X212" t="s">
        <v>46</v>
      </c>
      <c r="Y212" t="s">
        <v>46</v>
      </c>
      <c r="Z212" t="s">
        <v>52</v>
      </c>
      <c r="AA212" t="s">
        <v>46</v>
      </c>
      <c r="AB212">
        <v>1</v>
      </c>
      <c r="AC212">
        <v>4</v>
      </c>
      <c r="AD212">
        <v>0</v>
      </c>
      <c r="AE212" t="s">
        <v>44</v>
      </c>
      <c r="AF212" t="s">
        <v>43</v>
      </c>
      <c r="AG212">
        <f t="shared" si="81"/>
        <v>1</v>
      </c>
      <c r="AH212" t="s">
        <v>43</v>
      </c>
      <c r="AI212">
        <f t="shared" si="82"/>
        <v>1</v>
      </c>
      <c r="AJ212" t="s">
        <v>43</v>
      </c>
      <c r="AK212">
        <f t="shared" si="83"/>
        <v>1</v>
      </c>
      <c r="AL212">
        <f t="shared" si="84"/>
        <v>1</v>
      </c>
      <c r="AM212">
        <v>10</v>
      </c>
      <c r="AN212">
        <f t="shared" si="85"/>
        <v>0</v>
      </c>
      <c r="AO212">
        <f t="shared" si="86"/>
        <v>0</v>
      </c>
      <c r="AP212">
        <f t="shared" si="87"/>
        <v>1</v>
      </c>
      <c r="AQ212">
        <v>8</v>
      </c>
      <c r="AR212">
        <v>8</v>
      </c>
      <c r="AS212">
        <v>8</v>
      </c>
    </row>
    <row r="213" spans="1:45" x14ac:dyDescent="0.2">
      <c r="A213" t="s">
        <v>34</v>
      </c>
      <c r="B213" t="s">
        <v>51</v>
      </c>
      <c r="C213">
        <v>17</v>
      </c>
      <c r="D213" t="s">
        <v>36</v>
      </c>
      <c r="E213" t="s">
        <v>48</v>
      </c>
      <c r="F213" t="s">
        <v>45</v>
      </c>
      <c r="G213">
        <f t="shared" si="71"/>
        <v>1</v>
      </c>
      <c r="H213">
        <v>4</v>
      </c>
      <c r="I213">
        <f t="shared" si="72"/>
        <v>0</v>
      </c>
      <c r="J213">
        <f t="shared" si="73"/>
        <v>0</v>
      </c>
      <c r="K213">
        <f t="shared" si="74"/>
        <v>0</v>
      </c>
      <c r="L213">
        <f t="shared" si="75"/>
        <v>0</v>
      </c>
      <c r="M213">
        <f t="shared" si="76"/>
        <v>1</v>
      </c>
      <c r="N213">
        <v>4</v>
      </c>
      <c r="O213">
        <f t="shared" si="66"/>
        <v>0</v>
      </c>
      <c r="P213">
        <f t="shared" si="67"/>
        <v>0</v>
      </c>
      <c r="Q213">
        <f t="shared" si="68"/>
        <v>0</v>
      </c>
      <c r="R213">
        <f t="shared" si="69"/>
        <v>0</v>
      </c>
      <c r="S213">
        <f t="shared" si="70"/>
        <v>1</v>
      </c>
      <c r="T213">
        <f t="shared" si="77"/>
        <v>1</v>
      </c>
      <c r="U213">
        <f t="shared" si="78"/>
        <v>0</v>
      </c>
      <c r="V213">
        <f t="shared" si="79"/>
        <v>0</v>
      </c>
      <c r="W213">
        <f t="shared" si="80"/>
        <v>0</v>
      </c>
      <c r="X213" t="s">
        <v>49</v>
      </c>
      <c r="Y213" t="s">
        <v>46</v>
      </c>
      <c r="Z213" t="s">
        <v>50</v>
      </c>
      <c r="AA213" t="s">
        <v>42</v>
      </c>
      <c r="AB213">
        <v>1</v>
      </c>
      <c r="AC213">
        <v>2</v>
      </c>
      <c r="AD213">
        <v>0</v>
      </c>
      <c r="AE213" t="s">
        <v>44</v>
      </c>
      <c r="AF213" t="s">
        <v>43</v>
      </c>
      <c r="AG213">
        <f t="shared" si="81"/>
        <v>1</v>
      </c>
      <c r="AH213" t="s">
        <v>43</v>
      </c>
      <c r="AI213">
        <f t="shared" si="82"/>
        <v>1</v>
      </c>
      <c r="AJ213" t="s">
        <v>43</v>
      </c>
      <c r="AK213">
        <f t="shared" si="83"/>
        <v>1</v>
      </c>
      <c r="AL213">
        <f t="shared" si="84"/>
        <v>1</v>
      </c>
      <c r="AM213">
        <v>13</v>
      </c>
      <c r="AN213">
        <f t="shared" si="85"/>
        <v>0</v>
      </c>
      <c r="AO213">
        <f t="shared" si="86"/>
        <v>1</v>
      </c>
      <c r="AP213">
        <f t="shared" si="87"/>
        <v>0</v>
      </c>
      <c r="AQ213">
        <v>12</v>
      </c>
      <c r="AR213">
        <v>12</v>
      </c>
      <c r="AS213">
        <v>13</v>
      </c>
    </row>
    <row r="214" spans="1:45" x14ac:dyDescent="0.2">
      <c r="A214" t="s">
        <v>34</v>
      </c>
      <c r="B214" t="s">
        <v>35</v>
      </c>
      <c r="C214">
        <v>16</v>
      </c>
      <c r="D214" t="s">
        <v>36</v>
      </c>
      <c r="E214" t="s">
        <v>37</v>
      </c>
      <c r="F214" t="s">
        <v>38</v>
      </c>
      <c r="G214">
        <f t="shared" si="71"/>
        <v>0</v>
      </c>
      <c r="H214">
        <v>2</v>
      </c>
      <c r="I214">
        <f t="shared" si="72"/>
        <v>0</v>
      </c>
      <c r="J214">
        <f t="shared" si="73"/>
        <v>0</v>
      </c>
      <c r="K214">
        <f t="shared" si="74"/>
        <v>1</v>
      </c>
      <c r="L214">
        <f t="shared" si="75"/>
        <v>0</v>
      </c>
      <c r="M214">
        <f t="shared" si="76"/>
        <v>0</v>
      </c>
      <c r="N214">
        <v>2</v>
      </c>
      <c r="O214">
        <f t="shared" si="66"/>
        <v>0</v>
      </c>
      <c r="P214">
        <f t="shared" si="67"/>
        <v>0</v>
      </c>
      <c r="Q214">
        <f t="shared" si="68"/>
        <v>1</v>
      </c>
      <c r="R214">
        <f t="shared" si="69"/>
        <v>0</v>
      </c>
      <c r="S214">
        <f t="shared" si="70"/>
        <v>0</v>
      </c>
      <c r="T214">
        <f t="shared" si="77"/>
        <v>0</v>
      </c>
      <c r="U214">
        <f t="shared" si="78"/>
        <v>0</v>
      </c>
      <c r="V214">
        <f t="shared" si="79"/>
        <v>0</v>
      </c>
      <c r="W214">
        <f t="shared" si="80"/>
        <v>0</v>
      </c>
      <c r="X214" t="s">
        <v>46</v>
      </c>
      <c r="Y214" t="s">
        <v>46</v>
      </c>
      <c r="Z214" t="s">
        <v>52</v>
      </c>
      <c r="AA214" t="s">
        <v>42</v>
      </c>
      <c r="AB214">
        <v>1</v>
      </c>
      <c r="AC214">
        <v>2</v>
      </c>
      <c r="AD214">
        <v>0</v>
      </c>
      <c r="AE214" t="s">
        <v>43</v>
      </c>
      <c r="AF214" t="s">
        <v>43</v>
      </c>
      <c r="AG214">
        <f t="shared" si="81"/>
        <v>1</v>
      </c>
      <c r="AH214" t="s">
        <v>43</v>
      </c>
      <c r="AI214">
        <f t="shared" si="82"/>
        <v>1</v>
      </c>
      <c r="AJ214" t="s">
        <v>43</v>
      </c>
      <c r="AK214">
        <f t="shared" si="83"/>
        <v>1</v>
      </c>
      <c r="AL214">
        <f t="shared" si="84"/>
        <v>1</v>
      </c>
      <c r="AM214">
        <v>0</v>
      </c>
      <c r="AN214">
        <f t="shared" si="85"/>
        <v>0</v>
      </c>
      <c r="AO214">
        <f t="shared" si="86"/>
        <v>0</v>
      </c>
      <c r="AP214">
        <f t="shared" si="87"/>
        <v>0</v>
      </c>
      <c r="AQ214">
        <v>12</v>
      </c>
      <c r="AR214">
        <v>13</v>
      </c>
      <c r="AS214">
        <v>14</v>
      </c>
    </row>
    <row r="215" spans="1:45" x14ac:dyDescent="0.2">
      <c r="A215" t="s">
        <v>34</v>
      </c>
      <c r="B215" t="s">
        <v>51</v>
      </c>
      <c r="C215">
        <v>18</v>
      </c>
      <c r="D215" t="s">
        <v>36</v>
      </c>
      <c r="E215" t="s">
        <v>37</v>
      </c>
      <c r="F215" t="s">
        <v>45</v>
      </c>
      <c r="G215">
        <f t="shared" si="71"/>
        <v>1</v>
      </c>
      <c r="H215">
        <v>2</v>
      </c>
      <c r="I215">
        <f t="shared" si="72"/>
        <v>0</v>
      </c>
      <c r="J215">
        <f t="shared" si="73"/>
        <v>0</v>
      </c>
      <c r="K215">
        <f t="shared" si="74"/>
        <v>1</v>
      </c>
      <c r="L215">
        <f t="shared" si="75"/>
        <v>0</v>
      </c>
      <c r="M215">
        <f t="shared" si="76"/>
        <v>0</v>
      </c>
      <c r="N215">
        <v>2</v>
      </c>
      <c r="O215">
        <f t="shared" si="66"/>
        <v>0</v>
      </c>
      <c r="P215">
        <f t="shared" si="67"/>
        <v>0</v>
      </c>
      <c r="Q215">
        <f t="shared" si="68"/>
        <v>1</v>
      </c>
      <c r="R215">
        <f t="shared" si="69"/>
        <v>0</v>
      </c>
      <c r="S215">
        <f t="shared" si="70"/>
        <v>0</v>
      </c>
      <c r="T215">
        <f t="shared" si="77"/>
        <v>0</v>
      </c>
      <c r="U215">
        <f t="shared" si="78"/>
        <v>0</v>
      </c>
      <c r="V215">
        <f t="shared" si="79"/>
        <v>0</v>
      </c>
      <c r="W215">
        <f t="shared" si="80"/>
        <v>0</v>
      </c>
      <c r="X215" t="s">
        <v>49</v>
      </c>
      <c r="Y215" t="s">
        <v>46</v>
      </c>
      <c r="Z215" t="s">
        <v>50</v>
      </c>
      <c r="AA215" t="s">
        <v>42</v>
      </c>
      <c r="AB215">
        <v>1</v>
      </c>
      <c r="AC215">
        <v>2</v>
      </c>
      <c r="AD215">
        <v>1</v>
      </c>
      <c r="AE215" t="s">
        <v>44</v>
      </c>
      <c r="AF215" t="s">
        <v>43</v>
      </c>
      <c r="AG215">
        <f t="shared" si="81"/>
        <v>1</v>
      </c>
      <c r="AH215" t="s">
        <v>43</v>
      </c>
      <c r="AI215">
        <f t="shared" si="82"/>
        <v>1</v>
      </c>
      <c r="AJ215" t="s">
        <v>43</v>
      </c>
      <c r="AK215">
        <f t="shared" si="83"/>
        <v>1</v>
      </c>
      <c r="AL215">
        <f t="shared" si="84"/>
        <v>1</v>
      </c>
      <c r="AM215">
        <v>15</v>
      </c>
      <c r="AN215">
        <f t="shared" si="85"/>
        <v>0</v>
      </c>
      <c r="AO215">
        <f t="shared" si="86"/>
        <v>0</v>
      </c>
      <c r="AP215">
        <f t="shared" si="87"/>
        <v>0</v>
      </c>
      <c r="AQ215">
        <v>6</v>
      </c>
      <c r="AR215">
        <v>7</v>
      </c>
      <c r="AS215">
        <v>8</v>
      </c>
    </row>
    <row r="216" spans="1:45" x14ac:dyDescent="0.2">
      <c r="A216" t="s">
        <v>34</v>
      </c>
      <c r="B216" t="s">
        <v>35</v>
      </c>
      <c r="C216">
        <v>17</v>
      </c>
      <c r="D216" t="s">
        <v>53</v>
      </c>
      <c r="E216" t="s">
        <v>48</v>
      </c>
      <c r="F216" t="s">
        <v>45</v>
      </c>
      <c r="G216">
        <f t="shared" si="71"/>
        <v>1</v>
      </c>
      <c r="H216">
        <v>4</v>
      </c>
      <c r="I216">
        <f t="shared" si="72"/>
        <v>0</v>
      </c>
      <c r="J216">
        <f t="shared" si="73"/>
        <v>0</v>
      </c>
      <c r="K216">
        <f t="shared" si="74"/>
        <v>0</v>
      </c>
      <c r="L216">
        <f t="shared" si="75"/>
        <v>0</v>
      </c>
      <c r="M216">
        <f t="shared" si="76"/>
        <v>1</v>
      </c>
      <c r="N216">
        <v>4</v>
      </c>
      <c r="O216">
        <f t="shared" si="66"/>
        <v>0</v>
      </c>
      <c r="P216">
        <f t="shared" si="67"/>
        <v>0</v>
      </c>
      <c r="Q216">
        <f t="shared" si="68"/>
        <v>0</v>
      </c>
      <c r="R216">
        <f t="shared" si="69"/>
        <v>0</v>
      </c>
      <c r="S216">
        <f t="shared" si="70"/>
        <v>1</v>
      </c>
      <c r="T216">
        <f t="shared" si="77"/>
        <v>1</v>
      </c>
      <c r="U216">
        <f t="shared" si="78"/>
        <v>0</v>
      </c>
      <c r="V216">
        <f t="shared" si="79"/>
        <v>0</v>
      </c>
      <c r="W216">
        <f t="shared" si="80"/>
        <v>0</v>
      </c>
      <c r="X216" t="s">
        <v>49</v>
      </c>
      <c r="Y216" t="s">
        <v>46</v>
      </c>
      <c r="Z216" t="s">
        <v>46</v>
      </c>
      <c r="AA216" t="s">
        <v>42</v>
      </c>
      <c r="AB216">
        <v>1</v>
      </c>
      <c r="AC216">
        <v>1</v>
      </c>
      <c r="AD216">
        <v>0</v>
      </c>
      <c r="AE216" t="s">
        <v>44</v>
      </c>
      <c r="AF216" t="s">
        <v>43</v>
      </c>
      <c r="AG216">
        <f t="shared" si="81"/>
        <v>1</v>
      </c>
      <c r="AH216" t="s">
        <v>43</v>
      </c>
      <c r="AI216">
        <f t="shared" si="82"/>
        <v>1</v>
      </c>
      <c r="AJ216" t="s">
        <v>44</v>
      </c>
      <c r="AK216">
        <f t="shared" si="83"/>
        <v>0</v>
      </c>
      <c r="AL216">
        <f t="shared" si="84"/>
        <v>0</v>
      </c>
      <c r="AM216">
        <v>12</v>
      </c>
      <c r="AN216">
        <f t="shared" si="85"/>
        <v>0</v>
      </c>
      <c r="AO216">
        <f t="shared" si="86"/>
        <v>1</v>
      </c>
      <c r="AP216">
        <f t="shared" si="87"/>
        <v>0</v>
      </c>
      <c r="AQ216">
        <v>8</v>
      </c>
      <c r="AR216">
        <v>10</v>
      </c>
      <c r="AS216">
        <v>10</v>
      </c>
    </row>
    <row r="217" spans="1:45" x14ac:dyDescent="0.2">
      <c r="A217" t="s">
        <v>34</v>
      </c>
      <c r="B217" t="s">
        <v>35</v>
      </c>
      <c r="C217">
        <v>17</v>
      </c>
      <c r="D217" t="s">
        <v>36</v>
      </c>
      <c r="E217" t="s">
        <v>48</v>
      </c>
      <c r="F217" t="s">
        <v>45</v>
      </c>
      <c r="G217">
        <f t="shared" si="71"/>
        <v>1</v>
      </c>
      <c r="H217">
        <v>3</v>
      </c>
      <c r="I217">
        <f t="shared" si="72"/>
        <v>0</v>
      </c>
      <c r="J217">
        <f t="shared" si="73"/>
        <v>0</v>
      </c>
      <c r="K217">
        <f t="shared" si="74"/>
        <v>0</v>
      </c>
      <c r="L217">
        <f t="shared" si="75"/>
        <v>1</v>
      </c>
      <c r="M217">
        <f t="shared" si="76"/>
        <v>0</v>
      </c>
      <c r="N217">
        <v>2</v>
      </c>
      <c r="O217">
        <f t="shared" si="66"/>
        <v>0</v>
      </c>
      <c r="P217">
        <f t="shared" si="67"/>
        <v>0</v>
      </c>
      <c r="Q217">
        <f t="shared" si="68"/>
        <v>1</v>
      </c>
      <c r="R217">
        <f t="shared" si="69"/>
        <v>0</v>
      </c>
      <c r="S217">
        <f t="shared" si="70"/>
        <v>0</v>
      </c>
      <c r="T217">
        <f t="shared" si="77"/>
        <v>0</v>
      </c>
      <c r="U217">
        <f t="shared" si="78"/>
        <v>0</v>
      </c>
      <c r="V217">
        <f t="shared" si="79"/>
        <v>0</v>
      </c>
      <c r="W217">
        <f t="shared" si="80"/>
        <v>0</v>
      </c>
      <c r="X217" t="s">
        <v>46</v>
      </c>
      <c r="Y217" t="s">
        <v>46</v>
      </c>
      <c r="Z217" t="s">
        <v>52</v>
      </c>
      <c r="AA217" t="s">
        <v>42</v>
      </c>
      <c r="AB217">
        <v>2</v>
      </c>
      <c r="AC217">
        <v>2</v>
      </c>
      <c r="AD217">
        <v>0</v>
      </c>
      <c r="AE217" t="s">
        <v>44</v>
      </c>
      <c r="AF217" t="s">
        <v>44</v>
      </c>
      <c r="AG217">
        <f t="shared" si="81"/>
        <v>0</v>
      </c>
      <c r="AH217" t="s">
        <v>43</v>
      </c>
      <c r="AI217">
        <f t="shared" si="82"/>
        <v>1</v>
      </c>
      <c r="AJ217" t="s">
        <v>43</v>
      </c>
      <c r="AK217">
        <f t="shared" si="83"/>
        <v>1</v>
      </c>
      <c r="AL217">
        <f t="shared" si="84"/>
        <v>1</v>
      </c>
      <c r="AM217">
        <v>2</v>
      </c>
      <c r="AN217">
        <f t="shared" si="85"/>
        <v>0</v>
      </c>
      <c r="AO217">
        <f t="shared" si="86"/>
        <v>0</v>
      </c>
      <c r="AP217">
        <f t="shared" si="87"/>
        <v>1</v>
      </c>
      <c r="AQ217">
        <v>14</v>
      </c>
      <c r="AR217">
        <v>15</v>
      </c>
      <c r="AS217">
        <v>15</v>
      </c>
    </row>
    <row r="218" spans="1:45" x14ac:dyDescent="0.2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f t="shared" si="71"/>
        <v>1</v>
      </c>
      <c r="H218">
        <v>4</v>
      </c>
      <c r="I218">
        <f t="shared" si="72"/>
        <v>0</v>
      </c>
      <c r="J218">
        <f t="shared" si="73"/>
        <v>0</v>
      </c>
      <c r="K218">
        <f t="shared" si="74"/>
        <v>0</v>
      </c>
      <c r="L218">
        <f t="shared" si="75"/>
        <v>0</v>
      </c>
      <c r="M218">
        <f t="shared" si="76"/>
        <v>1</v>
      </c>
      <c r="N218">
        <v>3</v>
      </c>
      <c r="O218">
        <f t="shared" si="66"/>
        <v>0</v>
      </c>
      <c r="P218">
        <f t="shared" si="67"/>
        <v>0</v>
      </c>
      <c r="Q218">
        <f t="shared" si="68"/>
        <v>0</v>
      </c>
      <c r="R218">
        <f t="shared" si="69"/>
        <v>1</v>
      </c>
      <c r="S218">
        <f t="shared" si="70"/>
        <v>0</v>
      </c>
      <c r="T218">
        <f t="shared" si="77"/>
        <v>0</v>
      </c>
      <c r="U218">
        <f t="shared" si="78"/>
        <v>1</v>
      </c>
      <c r="V218">
        <f t="shared" si="79"/>
        <v>0</v>
      </c>
      <c r="W218">
        <f t="shared" si="80"/>
        <v>0</v>
      </c>
      <c r="X218" t="s">
        <v>46</v>
      </c>
      <c r="Y218" t="s">
        <v>46</v>
      </c>
      <c r="Z218" t="s">
        <v>52</v>
      </c>
      <c r="AA218" t="s">
        <v>42</v>
      </c>
      <c r="AB218">
        <v>1</v>
      </c>
      <c r="AC218">
        <v>2</v>
      </c>
      <c r="AD218">
        <v>2</v>
      </c>
      <c r="AE218" t="s">
        <v>44</v>
      </c>
      <c r="AF218" t="s">
        <v>44</v>
      </c>
      <c r="AG218">
        <f t="shared" si="81"/>
        <v>0</v>
      </c>
      <c r="AH218" t="s">
        <v>43</v>
      </c>
      <c r="AI218">
        <f t="shared" si="82"/>
        <v>1</v>
      </c>
      <c r="AJ218" t="s">
        <v>43</v>
      </c>
      <c r="AK218">
        <f t="shared" si="83"/>
        <v>1</v>
      </c>
      <c r="AL218">
        <f t="shared" si="84"/>
        <v>1</v>
      </c>
      <c r="AM218">
        <v>22</v>
      </c>
      <c r="AN218">
        <f t="shared" si="85"/>
        <v>0</v>
      </c>
      <c r="AO218">
        <f t="shared" si="86"/>
        <v>1</v>
      </c>
      <c r="AP218">
        <f t="shared" si="87"/>
        <v>0</v>
      </c>
      <c r="AQ218">
        <v>6</v>
      </c>
      <c r="AR218">
        <v>6</v>
      </c>
      <c r="AS218">
        <v>4</v>
      </c>
    </row>
    <row r="219" spans="1:45" x14ac:dyDescent="0.2">
      <c r="A219" t="s">
        <v>34</v>
      </c>
      <c r="B219" t="s">
        <v>51</v>
      </c>
      <c r="C219">
        <v>18</v>
      </c>
      <c r="D219" t="s">
        <v>36</v>
      </c>
      <c r="E219" t="s">
        <v>48</v>
      </c>
      <c r="F219" t="s">
        <v>45</v>
      </c>
      <c r="G219">
        <f t="shared" si="71"/>
        <v>1</v>
      </c>
      <c r="H219">
        <v>3</v>
      </c>
      <c r="I219">
        <f t="shared" si="72"/>
        <v>0</v>
      </c>
      <c r="J219">
        <f t="shared" si="73"/>
        <v>0</v>
      </c>
      <c r="K219">
        <f t="shared" si="74"/>
        <v>0</v>
      </c>
      <c r="L219">
        <f t="shared" si="75"/>
        <v>1</v>
      </c>
      <c r="M219">
        <f t="shared" si="76"/>
        <v>0</v>
      </c>
      <c r="N219">
        <v>3</v>
      </c>
      <c r="O219">
        <f t="shared" si="66"/>
        <v>0</v>
      </c>
      <c r="P219">
        <f t="shared" si="67"/>
        <v>0</v>
      </c>
      <c r="Q219">
        <f t="shared" si="68"/>
        <v>0</v>
      </c>
      <c r="R219">
        <f t="shared" si="69"/>
        <v>1</v>
      </c>
      <c r="S219">
        <f t="shared" si="70"/>
        <v>0</v>
      </c>
      <c r="T219">
        <f t="shared" si="77"/>
        <v>0</v>
      </c>
      <c r="U219">
        <f t="shared" si="78"/>
        <v>0</v>
      </c>
      <c r="V219">
        <f t="shared" si="79"/>
        <v>0</v>
      </c>
      <c r="W219">
        <f t="shared" si="80"/>
        <v>0</v>
      </c>
      <c r="X219" t="s">
        <v>49</v>
      </c>
      <c r="Y219" t="s">
        <v>29</v>
      </c>
      <c r="Z219" t="s">
        <v>50</v>
      </c>
      <c r="AA219" t="s">
        <v>47</v>
      </c>
      <c r="AB219">
        <v>1</v>
      </c>
      <c r="AC219">
        <v>2</v>
      </c>
      <c r="AD219">
        <v>1</v>
      </c>
      <c r="AE219" t="s">
        <v>44</v>
      </c>
      <c r="AF219" t="s">
        <v>43</v>
      </c>
      <c r="AG219">
        <f t="shared" si="81"/>
        <v>1</v>
      </c>
      <c r="AH219" t="s">
        <v>43</v>
      </c>
      <c r="AI219">
        <f t="shared" si="82"/>
        <v>1</v>
      </c>
      <c r="AJ219" t="s">
        <v>43</v>
      </c>
      <c r="AK219">
        <f t="shared" si="83"/>
        <v>1</v>
      </c>
      <c r="AL219">
        <f t="shared" si="84"/>
        <v>1</v>
      </c>
      <c r="AM219">
        <v>13</v>
      </c>
      <c r="AN219">
        <f t="shared" si="85"/>
        <v>0</v>
      </c>
      <c r="AO219">
        <f t="shared" si="86"/>
        <v>0</v>
      </c>
      <c r="AP219">
        <f t="shared" si="87"/>
        <v>1</v>
      </c>
      <c r="AQ219">
        <v>6</v>
      </c>
      <c r="AR219">
        <v>6</v>
      </c>
      <c r="AS219">
        <v>8</v>
      </c>
    </row>
    <row r="220" spans="1:45" x14ac:dyDescent="0.2">
      <c r="A220" t="s">
        <v>34</v>
      </c>
      <c r="B220" t="s">
        <v>35</v>
      </c>
      <c r="C220">
        <v>17</v>
      </c>
      <c r="D220" t="s">
        <v>36</v>
      </c>
      <c r="E220" t="s">
        <v>37</v>
      </c>
      <c r="F220" t="s">
        <v>45</v>
      </c>
      <c r="G220">
        <f t="shared" si="71"/>
        <v>1</v>
      </c>
      <c r="H220">
        <v>2</v>
      </c>
      <c r="I220">
        <f t="shared" si="72"/>
        <v>0</v>
      </c>
      <c r="J220">
        <f t="shared" si="73"/>
        <v>0</v>
      </c>
      <c r="K220">
        <f t="shared" si="74"/>
        <v>1</v>
      </c>
      <c r="L220">
        <f t="shared" si="75"/>
        <v>0</v>
      </c>
      <c r="M220">
        <f t="shared" si="76"/>
        <v>0</v>
      </c>
      <c r="N220">
        <v>3</v>
      </c>
      <c r="O220">
        <f t="shared" si="66"/>
        <v>0</v>
      </c>
      <c r="P220">
        <f t="shared" si="67"/>
        <v>0</v>
      </c>
      <c r="Q220">
        <f t="shared" si="68"/>
        <v>0</v>
      </c>
      <c r="R220">
        <f t="shared" si="69"/>
        <v>1</v>
      </c>
      <c r="S220">
        <f t="shared" si="70"/>
        <v>0</v>
      </c>
      <c r="T220">
        <f t="shared" si="77"/>
        <v>0</v>
      </c>
      <c r="U220">
        <f t="shared" si="78"/>
        <v>0</v>
      </c>
      <c r="V220">
        <f t="shared" si="79"/>
        <v>0</v>
      </c>
      <c r="W220">
        <f t="shared" si="80"/>
        <v>0</v>
      </c>
      <c r="X220" t="s">
        <v>39</v>
      </c>
      <c r="Y220" t="s">
        <v>46</v>
      </c>
      <c r="Z220" t="s">
        <v>50</v>
      </c>
      <c r="AA220" t="s">
        <v>47</v>
      </c>
      <c r="AB220">
        <v>2</v>
      </c>
      <c r="AC220">
        <v>1</v>
      </c>
      <c r="AD220">
        <v>0</v>
      </c>
      <c r="AE220" t="s">
        <v>44</v>
      </c>
      <c r="AF220" t="s">
        <v>43</v>
      </c>
      <c r="AG220">
        <f t="shared" si="81"/>
        <v>1</v>
      </c>
      <c r="AH220" t="s">
        <v>43</v>
      </c>
      <c r="AI220">
        <f t="shared" si="82"/>
        <v>1</v>
      </c>
      <c r="AJ220" t="s">
        <v>44</v>
      </c>
      <c r="AK220">
        <f t="shared" si="83"/>
        <v>0</v>
      </c>
      <c r="AL220">
        <f t="shared" si="84"/>
        <v>0</v>
      </c>
      <c r="AM220">
        <v>3</v>
      </c>
      <c r="AN220">
        <f t="shared" si="85"/>
        <v>0</v>
      </c>
      <c r="AO220">
        <f t="shared" si="86"/>
        <v>0</v>
      </c>
      <c r="AP220">
        <f t="shared" si="87"/>
        <v>0</v>
      </c>
      <c r="AQ220">
        <v>7</v>
      </c>
      <c r="AR220">
        <v>7</v>
      </c>
      <c r="AS220">
        <v>8</v>
      </c>
    </row>
    <row r="221" spans="1:45" x14ac:dyDescent="0.2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f t="shared" si="71"/>
        <v>1</v>
      </c>
      <c r="H221">
        <v>2</v>
      </c>
      <c r="I221">
        <f t="shared" si="72"/>
        <v>0</v>
      </c>
      <c r="J221">
        <f t="shared" si="73"/>
        <v>0</v>
      </c>
      <c r="K221">
        <f t="shared" si="74"/>
        <v>1</v>
      </c>
      <c r="L221">
        <f t="shared" si="75"/>
        <v>0</v>
      </c>
      <c r="M221">
        <f t="shared" si="76"/>
        <v>0</v>
      </c>
      <c r="N221">
        <v>2</v>
      </c>
      <c r="O221">
        <f t="shared" si="66"/>
        <v>0</v>
      </c>
      <c r="P221">
        <f t="shared" si="67"/>
        <v>0</v>
      </c>
      <c r="Q221">
        <f t="shared" si="68"/>
        <v>1</v>
      </c>
      <c r="R221">
        <f t="shared" si="69"/>
        <v>0</v>
      </c>
      <c r="S221">
        <f t="shared" si="70"/>
        <v>0</v>
      </c>
      <c r="T221">
        <f t="shared" si="77"/>
        <v>0</v>
      </c>
      <c r="U221">
        <f t="shared" si="78"/>
        <v>0</v>
      </c>
      <c r="V221">
        <f t="shared" si="79"/>
        <v>0</v>
      </c>
      <c r="W221">
        <f t="shared" si="80"/>
        <v>0</v>
      </c>
      <c r="X221" t="s">
        <v>39</v>
      </c>
      <c r="Y221" t="s">
        <v>39</v>
      </c>
      <c r="Z221" t="s">
        <v>41</v>
      </c>
      <c r="AA221" t="s">
        <v>42</v>
      </c>
      <c r="AB221">
        <v>1</v>
      </c>
      <c r="AC221">
        <v>3</v>
      </c>
      <c r="AD221">
        <v>0</v>
      </c>
      <c r="AE221" t="s">
        <v>44</v>
      </c>
      <c r="AF221" t="s">
        <v>43</v>
      </c>
      <c r="AG221">
        <f t="shared" si="81"/>
        <v>1</v>
      </c>
      <c r="AH221" t="s">
        <v>43</v>
      </c>
      <c r="AI221">
        <f t="shared" si="82"/>
        <v>1</v>
      </c>
      <c r="AJ221" t="s">
        <v>43</v>
      </c>
      <c r="AK221">
        <f t="shared" si="83"/>
        <v>1</v>
      </c>
      <c r="AL221">
        <f t="shared" si="84"/>
        <v>1</v>
      </c>
      <c r="AM221">
        <v>4</v>
      </c>
      <c r="AN221">
        <f t="shared" si="85"/>
        <v>0</v>
      </c>
      <c r="AO221">
        <f t="shared" si="86"/>
        <v>0</v>
      </c>
      <c r="AP221">
        <f t="shared" si="87"/>
        <v>0</v>
      </c>
      <c r="AQ221">
        <v>9</v>
      </c>
      <c r="AR221">
        <v>10</v>
      </c>
      <c r="AS221">
        <v>10</v>
      </c>
    </row>
    <row r="222" spans="1:45" x14ac:dyDescent="0.2">
      <c r="A222" t="s">
        <v>34</v>
      </c>
      <c r="B222" t="s">
        <v>35</v>
      </c>
      <c r="C222">
        <v>17</v>
      </c>
      <c r="D222" t="s">
        <v>53</v>
      </c>
      <c r="E222" t="s">
        <v>37</v>
      </c>
      <c r="F222" t="s">
        <v>45</v>
      </c>
      <c r="G222">
        <f t="shared" si="71"/>
        <v>1</v>
      </c>
      <c r="H222">
        <v>2</v>
      </c>
      <c r="I222">
        <f t="shared" si="72"/>
        <v>0</v>
      </c>
      <c r="J222">
        <f t="shared" si="73"/>
        <v>0</v>
      </c>
      <c r="K222">
        <f t="shared" si="74"/>
        <v>1</v>
      </c>
      <c r="L222">
        <f t="shared" si="75"/>
        <v>0</v>
      </c>
      <c r="M222">
        <f t="shared" si="76"/>
        <v>0</v>
      </c>
      <c r="N222">
        <v>1</v>
      </c>
      <c r="O222">
        <f t="shared" si="66"/>
        <v>0</v>
      </c>
      <c r="P222">
        <f t="shared" si="67"/>
        <v>1</v>
      </c>
      <c r="Q222">
        <f t="shared" si="68"/>
        <v>0</v>
      </c>
      <c r="R222">
        <f t="shared" si="69"/>
        <v>0</v>
      </c>
      <c r="S222">
        <f t="shared" si="70"/>
        <v>0</v>
      </c>
      <c r="T222">
        <f t="shared" si="77"/>
        <v>0</v>
      </c>
      <c r="U222">
        <f t="shared" si="78"/>
        <v>0</v>
      </c>
      <c r="V222">
        <f t="shared" si="79"/>
        <v>0</v>
      </c>
      <c r="W222">
        <f t="shared" si="80"/>
        <v>0</v>
      </c>
      <c r="X222" t="s">
        <v>39</v>
      </c>
      <c r="Y222" t="s">
        <v>49</v>
      </c>
      <c r="Z222" t="s">
        <v>52</v>
      </c>
      <c r="AA222" t="s">
        <v>42</v>
      </c>
      <c r="AB222">
        <v>2</v>
      </c>
      <c r="AC222">
        <v>2</v>
      </c>
      <c r="AD222">
        <v>0</v>
      </c>
      <c r="AE222" t="s">
        <v>44</v>
      </c>
      <c r="AF222" t="s">
        <v>43</v>
      </c>
      <c r="AG222">
        <f t="shared" si="81"/>
        <v>1</v>
      </c>
      <c r="AH222" t="s">
        <v>44</v>
      </c>
      <c r="AI222">
        <f t="shared" si="82"/>
        <v>0</v>
      </c>
      <c r="AJ222" t="s">
        <v>43</v>
      </c>
      <c r="AK222">
        <f t="shared" si="83"/>
        <v>1</v>
      </c>
      <c r="AL222">
        <f t="shared" si="84"/>
        <v>0</v>
      </c>
      <c r="AM222">
        <v>2</v>
      </c>
      <c r="AN222">
        <f t="shared" si="85"/>
        <v>0</v>
      </c>
      <c r="AO222">
        <f t="shared" si="86"/>
        <v>0</v>
      </c>
      <c r="AP222">
        <f t="shared" si="87"/>
        <v>0</v>
      </c>
      <c r="AQ222">
        <v>6</v>
      </c>
      <c r="AR222">
        <v>6</v>
      </c>
      <c r="AS222">
        <v>6</v>
      </c>
    </row>
    <row r="223" spans="1:45" x14ac:dyDescent="0.2">
      <c r="A223" t="s">
        <v>34</v>
      </c>
      <c r="B223" t="s">
        <v>35</v>
      </c>
      <c r="C223">
        <v>17</v>
      </c>
      <c r="D223" t="s">
        <v>36</v>
      </c>
      <c r="E223" t="s">
        <v>37</v>
      </c>
      <c r="F223" t="s">
        <v>45</v>
      </c>
      <c r="G223">
        <f t="shared" si="71"/>
        <v>1</v>
      </c>
      <c r="H223">
        <v>1</v>
      </c>
      <c r="I223">
        <f t="shared" si="72"/>
        <v>0</v>
      </c>
      <c r="J223">
        <f t="shared" si="73"/>
        <v>1</v>
      </c>
      <c r="K223">
        <f t="shared" si="74"/>
        <v>0</v>
      </c>
      <c r="L223">
        <f t="shared" si="75"/>
        <v>0</v>
      </c>
      <c r="M223">
        <f t="shared" si="76"/>
        <v>0</v>
      </c>
      <c r="N223">
        <v>1</v>
      </c>
      <c r="O223">
        <f t="shared" si="66"/>
        <v>0</v>
      </c>
      <c r="P223">
        <f t="shared" si="67"/>
        <v>1</v>
      </c>
      <c r="Q223">
        <f t="shared" si="68"/>
        <v>0</v>
      </c>
      <c r="R223">
        <f t="shared" si="69"/>
        <v>0</v>
      </c>
      <c r="S223">
        <f t="shared" si="70"/>
        <v>0</v>
      </c>
      <c r="T223">
        <f t="shared" si="77"/>
        <v>0</v>
      </c>
      <c r="U223">
        <f t="shared" si="78"/>
        <v>0</v>
      </c>
      <c r="V223">
        <f t="shared" si="79"/>
        <v>0</v>
      </c>
      <c r="W223">
        <f t="shared" si="80"/>
        <v>0</v>
      </c>
      <c r="X223" t="s">
        <v>39</v>
      </c>
      <c r="Y223" t="s">
        <v>46</v>
      </c>
      <c r="Z223" t="s">
        <v>52</v>
      </c>
      <c r="AA223" t="s">
        <v>42</v>
      </c>
      <c r="AB223">
        <v>1</v>
      </c>
      <c r="AC223">
        <v>3</v>
      </c>
      <c r="AD223">
        <v>1</v>
      </c>
      <c r="AE223" t="s">
        <v>44</v>
      </c>
      <c r="AF223" t="s">
        <v>43</v>
      </c>
      <c r="AG223">
        <f t="shared" si="81"/>
        <v>1</v>
      </c>
      <c r="AH223" t="s">
        <v>44</v>
      </c>
      <c r="AI223">
        <f t="shared" si="82"/>
        <v>0</v>
      </c>
      <c r="AJ223" t="s">
        <v>44</v>
      </c>
      <c r="AK223">
        <f t="shared" si="83"/>
        <v>0</v>
      </c>
      <c r="AL223">
        <f t="shared" si="84"/>
        <v>0</v>
      </c>
      <c r="AM223">
        <v>0</v>
      </c>
      <c r="AN223">
        <f t="shared" si="85"/>
        <v>0</v>
      </c>
      <c r="AO223">
        <f t="shared" si="86"/>
        <v>0</v>
      </c>
      <c r="AP223">
        <f t="shared" si="87"/>
        <v>0</v>
      </c>
      <c r="AQ223">
        <v>6</v>
      </c>
      <c r="AR223">
        <v>5</v>
      </c>
      <c r="AS223">
        <v>0</v>
      </c>
    </row>
    <row r="224" spans="1:45" x14ac:dyDescent="0.2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f t="shared" si="71"/>
        <v>1</v>
      </c>
      <c r="H224">
        <v>2</v>
      </c>
      <c r="I224">
        <f t="shared" si="72"/>
        <v>0</v>
      </c>
      <c r="J224">
        <f t="shared" si="73"/>
        <v>0</v>
      </c>
      <c r="K224">
        <f t="shared" si="74"/>
        <v>1</v>
      </c>
      <c r="L224">
        <f t="shared" si="75"/>
        <v>0</v>
      </c>
      <c r="M224">
        <f t="shared" si="76"/>
        <v>0</v>
      </c>
      <c r="N224">
        <v>3</v>
      </c>
      <c r="O224">
        <f t="shared" si="66"/>
        <v>0</v>
      </c>
      <c r="P224">
        <f t="shared" si="67"/>
        <v>0</v>
      </c>
      <c r="Q224">
        <f t="shared" si="68"/>
        <v>0</v>
      </c>
      <c r="R224">
        <f t="shared" si="69"/>
        <v>1</v>
      </c>
      <c r="S224">
        <f t="shared" si="70"/>
        <v>0</v>
      </c>
      <c r="T224">
        <f t="shared" si="77"/>
        <v>0</v>
      </c>
      <c r="U224">
        <f t="shared" si="78"/>
        <v>0</v>
      </c>
      <c r="V224">
        <f t="shared" si="79"/>
        <v>0</v>
      </c>
      <c r="W224">
        <f t="shared" si="80"/>
        <v>0</v>
      </c>
      <c r="X224" t="s">
        <v>49</v>
      </c>
      <c r="Y224" t="s">
        <v>40</v>
      </c>
      <c r="Z224" t="s">
        <v>46</v>
      </c>
      <c r="AA224" t="s">
        <v>42</v>
      </c>
      <c r="AB224">
        <v>1</v>
      </c>
      <c r="AC224">
        <v>2</v>
      </c>
      <c r="AD224">
        <v>0</v>
      </c>
      <c r="AE224" t="s">
        <v>43</v>
      </c>
      <c r="AF224" t="s">
        <v>44</v>
      </c>
      <c r="AG224">
        <f t="shared" si="81"/>
        <v>0</v>
      </c>
      <c r="AH224" t="s">
        <v>44</v>
      </c>
      <c r="AI224">
        <f t="shared" si="82"/>
        <v>0</v>
      </c>
      <c r="AJ224" t="s">
        <v>43</v>
      </c>
      <c r="AK224">
        <f t="shared" si="83"/>
        <v>1</v>
      </c>
      <c r="AL224">
        <f t="shared" si="84"/>
        <v>0</v>
      </c>
      <c r="AM224">
        <v>2</v>
      </c>
      <c r="AN224">
        <f t="shared" si="85"/>
        <v>0</v>
      </c>
      <c r="AO224">
        <f t="shared" si="86"/>
        <v>0</v>
      </c>
      <c r="AP224">
        <f t="shared" si="87"/>
        <v>0</v>
      </c>
      <c r="AQ224">
        <v>16</v>
      </c>
      <c r="AR224">
        <v>16</v>
      </c>
      <c r="AS224">
        <v>17</v>
      </c>
    </row>
    <row r="225" spans="1:45" x14ac:dyDescent="0.2">
      <c r="A225" t="s">
        <v>34</v>
      </c>
      <c r="B225" t="s">
        <v>51</v>
      </c>
      <c r="C225">
        <v>18</v>
      </c>
      <c r="D225" t="s">
        <v>36</v>
      </c>
      <c r="E225" t="s">
        <v>37</v>
      </c>
      <c r="F225" t="s">
        <v>45</v>
      </c>
      <c r="G225">
        <f t="shared" si="71"/>
        <v>1</v>
      </c>
      <c r="H225">
        <v>2</v>
      </c>
      <c r="I225">
        <f t="shared" si="72"/>
        <v>0</v>
      </c>
      <c r="J225">
        <f t="shared" si="73"/>
        <v>0</v>
      </c>
      <c r="K225">
        <f t="shared" si="74"/>
        <v>1</v>
      </c>
      <c r="L225">
        <f t="shared" si="75"/>
        <v>0</v>
      </c>
      <c r="M225">
        <f t="shared" si="76"/>
        <v>0</v>
      </c>
      <c r="N225">
        <v>2</v>
      </c>
      <c r="O225">
        <f t="shared" si="66"/>
        <v>0</v>
      </c>
      <c r="P225">
        <f t="shared" si="67"/>
        <v>0</v>
      </c>
      <c r="Q225">
        <f t="shared" si="68"/>
        <v>1</v>
      </c>
      <c r="R225">
        <f t="shared" si="69"/>
        <v>0</v>
      </c>
      <c r="S225">
        <f t="shared" si="70"/>
        <v>0</v>
      </c>
      <c r="T225">
        <f t="shared" si="77"/>
        <v>0</v>
      </c>
      <c r="U225">
        <f t="shared" si="78"/>
        <v>0</v>
      </c>
      <c r="V225">
        <f t="shared" si="79"/>
        <v>0</v>
      </c>
      <c r="W225">
        <f t="shared" si="80"/>
        <v>0</v>
      </c>
      <c r="X225" t="s">
        <v>46</v>
      </c>
      <c r="Y225" t="s">
        <v>46</v>
      </c>
      <c r="Z225" t="s">
        <v>50</v>
      </c>
      <c r="AA225" t="s">
        <v>42</v>
      </c>
      <c r="AB225">
        <v>2</v>
      </c>
      <c r="AC225">
        <v>2</v>
      </c>
      <c r="AD225">
        <v>0</v>
      </c>
      <c r="AE225" t="s">
        <v>44</v>
      </c>
      <c r="AF225" t="s">
        <v>43</v>
      </c>
      <c r="AG225">
        <f t="shared" si="81"/>
        <v>1</v>
      </c>
      <c r="AH225" t="s">
        <v>43</v>
      </c>
      <c r="AI225">
        <f t="shared" si="82"/>
        <v>1</v>
      </c>
      <c r="AJ225" t="s">
        <v>43</v>
      </c>
      <c r="AK225">
        <f t="shared" si="83"/>
        <v>1</v>
      </c>
      <c r="AL225">
        <f t="shared" si="84"/>
        <v>1</v>
      </c>
      <c r="AM225">
        <v>0</v>
      </c>
      <c r="AN225">
        <f t="shared" si="85"/>
        <v>0</v>
      </c>
      <c r="AO225">
        <f t="shared" si="86"/>
        <v>0</v>
      </c>
      <c r="AP225">
        <f t="shared" si="87"/>
        <v>0</v>
      </c>
      <c r="AQ225">
        <v>12</v>
      </c>
      <c r="AR225">
        <v>13</v>
      </c>
      <c r="AS225">
        <v>13</v>
      </c>
    </row>
    <row r="226" spans="1:45" x14ac:dyDescent="0.2">
      <c r="A226" t="s">
        <v>34</v>
      </c>
      <c r="B226" t="s">
        <v>35</v>
      </c>
      <c r="C226">
        <v>16</v>
      </c>
      <c r="D226" t="s">
        <v>36</v>
      </c>
      <c r="E226" t="s">
        <v>37</v>
      </c>
      <c r="F226" t="s">
        <v>45</v>
      </c>
      <c r="G226">
        <f t="shared" si="71"/>
        <v>1</v>
      </c>
      <c r="H226">
        <v>4</v>
      </c>
      <c r="I226">
        <f t="shared" si="72"/>
        <v>0</v>
      </c>
      <c r="J226">
        <f t="shared" si="73"/>
        <v>0</v>
      </c>
      <c r="K226">
        <f t="shared" si="74"/>
        <v>0</v>
      </c>
      <c r="L226">
        <f t="shared" si="75"/>
        <v>0</v>
      </c>
      <c r="M226">
        <f t="shared" si="76"/>
        <v>1</v>
      </c>
      <c r="N226">
        <v>4</v>
      </c>
      <c r="O226">
        <f t="shared" si="66"/>
        <v>0</v>
      </c>
      <c r="P226">
        <f t="shared" si="67"/>
        <v>0</v>
      </c>
      <c r="Q226">
        <f t="shared" si="68"/>
        <v>0</v>
      </c>
      <c r="R226">
        <f t="shared" si="69"/>
        <v>0</v>
      </c>
      <c r="S226">
        <f t="shared" si="70"/>
        <v>1</v>
      </c>
      <c r="T226">
        <f t="shared" si="77"/>
        <v>1</v>
      </c>
      <c r="U226">
        <f t="shared" si="78"/>
        <v>0</v>
      </c>
      <c r="V226">
        <f t="shared" si="79"/>
        <v>0</v>
      </c>
      <c r="W226">
        <f t="shared" si="80"/>
        <v>0</v>
      </c>
      <c r="X226" t="s">
        <v>40</v>
      </c>
      <c r="Y226" t="s">
        <v>49</v>
      </c>
      <c r="Z226" t="s">
        <v>50</v>
      </c>
      <c r="AA226" t="s">
        <v>42</v>
      </c>
      <c r="AB226">
        <v>1</v>
      </c>
      <c r="AC226">
        <v>3</v>
      </c>
      <c r="AD226">
        <v>0</v>
      </c>
      <c r="AE226" t="s">
        <v>44</v>
      </c>
      <c r="AF226" t="s">
        <v>43</v>
      </c>
      <c r="AG226">
        <f t="shared" si="81"/>
        <v>1</v>
      </c>
      <c r="AH226" t="s">
        <v>44</v>
      </c>
      <c r="AI226">
        <f t="shared" si="82"/>
        <v>0</v>
      </c>
      <c r="AJ226" t="s">
        <v>43</v>
      </c>
      <c r="AK226">
        <f t="shared" si="83"/>
        <v>1</v>
      </c>
      <c r="AL226">
        <f t="shared" si="84"/>
        <v>0</v>
      </c>
      <c r="AM226">
        <v>0</v>
      </c>
      <c r="AN226">
        <f t="shared" si="85"/>
        <v>0</v>
      </c>
      <c r="AO226">
        <f t="shared" si="86"/>
        <v>0</v>
      </c>
      <c r="AP226">
        <f t="shared" si="87"/>
        <v>0</v>
      </c>
      <c r="AQ226">
        <v>13</v>
      </c>
      <c r="AR226">
        <v>13</v>
      </c>
      <c r="AS226">
        <v>14</v>
      </c>
    </row>
    <row r="227" spans="1:45" x14ac:dyDescent="0.2">
      <c r="A227" t="s">
        <v>34</v>
      </c>
      <c r="B227" t="s">
        <v>35</v>
      </c>
      <c r="C227">
        <v>18</v>
      </c>
      <c r="D227" t="s">
        <v>53</v>
      </c>
      <c r="E227" t="s">
        <v>37</v>
      </c>
      <c r="F227" t="s">
        <v>45</v>
      </c>
      <c r="G227">
        <f t="shared" si="71"/>
        <v>1</v>
      </c>
      <c r="H227">
        <v>3</v>
      </c>
      <c r="I227">
        <f t="shared" si="72"/>
        <v>0</v>
      </c>
      <c r="J227">
        <f t="shared" si="73"/>
        <v>0</v>
      </c>
      <c r="K227">
        <f t="shared" si="74"/>
        <v>0</v>
      </c>
      <c r="L227">
        <f t="shared" si="75"/>
        <v>1</v>
      </c>
      <c r="M227">
        <f t="shared" si="76"/>
        <v>0</v>
      </c>
      <c r="N227">
        <v>1</v>
      </c>
      <c r="O227">
        <f t="shared" si="66"/>
        <v>0</v>
      </c>
      <c r="P227">
        <f t="shared" si="67"/>
        <v>1</v>
      </c>
      <c r="Q227">
        <f t="shared" si="68"/>
        <v>0</v>
      </c>
      <c r="R227">
        <f t="shared" si="69"/>
        <v>0</v>
      </c>
      <c r="S227">
        <f t="shared" si="70"/>
        <v>0</v>
      </c>
      <c r="T227">
        <f t="shared" si="77"/>
        <v>0</v>
      </c>
      <c r="U227">
        <f t="shared" si="78"/>
        <v>0</v>
      </c>
      <c r="V227">
        <f t="shared" si="79"/>
        <v>0</v>
      </c>
      <c r="W227">
        <f t="shared" si="80"/>
        <v>0</v>
      </c>
      <c r="X227" t="s">
        <v>46</v>
      </c>
      <c r="Y227" t="s">
        <v>46</v>
      </c>
      <c r="Z227" t="s">
        <v>52</v>
      </c>
      <c r="AA227" t="s">
        <v>42</v>
      </c>
      <c r="AB227">
        <v>1</v>
      </c>
      <c r="AC227">
        <v>2</v>
      </c>
      <c r="AD227">
        <v>1</v>
      </c>
      <c r="AE227" t="s">
        <v>44</v>
      </c>
      <c r="AF227" t="s">
        <v>44</v>
      </c>
      <c r="AG227">
        <f t="shared" si="81"/>
        <v>0</v>
      </c>
      <c r="AH227" t="s">
        <v>44</v>
      </c>
      <c r="AI227">
        <f t="shared" si="82"/>
        <v>0</v>
      </c>
      <c r="AJ227" t="s">
        <v>43</v>
      </c>
      <c r="AK227">
        <f t="shared" si="83"/>
        <v>1</v>
      </c>
      <c r="AL227">
        <f t="shared" si="84"/>
        <v>0</v>
      </c>
      <c r="AM227">
        <v>16</v>
      </c>
      <c r="AN227">
        <f t="shared" si="85"/>
        <v>0</v>
      </c>
      <c r="AO227">
        <f t="shared" si="86"/>
        <v>0</v>
      </c>
      <c r="AP227">
        <f t="shared" si="87"/>
        <v>0</v>
      </c>
      <c r="AQ227">
        <v>9</v>
      </c>
      <c r="AR227">
        <v>8</v>
      </c>
      <c r="AS227">
        <v>7</v>
      </c>
    </row>
    <row r="228" spans="1:45" x14ac:dyDescent="0.2">
      <c r="A228" t="s">
        <v>34</v>
      </c>
      <c r="B228" t="s">
        <v>35</v>
      </c>
      <c r="C228">
        <v>17</v>
      </c>
      <c r="D228" t="s">
        <v>36</v>
      </c>
      <c r="E228" t="s">
        <v>37</v>
      </c>
      <c r="F228" t="s">
        <v>45</v>
      </c>
      <c r="G228">
        <f t="shared" si="71"/>
        <v>1</v>
      </c>
      <c r="H228">
        <v>3</v>
      </c>
      <c r="I228">
        <f t="shared" si="72"/>
        <v>0</v>
      </c>
      <c r="J228">
        <f t="shared" si="73"/>
        <v>0</v>
      </c>
      <c r="K228">
        <f t="shared" si="74"/>
        <v>0</v>
      </c>
      <c r="L228">
        <f t="shared" si="75"/>
        <v>1</v>
      </c>
      <c r="M228">
        <f t="shared" si="76"/>
        <v>0</v>
      </c>
      <c r="N228">
        <v>2</v>
      </c>
      <c r="O228">
        <f t="shared" si="66"/>
        <v>0</v>
      </c>
      <c r="P228">
        <f t="shared" si="67"/>
        <v>0</v>
      </c>
      <c r="Q228">
        <f t="shared" si="68"/>
        <v>1</v>
      </c>
      <c r="R228">
        <f t="shared" si="69"/>
        <v>0</v>
      </c>
      <c r="S228">
        <f t="shared" si="70"/>
        <v>0</v>
      </c>
      <c r="T228">
        <f t="shared" si="77"/>
        <v>0</v>
      </c>
      <c r="U228">
        <f t="shared" si="78"/>
        <v>0</v>
      </c>
      <c r="V228">
        <f t="shared" si="79"/>
        <v>0</v>
      </c>
      <c r="W228">
        <f t="shared" si="80"/>
        <v>0</v>
      </c>
      <c r="X228" t="s">
        <v>46</v>
      </c>
      <c r="Y228" t="s">
        <v>46</v>
      </c>
      <c r="Z228" t="s">
        <v>41</v>
      </c>
      <c r="AA228" t="s">
        <v>42</v>
      </c>
      <c r="AB228">
        <v>1</v>
      </c>
      <c r="AC228">
        <v>2</v>
      </c>
      <c r="AD228">
        <v>0</v>
      </c>
      <c r="AE228" t="s">
        <v>44</v>
      </c>
      <c r="AF228" t="s">
        <v>44</v>
      </c>
      <c r="AG228">
        <f t="shared" si="81"/>
        <v>0</v>
      </c>
      <c r="AH228" t="s">
        <v>44</v>
      </c>
      <c r="AI228">
        <f t="shared" si="82"/>
        <v>0</v>
      </c>
      <c r="AJ228" t="s">
        <v>43</v>
      </c>
      <c r="AK228">
        <f t="shared" si="83"/>
        <v>1</v>
      </c>
      <c r="AL228">
        <f t="shared" si="84"/>
        <v>0</v>
      </c>
      <c r="AM228">
        <v>10</v>
      </c>
      <c r="AN228">
        <f t="shared" si="85"/>
        <v>0</v>
      </c>
      <c r="AO228">
        <f t="shared" si="86"/>
        <v>0</v>
      </c>
      <c r="AP228">
        <f t="shared" si="87"/>
        <v>0</v>
      </c>
      <c r="AQ228">
        <v>16</v>
      </c>
      <c r="AR228">
        <v>15</v>
      </c>
      <c r="AS228">
        <v>15</v>
      </c>
    </row>
    <row r="229" spans="1:45" x14ac:dyDescent="0.2">
      <c r="A229" t="s">
        <v>34</v>
      </c>
      <c r="B229" t="s">
        <v>51</v>
      </c>
      <c r="C229">
        <v>17</v>
      </c>
      <c r="D229" t="s">
        <v>36</v>
      </c>
      <c r="E229" t="s">
        <v>48</v>
      </c>
      <c r="F229" t="s">
        <v>45</v>
      </c>
      <c r="G229">
        <f t="shared" si="71"/>
        <v>1</v>
      </c>
      <c r="H229">
        <v>2</v>
      </c>
      <c r="I229">
        <f t="shared" si="72"/>
        <v>0</v>
      </c>
      <c r="J229">
        <f t="shared" si="73"/>
        <v>0</v>
      </c>
      <c r="K229">
        <f t="shared" si="74"/>
        <v>1</v>
      </c>
      <c r="L229">
        <f t="shared" si="75"/>
        <v>0</v>
      </c>
      <c r="M229">
        <f t="shared" si="76"/>
        <v>0</v>
      </c>
      <c r="N229">
        <v>3</v>
      </c>
      <c r="O229">
        <f t="shared" si="66"/>
        <v>0</v>
      </c>
      <c r="P229">
        <f t="shared" si="67"/>
        <v>0</v>
      </c>
      <c r="Q229">
        <f t="shared" si="68"/>
        <v>0</v>
      </c>
      <c r="R229">
        <f t="shared" si="69"/>
        <v>1</v>
      </c>
      <c r="S229">
        <f t="shared" si="70"/>
        <v>0</v>
      </c>
      <c r="T229">
        <f t="shared" si="77"/>
        <v>0</v>
      </c>
      <c r="U229">
        <f t="shared" si="78"/>
        <v>0</v>
      </c>
      <c r="V229">
        <f t="shared" si="79"/>
        <v>0</v>
      </c>
      <c r="W229">
        <f t="shared" si="80"/>
        <v>0</v>
      </c>
      <c r="X229" t="s">
        <v>49</v>
      </c>
      <c r="Y229" t="s">
        <v>49</v>
      </c>
      <c r="Z229" t="s">
        <v>52</v>
      </c>
      <c r="AA229" t="s">
        <v>47</v>
      </c>
      <c r="AB229">
        <v>1</v>
      </c>
      <c r="AC229">
        <v>2</v>
      </c>
      <c r="AD229">
        <v>0</v>
      </c>
      <c r="AE229" t="s">
        <v>44</v>
      </c>
      <c r="AF229" t="s">
        <v>43</v>
      </c>
      <c r="AG229">
        <f t="shared" si="81"/>
        <v>1</v>
      </c>
      <c r="AH229" t="s">
        <v>43</v>
      </c>
      <c r="AI229">
        <f t="shared" si="82"/>
        <v>1</v>
      </c>
      <c r="AJ229" t="s">
        <v>43</v>
      </c>
      <c r="AK229">
        <f t="shared" si="83"/>
        <v>1</v>
      </c>
      <c r="AL229">
        <f t="shared" si="84"/>
        <v>1</v>
      </c>
      <c r="AM229">
        <v>2</v>
      </c>
      <c r="AN229">
        <f t="shared" si="85"/>
        <v>0</v>
      </c>
      <c r="AO229">
        <f t="shared" si="86"/>
        <v>0</v>
      </c>
      <c r="AP229">
        <f t="shared" si="87"/>
        <v>0</v>
      </c>
      <c r="AQ229">
        <v>12</v>
      </c>
      <c r="AR229">
        <v>11</v>
      </c>
      <c r="AS229">
        <v>12</v>
      </c>
    </row>
    <row r="230" spans="1:45" x14ac:dyDescent="0.2">
      <c r="A230" t="s">
        <v>34</v>
      </c>
      <c r="B230" t="s">
        <v>51</v>
      </c>
      <c r="C230">
        <v>18</v>
      </c>
      <c r="D230" t="s">
        <v>36</v>
      </c>
      <c r="E230" t="s">
        <v>48</v>
      </c>
      <c r="F230" t="s">
        <v>45</v>
      </c>
      <c r="G230">
        <f t="shared" si="71"/>
        <v>1</v>
      </c>
      <c r="H230">
        <v>2</v>
      </c>
      <c r="I230">
        <f t="shared" si="72"/>
        <v>0</v>
      </c>
      <c r="J230">
        <f t="shared" si="73"/>
        <v>0</v>
      </c>
      <c r="K230">
        <f t="shared" si="74"/>
        <v>1</v>
      </c>
      <c r="L230">
        <f t="shared" si="75"/>
        <v>0</v>
      </c>
      <c r="M230">
        <f t="shared" si="76"/>
        <v>0</v>
      </c>
      <c r="N230">
        <v>1</v>
      </c>
      <c r="O230">
        <f t="shared" si="66"/>
        <v>0</v>
      </c>
      <c r="P230">
        <f t="shared" si="67"/>
        <v>1</v>
      </c>
      <c r="Q230">
        <f t="shared" si="68"/>
        <v>0</v>
      </c>
      <c r="R230">
        <f t="shared" si="69"/>
        <v>0</v>
      </c>
      <c r="S230">
        <f t="shared" si="70"/>
        <v>0</v>
      </c>
      <c r="T230">
        <f t="shared" si="77"/>
        <v>0</v>
      </c>
      <c r="U230">
        <f t="shared" si="78"/>
        <v>0</v>
      </c>
      <c r="V230">
        <f t="shared" si="79"/>
        <v>0</v>
      </c>
      <c r="W230">
        <f t="shared" si="80"/>
        <v>0</v>
      </c>
      <c r="X230" t="s">
        <v>39</v>
      </c>
      <c r="Y230" t="s">
        <v>46</v>
      </c>
      <c r="Z230" t="s">
        <v>41</v>
      </c>
      <c r="AA230" t="s">
        <v>42</v>
      </c>
      <c r="AB230">
        <v>4</v>
      </c>
      <c r="AC230">
        <v>2</v>
      </c>
      <c r="AD230">
        <v>0</v>
      </c>
      <c r="AE230" t="s">
        <v>43</v>
      </c>
      <c r="AF230" t="s">
        <v>43</v>
      </c>
      <c r="AG230">
        <f t="shared" si="81"/>
        <v>1</v>
      </c>
      <c r="AH230" t="s">
        <v>43</v>
      </c>
      <c r="AI230">
        <f t="shared" si="82"/>
        <v>1</v>
      </c>
      <c r="AJ230" t="s">
        <v>43</v>
      </c>
      <c r="AK230">
        <f t="shared" si="83"/>
        <v>1</v>
      </c>
      <c r="AL230">
        <f t="shared" si="84"/>
        <v>1</v>
      </c>
      <c r="AM230">
        <v>14</v>
      </c>
      <c r="AN230">
        <f t="shared" si="85"/>
        <v>0</v>
      </c>
      <c r="AO230">
        <f t="shared" si="86"/>
        <v>0</v>
      </c>
      <c r="AP230">
        <f t="shared" si="87"/>
        <v>0</v>
      </c>
      <c r="AQ230">
        <v>10</v>
      </c>
      <c r="AR230">
        <v>8</v>
      </c>
      <c r="AS230">
        <v>9</v>
      </c>
    </row>
    <row r="231" spans="1:45" x14ac:dyDescent="0.2">
      <c r="A231" t="s">
        <v>34</v>
      </c>
      <c r="B231" t="s">
        <v>35</v>
      </c>
      <c r="C231">
        <v>17</v>
      </c>
      <c r="D231" t="s">
        <v>36</v>
      </c>
      <c r="E231" t="s">
        <v>37</v>
      </c>
      <c r="F231" t="s">
        <v>38</v>
      </c>
      <c r="G231">
        <f t="shared" si="71"/>
        <v>0</v>
      </c>
      <c r="H231">
        <v>2</v>
      </c>
      <c r="I231">
        <f t="shared" si="72"/>
        <v>0</v>
      </c>
      <c r="J231">
        <f t="shared" si="73"/>
        <v>0</v>
      </c>
      <c r="K231">
        <f t="shared" si="74"/>
        <v>1</v>
      </c>
      <c r="L231">
        <f t="shared" si="75"/>
        <v>0</v>
      </c>
      <c r="M231">
        <f t="shared" si="76"/>
        <v>0</v>
      </c>
      <c r="N231">
        <v>1</v>
      </c>
      <c r="O231">
        <f t="shared" si="66"/>
        <v>0</v>
      </c>
      <c r="P231">
        <f t="shared" si="67"/>
        <v>1</v>
      </c>
      <c r="Q231">
        <f t="shared" si="68"/>
        <v>0</v>
      </c>
      <c r="R231">
        <f t="shared" si="69"/>
        <v>0</v>
      </c>
      <c r="S231">
        <f t="shared" si="70"/>
        <v>0</v>
      </c>
      <c r="T231">
        <f t="shared" si="77"/>
        <v>0</v>
      </c>
      <c r="U231">
        <f t="shared" si="78"/>
        <v>0</v>
      </c>
      <c r="V231">
        <f t="shared" si="79"/>
        <v>0</v>
      </c>
      <c r="W231">
        <f t="shared" si="80"/>
        <v>0</v>
      </c>
      <c r="X231" t="s">
        <v>46</v>
      </c>
      <c r="Y231" t="s">
        <v>46</v>
      </c>
      <c r="Z231" t="s">
        <v>41</v>
      </c>
      <c r="AA231" t="s">
        <v>42</v>
      </c>
      <c r="AB231">
        <v>2</v>
      </c>
      <c r="AC231">
        <v>3</v>
      </c>
      <c r="AD231">
        <v>0</v>
      </c>
      <c r="AE231" t="s">
        <v>44</v>
      </c>
      <c r="AF231" t="s">
        <v>44</v>
      </c>
      <c r="AG231">
        <f t="shared" si="81"/>
        <v>0</v>
      </c>
      <c r="AH231" t="s">
        <v>44</v>
      </c>
      <c r="AI231">
        <f t="shared" si="82"/>
        <v>0</v>
      </c>
      <c r="AJ231" t="s">
        <v>43</v>
      </c>
      <c r="AK231">
        <f t="shared" si="83"/>
        <v>1</v>
      </c>
      <c r="AL231">
        <f t="shared" si="84"/>
        <v>0</v>
      </c>
      <c r="AM231">
        <v>10</v>
      </c>
      <c r="AN231">
        <f t="shared" si="85"/>
        <v>0</v>
      </c>
      <c r="AO231">
        <f t="shared" si="86"/>
        <v>0</v>
      </c>
      <c r="AP231">
        <f t="shared" si="87"/>
        <v>0</v>
      </c>
      <c r="AQ231">
        <v>12</v>
      </c>
      <c r="AR231">
        <v>10</v>
      </c>
      <c r="AS231">
        <v>12</v>
      </c>
    </row>
    <row r="232" spans="1:45" x14ac:dyDescent="0.2">
      <c r="A232" t="s">
        <v>34</v>
      </c>
      <c r="B232" t="s">
        <v>35</v>
      </c>
      <c r="C232">
        <v>17</v>
      </c>
      <c r="D232" t="s">
        <v>36</v>
      </c>
      <c r="E232" t="s">
        <v>48</v>
      </c>
      <c r="F232" t="s">
        <v>45</v>
      </c>
      <c r="G232">
        <f t="shared" si="71"/>
        <v>1</v>
      </c>
      <c r="H232">
        <v>4</v>
      </c>
      <c r="I232">
        <f t="shared" si="72"/>
        <v>0</v>
      </c>
      <c r="J232">
        <f t="shared" si="73"/>
        <v>0</v>
      </c>
      <c r="K232">
        <f t="shared" si="74"/>
        <v>0</v>
      </c>
      <c r="L232">
        <f t="shared" si="75"/>
        <v>0</v>
      </c>
      <c r="M232">
        <f t="shared" si="76"/>
        <v>1</v>
      </c>
      <c r="N232">
        <v>3</v>
      </c>
      <c r="O232">
        <f t="shared" si="66"/>
        <v>0</v>
      </c>
      <c r="P232">
        <f t="shared" si="67"/>
        <v>0</v>
      </c>
      <c r="Q232">
        <f t="shared" si="68"/>
        <v>0</v>
      </c>
      <c r="R232">
        <f t="shared" si="69"/>
        <v>1</v>
      </c>
      <c r="S232">
        <f t="shared" si="70"/>
        <v>0</v>
      </c>
      <c r="T232">
        <f t="shared" si="77"/>
        <v>0</v>
      </c>
      <c r="U232">
        <f t="shared" si="78"/>
        <v>1</v>
      </c>
      <c r="V232">
        <f t="shared" si="79"/>
        <v>0</v>
      </c>
      <c r="W232">
        <f t="shared" si="80"/>
        <v>0</v>
      </c>
      <c r="X232" t="s">
        <v>29</v>
      </c>
      <c r="Y232" t="s">
        <v>46</v>
      </c>
      <c r="Z232" t="s">
        <v>52</v>
      </c>
      <c r="AA232" t="s">
        <v>47</v>
      </c>
      <c r="AB232">
        <v>1</v>
      </c>
      <c r="AC232">
        <v>2</v>
      </c>
      <c r="AD232">
        <v>0</v>
      </c>
      <c r="AE232" t="s">
        <v>44</v>
      </c>
      <c r="AF232" t="s">
        <v>44</v>
      </c>
      <c r="AG232">
        <f t="shared" si="81"/>
        <v>0</v>
      </c>
      <c r="AH232" t="s">
        <v>44</v>
      </c>
      <c r="AI232">
        <f t="shared" si="82"/>
        <v>0</v>
      </c>
      <c r="AJ232" t="s">
        <v>43</v>
      </c>
      <c r="AK232">
        <f t="shared" si="83"/>
        <v>1</v>
      </c>
      <c r="AL232">
        <f t="shared" si="84"/>
        <v>0</v>
      </c>
      <c r="AM232">
        <v>14</v>
      </c>
      <c r="AN232">
        <f t="shared" si="85"/>
        <v>0</v>
      </c>
      <c r="AO232">
        <f t="shared" si="86"/>
        <v>0</v>
      </c>
      <c r="AP232">
        <f t="shared" si="87"/>
        <v>0</v>
      </c>
      <c r="AQ232">
        <v>13</v>
      </c>
      <c r="AR232">
        <v>13</v>
      </c>
      <c r="AS232">
        <v>14</v>
      </c>
    </row>
    <row r="233" spans="1:45" x14ac:dyDescent="0.2">
      <c r="A233" t="s">
        <v>34</v>
      </c>
      <c r="B233" t="s">
        <v>51</v>
      </c>
      <c r="C233">
        <v>17</v>
      </c>
      <c r="D233" t="s">
        <v>53</v>
      </c>
      <c r="E233" t="s">
        <v>37</v>
      </c>
      <c r="F233" t="s">
        <v>45</v>
      </c>
      <c r="G233">
        <f t="shared" si="71"/>
        <v>1</v>
      </c>
      <c r="H233">
        <v>2</v>
      </c>
      <c r="I233">
        <f t="shared" si="72"/>
        <v>0</v>
      </c>
      <c r="J233">
        <f t="shared" si="73"/>
        <v>0</v>
      </c>
      <c r="K233">
        <f t="shared" si="74"/>
        <v>1</v>
      </c>
      <c r="L233">
        <f t="shared" si="75"/>
        <v>0</v>
      </c>
      <c r="M233">
        <f t="shared" si="76"/>
        <v>0</v>
      </c>
      <c r="N233">
        <v>2</v>
      </c>
      <c r="O233">
        <f t="shared" si="66"/>
        <v>0</v>
      </c>
      <c r="P233">
        <f t="shared" si="67"/>
        <v>0</v>
      </c>
      <c r="Q233">
        <f t="shared" si="68"/>
        <v>1</v>
      </c>
      <c r="R233">
        <f t="shared" si="69"/>
        <v>0</v>
      </c>
      <c r="S233">
        <f t="shared" si="70"/>
        <v>0</v>
      </c>
      <c r="T233">
        <f t="shared" si="77"/>
        <v>0</v>
      </c>
      <c r="U233">
        <f t="shared" si="78"/>
        <v>0</v>
      </c>
      <c r="V233">
        <f t="shared" si="79"/>
        <v>0</v>
      </c>
      <c r="W233">
        <f t="shared" si="80"/>
        <v>0</v>
      </c>
      <c r="X233" t="s">
        <v>46</v>
      </c>
      <c r="Y233" t="s">
        <v>46</v>
      </c>
      <c r="Z233" t="s">
        <v>41</v>
      </c>
      <c r="AA233" t="s">
        <v>47</v>
      </c>
      <c r="AB233">
        <v>2</v>
      </c>
      <c r="AC233">
        <v>2</v>
      </c>
      <c r="AD233">
        <v>0</v>
      </c>
      <c r="AE233" t="s">
        <v>44</v>
      </c>
      <c r="AF233" t="s">
        <v>43</v>
      </c>
      <c r="AG233">
        <f t="shared" si="81"/>
        <v>1</v>
      </c>
      <c r="AH233" t="s">
        <v>43</v>
      </c>
      <c r="AI233">
        <f t="shared" si="82"/>
        <v>1</v>
      </c>
      <c r="AJ233" t="s">
        <v>43</v>
      </c>
      <c r="AK233">
        <f t="shared" si="83"/>
        <v>1</v>
      </c>
      <c r="AL233">
        <f t="shared" si="84"/>
        <v>1</v>
      </c>
      <c r="AM233">
        <v>4</v>
      </c>
      <c r="AN233">
        <f t="shared" si="85"/>
        <v>0</v>
      </c>
      <c r="AO233">
        <f t="shared" si="86"/>
        <v>0</v>
      </c>
      <c r="AP233">
        <f t="shared" si="87"/>
        <v>0</v>
      </c>
      <c r="AQ233">
        <v>11</v>
      </c>
      <c r="AR233">
        <v>11</v>
      </c>
      <c r="AS233">
        <v>11</v>
      </c>
    </row>
    <row r="234" spans="1:45" x14ac:dyDescent="0.2">
      <c r="A234" t="s">
        <v>34</v>
      </c>
      <c r="B234" t="s">
        <v>51</v>
      </c>
      <c r="C234">
        <v>17</v>
      </c>
      <c r="D234" t="s">
        <v>36</v>
      </c>
      <c r="E234" t="s">
        <v>37</v>
      </c>
      <c r="F234" t="s">
        <v>45</v>
      </c>
      <c r="G234">
        <f t="shared" si="71"/>
        <v>1</v>
      </c>
      <c r="H234">
        <v>4</v>
      </c>
      <c r="I234">
        <f t="shared" si="72"/>
        <v>0</v>
      </c>
      <c r="J234">
        <f t="shared" si="73"/>
        <v>0</v>
      </c>
      <c r="K234">
        <f t="shared" si="74"/>
        <v>0</v>
      </c>
      <c r="L234">
        <f t="shared" si="75"/>
        <v>0</v>
      </c>
      <c r="M234">
        <f t="shared" si="76"/>
        <v>1</v>
      </c>
      <c r="N234">
        <v>4</v>
      </c>
      <c r="O234">
        <f t="shared" si="66"/>
        <v>0</v>
      </c>
      <c r="P234">
        <f t="shared" si="67"/>
        <v>0</v>
      </c>
      <c r="Q234">
        <f t="shared" si="68"/>
        <v>0</v>
      </c>
      <c r="R234">
        <f t="shared" si="69"/>
        <v>0</v>
      </c>
      <c r="S234">
        <f t="shared" si="70"/>
        <v>1</v>
      </c>
      <c r="T234">
        <f t="shared" si="77"/>
        <v>1</v>
      </c>
      <c r="U234">
        <f t="shared" si="78"/>
        <v>0</v>
      </c>
      <c r="V234">
        <f t="shared" si="79"/>
        <v>0</v>
      </c>
      <c r="W234">
        <f t="shared" si="80"/>
        <v>0</v>
      </c>
      <c r="X234" t="s">
        <v>40</v>
      </c>
      <c r="Y234" t="s">
        <v>40</v>
      </c>
      <c r="Z234" t="s">
        <v>52</v>
      </c>
      <c r="AA234" t="s">
        <v>42</v>
      </c>
      <c r="AB234">
        <v>1</v>
      </c>
      <c r="AC234">
        <v>2</v>
      </c>
      <c r="AD234">
        <v>0</v>
      </c>
      <c r="AE234" t="s">
        <v>43</v>
      </c>
      <c r="AF234" t="s">
        <v>43</v>
      </c>
      <c r="AG234">
        <f t="shared" si="81"/>
        <v>1</v>
      </c>
      <c r="AH234" t="s">
        <v>44</v>
      </c>
      <c r="AI234">
        <f t="shared" si="82"/>
        <v>0</v>
      </c>
      <c r="AJ234" t="s">
        <v>43</v>
      </c>
      <c r="AK234">
        <f t="shared" si="83"/>
        <v>1</v>
      </c>
      <c r="AL234">
        <f t="shared" si="84"/>
        <v>0</v>
      </c>
      <c r="AM234">
        <v>14</v>
      </c>
      <c r="AN234">
        <f t="shared" si="85"/>
        <v>0</v>
      </c>
      <c r="AO234">
        <f t="shared" si="86"/>
        <v>0</v>
      </c>
      <c r="AP234">
        <f t="shared" si="87"/>
        <v>0</v>
      </c>
      <c r="AQ234">
        <v>11</v>
      </c>
      <c r="AR234">
        <v>9</v>
      </c>
      <c r="AS234">
        <v>9</v>
      </c>
    </row>
    <row r="235" spans="1:45" x14ac:dyDescent="0.2">
      <c r="A235" t="s">
        <v>34</v>
      </c>
      <c r="B235" t="s">
        <v>51</v>
      </c>
      <c r="C235">
        <v>16</v>
      </c>
      <c r="D235" t="s">
        <v>36</v>
      </c>
      <c r="E235" t="s">
        <v>37</v>
      </c>
      <c r="F235" t="s">
        <v>45</v>
      </c>
      <c r="G235">
        <f t="shared" si="71"/>
        <v>1</v>
      </c>
      <c r="H235">
        <v>4</v>
      </c>
      <c r="I235">
        <f t="shared" si="72"/>
        <v>0</v>
      </c>
      <c r="J235">
        <f t="shared" si="73"/>
        <v>0</v>
      </c>
      <c r="K235">
        <f t="shared" si="74"/>
        <v>0</v>
      </c>
      <c r="L235">
        <f t="shared" si="75"/>
        <v>0</v>
      </c>
      <c r="M235">
        <f t="shared" si="76"/>
        <v>1</v>
      </c>
      <c r="N235">
        <v>4</v>
      </c>
      <c r="O235">
        <f t="shared" si="66"/>
        <v>0</v>
      </c>
      <c r="P235">
        <f t="shared" si="67"/>
        <v>0</v>
      </c>
      <c r="Q235">
        <f t="shared" si="68"/>
        <v>0</v>
      </c>
      <c r="R235">
        <f t="shared" si="69"/>
        <v>0</v>
      </c>
      <c r="S235">
        <f t="shared" si="70"/>
        <v>1</v>
      </c>
      <c r="T235">
        <f t="shared" si="77"/>
        <v>1</v>
      </c>
      <c r="U235">
        <f t="shared" si="78"/>
        <v>0</v>
      </c>
      <c r="V235">
        <f t="shared" si="79"/>
        <v>0</v>
      </c>
      <c r="W235">
        <f t="shared" si="80"/>
        <v>0</v>
      </c>
      <c r="X235" t="s">
        <v>29</v>
      </c>
      <c r="Y235" t="s">
        <v>46</v>
      </c>
      <c r="Z235" t="s">
        <v>52</v>
      </c>
      <c r="AA235" t="s">
        <v>47</v>
      </c>
      <c r="AB235">
        <v>1</v>
      </c>
      <c r="AC235">
        <v>2</v>
      </c>
      <c r="AD235">
        <v>0</v>
      </c>
      <c r="AE235" t="s">
        <v>44</v>
      </c>
      <c r="AF235" t="s">
        <v>43</v>
      </c>
      <c r="AG235">
        <f t="shared" si="81"/>
        <v>1</v>
      </c>
      <c r="AH235" t="s">
        <v>43</v>
      </c>
      <c r="AI235">
        <f t="shared" si="82"/>
        <v>1</v>
      </c>
      <c r="AJ235" t="s">
        <v>43</v>
      </c>
      <c r="AK235">
        <f t="shared" si="83"/>
        <v>1</v>
      </c>
      <c r="AL235">
        <f t="shared" si="84"/>
        <v>1</v>
      </c>
      <c r="AM235">
        <v>2</v>
      </c>
      <c r="AN235">
        <f t="shared" si="85"/>
        <v>0</v>
      </c>
      <c r="AO235">
        <f t="shared" si="86"/>
        <v>1</v>
      </c>
      <c r="AP235">
        <f t="shared" si="87"/>
        <v>0</v>
      </c>
      <c r="AQ235">
        <v>14</v>
      </c>
      <c r="AR235">
        <v>13</v>
      </c>
      <c r="AS235">
        <v>13</v>
      </c>
    </row>
    <row r="236" spans="1:45" x14ac:dyDescent="0.2">
      <c r="A236" t="s">
        <v>34</v>
      </c>
      <c r="B236" t="s">
        <v>51</v>
      </c>
      <c r="C236">
        <v>16</v>
      </c>
      <c r="D236" t="s">
        <v>36</v>
      </c>
      <c r="E236" t="s">
        <v>48</v>
      </c>
      <c r="F236" t="s">
        <v>45</v>
      </c>
      <c r="G236">
        <f t="shared" si="71"/>
        <v>1</v>
      </c>
      <c r="H236">
        <v>1</v>
      </c>
      <c r="I236">
        <f t="shared" si="72"/>
        <v>0</v>
      </c>
      <c r="J236">
        <f t="shared" si="73"/>
        <v>1</v>
      </c>
      <c r="K236">
        <f t="shared" si="74"/>
        <v>0</v>
      </c>
      <c r="L236">
        <f t="shared" si="75"/>
        <v>0</v>
      </c>
      <c r="M236">
        <f t="shared" si="76"/>
        <v>0</v>
      </c>
      <c r="N236">
        <v>1</v>
      </c>
      <c r="O236">
        <f t="shared" si="66"/>
        <v>0</v>
      </c>
      <c r="P236">
        <f t="shared" si="67"/>
        <v>1</v>
      </c>
      <c r="Q236">
        <f t="shared" si="68"/>
        <v>0</v>
      </c>
      <c r="R236">
        <f t="shared" si="69"/>
        <v>0</v>
      </c>
      <c r="S236">
        <f t="shared" si="70"/>
        <v>0</v>
      </c>
      <c r="T236">
        <f t="shared" si="77"/>
        <v>0</v>
      </c>
      <c r="U236">
        <f t="shared" si="78"/>
        <v>0</v>
      </c>
      <c r="V236">
        <f t="shared" si="79"/>
        <v>0</v>
      </c>
      <c r="W236">
        <f t="shared" si="80"/>
        <v>0</v>
      </c>
      <c r="X236" t="s">
        <v>46</v>
      </c>
      <c r="Y236" t="s">
        <v>46</v>
      </c>
      <c r="Z236" t="s">
        <v>50</v>
      </c>
      <c r="AA236" t="s">
        <v>42</v>
      </c>
      <c r="AB236">
        <v>2</v>
      </c>
      <c r="AC236">
        <v>2</v>
      </c>
      <c r="AD236">
        <v>0</v>
      </c>
      <c r="AE236" t="s">
        <v>44</v>
      </c>
      <c r="AF236" t="s">
        <v>43</v>
      </c>
      <c r="AG236">
        <f t="shared" si="81"/>
        <v>1</v>
      </c>
      <c r="AH236" t="s">
        <v>43</v>
      </c>
      <c r="AI236">
        <f t="shared" si="82"/>
        <v>1</v>
      </c>
      <c r="AJ236" t="s">
        <v>43</v>
      </c>
      <c r="AK236">
        <f t="shared" si="83"/>
        <v>1</v>
      </c>
      <c r="AL236">
        <f t="shared" si="84"/>
        <v>1</v>
      </c>
      <c r="AM236">
        <v>18</v>
      </c>
      <c r="AN236">
        <f t="shared" si="85"/>
        <v>0</v>
      </c>
      <c r="AO236">
        <f t="shared" si="86"/>
        <v>0</v>
      </c>
      <c r="AP236">
        <f t="shared" si="87"/>
        <v>0</v>
      </c>
      <c r="AQ236">
        <v>9</v>
      </c>
      <c r="AR236">
        <v>7</v>
      </c>
      <c r="AS236">
        <v>6</v>
      </c>
    </row>
    <row r="237" spans="1:45" x14ac:dyDescent="0.2">
      <c r="A237" t="s">
        <v>34</v>
      </c>
      <c r="B237" t="s">
        <v>51</v>
      </c>
      <c r="C237">
        <v>16</v>
      </c>
      <c r="D237" t="s">
        <v>36</v>
      </c>
      <c r="E237" t="s">
        <v>37</v>
      </c>
      <c r="F237" t="s">
        <v>45</v>
      </c>
      <c r="G237">
        <f t="shared" si="71"/>
        <v>1</v>
      </c>
      <c r="H237">
        <v>3</v>
      </c>
      <c r="I237">
        <f t="shared" si="72"/>
        <v>0</v>
      </c>
      <c r="J237">
        <f t="shared" si="73"/>
        <v>0</v>
      </c>
      <c r="K237">
        <f t="shared" si="74"/>
        <v>0</v>
      </c>
      <c r="L237">
        <f t="shared" si="75"/>
        <v>1</v>
      </c>
      <c r="M237">
        <f t="shared" si="76"/>
        <v>0</v>
      </c>
      <c r="N237">
        <v>2</v>
      </c>
      <c r="O237">
        <f t="shared" si="66"/>
        <v>0</v>
      </c>
      <c r="P237">
        <f t="shared" si="67"/>
        <v>0</v>
      </c>
      <c r="Q237">
        <f t="shared" si="68"/>
        <v>1</v>
      </c>
      <c r="R237">
        <f t="shared" si="69"/>
        <v>0</v>
      </c>
      <c r="S237">
        <f t="shared" si="70"/>
        <v>0</v>
      </c>
      <c r="T237">
        <f t="shared" si="77"/>
        <v>0</v>
      </c>
      <c r="U237">
        <f t="shared" si="78"/>
        <v>0</v>
      </c>
      <c r="V237">
        <f t="shared" si="79"/>
        <v>0</v>
      </c>
      <c r="W237">
        <f t="shared" si="80"/>
        <v>0</v>
      </c>
      <c r="X237" t="s">
        <v>39</v>
      </c>
      <c r="Y237" t="s">
        <v>46</v>
      </c>
      <c r="Z237" t="s">
        <v>52</v>
      </c>
      <c r="AA237" t="s">
        <v>42</v>
      </c>
      <c r="AB237">
        <v>2</v>
      </c>
      <c r="AC237">
        <v>3</v>
      </c>
      <c r="AD237">
        <v>0</v>
      </c>
      <c r="AE237" t="s">
        <v>44</v>
      </c>
      <c r="AF237" t="s">
        <v>44</v>
      </c>
      <c r="AG237">
        <f t="shared" si="81"/>
        <v>0</v>
      </c>
      <c r="AH237" t="s">
        <v>44</v>
      </c>
      <c r="AI237">
        <f t="shared" si="82"/>
        <v>0</v>
      </c>
      <c r="AJ237" t="s">
        <v>43</v>
      </c>
      <c r="AK237">
        <f t="shared" si="83"/>
        <v>1</v>
      </c>
      <c r="AL237">
        <f t="shared" si="84"/>
        <v>0</v>
      </c>
      <c r="AM237">
        <v>10</v>
      </c>
      <c r="AN237">
        <f t="shared" si="85"/>
        <v>0</v>
      </c>
      <c r="AO237">
        <f t="shared" si="86"/>
        <v>0</v>
      </c>
      <c r="AP237">
        <f t="shared" si="87"/>
        <v>0</v>
      </c>
      <c r="AQ237">
        <v>11</v>
      </c>
      <c r="AR237">
        <v>9</v>
      </c>
      <c r="AS237">
        <v>10</v>
      </c>
    </row>
    <row r="238" spans="1:45" x14ac:dyDescent="0.2">
      <c r="A238" t="s">
        <v>34</v>
      </c>
      <c r="B238" t="s">
        <v>51</v>
      </c>
      <c r="C238">
        <v>17</v>
      </c>
      <c r="D238" t="s">
        <v>36</v>
      </c>
      <c r="E238" t="s">
        <v>48</v>
      </c>
      <c r="F238" t="s">
        <v>45</v>
      </c>
      <c r="G238">
        <f t="shared" si="71"/>
        <v>1</v>
      </c>
      <c r="H238">
        <v>2</v>
      </c>
      <c r="I238">
        <f t="shared" si="72"/>
        <v>0</v>
      </c>
      <c r="J238">
        <f t="shared" si="73"/>
        <v>0</v>
      </c>
      <c r="K238">
        <f t="shared" si="74"/>
        <v>1</v>
      </c>
      <c r="L238">
        <f t="shared" si="75"/>
        <v>0</v>
      </c>
      <c r="M238">
        <f t="shared" si="76"/>
        <v>0</v>
      </c>
      <c r="N238">
        <v>2</v>
      </c>
      <c r="O238">
        <f t="shared" si="66"/>
        <v>0</v>
      </c>
      <c r="P238">
        <f t="shared" si="67"/>
        <v>0</v>
      </c>
      <c r="Q238">
        <f t="shared" si="68"/>
        <v>1</v>
      </c>
      <c r="R238">
        <f t="shared" si="69"/>
        <v>0</v>
      </c>
      <c r="S238">
        <f t="shared" si="70"/>
        <v>0</v>
      </c>
      <c r="T238">
        <f t="shared" si="77"/>
        <v>0</v>
      </c>
      <c r="U238">
        <f t="shared" si="78"/>
        <v>0</v>
      </c>
      <c r="V238">
        <f t="shared" si="79"/>
        <v>0</v>
      </c>
      <c r="W238">
        <f t="shared" si="80"/>
        <v>0</v>
      </c>
      <c r="X238" t="s">
        <v>46</v>
      </c>
      <c r="Y238" t="s">
        <v>46</v>
      </c>
      <c r="Z238" t="s">
        <v>50</v>
      </c>
      <c r="AA238" t="s">
        <v>47</v>
      </c>
      <c r="AB238">
        <v>1</v>
      </c>
      <c r="AC238">
        <v>2</v>
      </c>
      <c r="AD238">
        <v>0</v>
      </c>
      <c r="AE238" t="s">
        <v>44</v>
      </c>
      <c r="AF238" t="s">
        <v>44</v>
      </c>
      <c r="AG238">
        <f t="shared" si="81"/>
        <v>0</v>
      </c>
      <c r="AH238" t="s">
        <v>43</v>
      </c>
      <c r="AI238">
        <f t="shared" si="82"/>
        <v>1</v>
      </c>
      <c r="AJ238" t="s">
        <v>43</v>
      </c>
      <c r="AK238">
        <f t="shared" si="83"/>
        <v>1</v>
      </c>
      <c r="AL238">
        <f t="shared" si="84"/>
        <v>1</v>
      </c>
      <c r="AM238">
        <v>4</v>
      </c>
      <c r="AN238">
        <f t="shared" si="85"/>
        <v>0</v>
      </c>
      <c r="AO238">
        <f t="shared" si="86"/>
        <v>0</v>
      </c>
      <c r="AP238">
        <f t="shared" si="87"/>
        <v>0</v>
      </c>
      <c r="AQ238">
        <v>14</v>
      </c>
      <c r="AR238">
        <v>13</v>
      </c>
      <c r="AS238">
        <v>13</v>
      </c>
    </row>
    <row r="239" spans="1:45" x14ac:dyDescent="0.2">
      <c r="A239" t="s">
        <v>34</v>
      </c>
      <c r="B239" t="s">
        <v>35</v>
      </c>
      <c r="C239">
        <v>16</v>
      </c>
      <c r="D239" t="s">
        <v>36</v>
      </c>
      <c r="E239" t="s">
        <v>37</v>
      </c>
      <c r="F239" t="s">
        <v>45</v>
      </c>
      <c r="G239">
        <f t="shared" si="71"/>
        <v>1</v>
      </c>
      <c r="H239">
        <v>2</v>
      </c>
      <c r="I239">
        <f t="shared" si="72"/>
        <v>0</v>
      </c>
      <c r="J239">
        <f t="shared" si="73"/>
        <v>0</v>
      </c>
      <c r="K239">
        <f t="shared" si="74"/>
        <v>1</v>
      </c>
      <c r="L239">
        <f t="shared" si="75"/>
        <v>0</v>
      </c>
      <c r="M239">
        <f t="shared" si="76"/>
        <v>0</v>
      </c>
      <c r="N239">
        <v>1</v>
      </c>
      <c r="O239">
        <f t="shared" si="66"/>
        <v>0</v>
      </c>
      <c r="P239">
        <f t="shared" si="67"/>
        <v>1</v>
      </c>
      <c r="Q239">
        <f t="shared" si="68"/>
        <v>0</v>
      </c>
      <c r="R239">
        <f t="shared" si="69"/>
        <v>0</v>
      </c>
      <c r="S239">
        <f t="shared" si="70"/>
        <v>0</v>
      </c>
      <c r="T239">
        <f t="shared" si="77"/>
        <v>0</v>
      </c>
      <c r="U239">
        <f t="shared" si="78"/>
        <v>0</v>
      </c>
      <c r="V239">
        <f t="shared" si="79"/>
        <v>0</v>
      </c>
      <c r="W239">
        <f t="shared" si="80"/>
        <v>0</v>
      </c>
      <c r="X239" t="s">
        <v>46</v>
      </c>
      <c r="Y239" t="s">
        <v>46</v>
      </c>
      <c r="Z239" t="s">
        <v>50</v>
      </c>
      <c r="AA239" t="s">
        <v>42</v>
      </c>
      <c r="AB239">
        <v>1</v>
      </c>
      <c r="AC239">
        <v>1</v>
      </c>
      <c r="AD239">
        <v>0</v>
      </c>
      <c r="AE239" t="s">
        <v>44</v>
      </c>
      <c r="AF239" t="s">
        <v>44</v>
      </c>
      <c r="AG239">
        <f t="shared" si="81"/>
        <v>0</v>
      </c>
      <c r="AH239" t="s">
        <v>44</v>
      </c>
      <c r="AI239">
        <f t="shared" si="82"/>
        <v>0</v>
      </c>
      <c r="AJ239" t="s">
        <v>43</v>
      </c>
      <c r="AK239">
        <f t="shared" si="83"/>
        <v>1</v>
      </c>
      <c r="AL239">
        <f t="shared" si="84"/>
        <v>0</v>
      </c>
      <c r="AM239">
        <v>20</v>
      </c>
      <c r="AN239">
        <f t="shared" si="85"/>
        <v>0</v>
      </c>
      <c r="AO239">
        <f t="shared" si="86"/>
        <v>0</v>
      </c>
      <c r="AP239">
        <f t="shared" si="87"/>
        <v>0</v>
      </c>
      <c r="AQ239">
        <v>13</v>
      </c>
      <c r="AR239">
        <v>12</v>
      </c>
      <c r="AS239">
        <v>12</v>
      </c>
    </row>
    <row r="240" spans="1:45" x14ac:dyDescent="0.2">
      <c r="A240" t="s">
        <v>34</v>
      </c>
      <c r="B240" t="s">
        <v>35</v>
      </c>
      <c r="C240">
        <v>17</v>
      </c>
      <c r="D240" t="s">
        <v>53</v>
      </c>
      <c r="E240" t="s">
        <v>37</v>
      </c>
      <c r="F240" t="s">
        <v>45</v>
      </c>
      <c r="G240">
        <f t="shared" si="71"/>
        <v>1</v>
      </c>
      <c r="H240">
        <v>2</v>
      </c>
      <c r="I240">
        <f t="shared" si="72"/>
        <v>0</v>
      </c>
      <c r="J240">
        <f t="shared" si="73"/>
        <v>0</v>
      </c>
      <c r="K240">
        <f t="shared" si="74"/>
        <v>1</v>
      </c>
      <c r="L240">
        <f t="shared" si="75"/>
        <v>0</v>
      </c>
      <c r="M240">
        <f t="shared" si="76"/>
        <v>0</v>
      </c>
      <c r="N240">
        <v>1</v>
      </c>
      <c r="O240">
        <f t="shared" si="66"/>
        <v>0</v>
      </c>
      <c r="P240">
        <f t="shared" si="67"/>
        <v>1</v>
      </c>
      <c r="Q240">
        <f t="shared" si="68"/>
        <v>0</v>
      </c>
      <c r="R240">
        <f t="shared" si="69"/>
        <v>0</v>
      </c>
      <c r="S240">
        <f t="shared" si="70"/>
        <v>0</v>
      </c>
      <c r="T240">
        <f t="shared" si="77"/>
        <v>0</v>
      </c>
      <c r="U240">
        <f t="shared" si="78"/>
        <v>0</v>
      </c>
      <c r="V240">
        <f t="shared" si="79"/>
        <v>0</v>
      </c>
      <c r="W240">
        <f t="shared" si="80"/>
        <v>0</v>
      </c>
      <c r="X240" t="s">
        <v>39</v>
      </c>
      <c r="Y240" t="s">
        <v>49</v>
      </c>
      <c r="Z240" t="s">
        <v>41</v>
      </c>
      <c r="AA240" t="s">
        <v>42</v>
      </c>
      <c r="AB240">
        <v>3</v>
      </c>
      <c r="AC240">
        <v>2</v>
      </c>
      <c r="AD240">
        <v>0</v>
      </c>
      <c r="AE240" t="s">
        <v>44</v>
      </c>
      <c r="AF240" t="s">
        <v>44</v>
      </c>
      <c r="AG240">
        <f t="shared" si="81"/>
        <v>0</v>
      </c>
      <c r="AH240" t="s">
        <v>44</v>
      </c>
      <c r="AI240">
        <f t="shared" si="82"/>
        <v>0</v>
      </c>
      <c r="AJ240" t="s">
        <v>44</v>
      </c>
      <c r="AK240">
        <f t="shared" si="83"/>
        <v>0</v>
      </c>
      <c r="AL240">
        <f t="shared" si="84"/>
        <v>0</v>
      </c>
      <c r="AM240">
        <v>2</v>
      </c>
      <c r="AN240">
        <f t="shared" si="85"/>
        <v>0</v>
      </c>
      <c r="AO240">
        <f t="shared" si="86"/>
        <v>0</v>
      </c>
      <c r="AP240">
        <f t="shared" si="87"/>
        <v>0</v>
      </c>
      <c r="AQ240">
        <v>13</v>
      </c>
      <c r="AR240">
        <v>11</v>
      </c>
      <c r="AS240">
        <v>11</v>
      </c>
    </row>
    <row r="241" spans="1:45" x14ac:dyDescent="0.2">
      <c r="A241" t="s">
        <v>34</v>
      </c>
      <c r="B241" t="s">
        <v>51</v>
      </c>
      <c r="C241">
        <v>18</v>
      </c>
      <c r="D241" t="s">
        <v>36</v>
      </c>
      <c r="E241" t="s">
        <v>37</v>
      </c>
      <c r="F241" t="s">
        <v>45</v>
      </c>
      <c r="G241">
        <f t="shared" si="71"/>
        <v>1</v>
      </c>
      <c r="H241">
        <v>2</v>
      </c>
      <c r="I241">
        <f t="shared" si="72"/>
        <v>0</v>
      </c>
      <c r="J241">
        <f t="shared" si="73"/>
        <v>0</v>
      </c>
      <c r="K241">
        <f t="shared" si="74"/>
        <v>1</v>
      </c>
      <c r="L241">
        <f t="shared" si="75"/>
        <v>0</v>
      </c>
      <c r="M241">
        <f t="shared" si="76"/>
        <v>0</v>
      </c>
      <c r="N241">
        <v>2</v>
      </c>
      <c r="O241">
        <f t="shared" si="66"/>
        <v>0</v>
      </c>
      <c r="P241">
        <f t="shared" si="67"/>
        <v>0</v>
      </c>
      <c r="Q241">
        <f t="shared" si="68"/>
        <v>1</v>
      </c>
      <c r="R241">
        <f t="shared" si="69"/>
        <v>0</v>
      </c>
      <c r="S241">
        <f t="shared" si="70"/>
        <v>0</v>
      </c>
      <c r="T241">
        <f t="shared" si="77"/>
        <v>0</v>
      </c>
      <c r="U241">
        <f t="shared" si="78"/>
        <v>0</v>
      </c>
      <c r="V241">
        <f t="shared" si="79"/>
        <v>0</v>
      </c>
      <c r="W241">
        <f t="shared" si="80"/>
        <v>0</v>
      </c>
      <c r="X241" t="s">
        <v>46</v>
      </c>
      <c r="Y241" t="s">
        <v>49</v>
      </c>
      <c r="Z241" t="s">
        <v>52</v>
      </c>
      <c r="AA241" t="s">
        <v>47</v>
      </c>
      <c r="AB241">
        <v>1</v>
      </c>
      <c r="AC241">
        <v>2</v>
      </c>
      <c r="AD241">
        <v>1</v>
      </c>
      <c r="AE241" t="s">
        <v>44</v>
      </c>
      <c r="AF241" t="s">
        <v>44</v>
      </c>
      <c r="AG241">
        <f t="shared" si="81"/>
        <v>0</v>
      </c>
      <c r="AH241" t="s">
        <v>44</v>
      </c>
      <c r="AI241">
        <f t="shared" si="82"/>
        <v>0</v>
      </c>
      <c r="AJ241" t="s">
        <v>43</v>
      </c>
      <c r="AK241">
        <f t="shared" si="83"/>
        <v>1</v>
      </c>
      <c r="AL241">
        <f t="shared" si="84"/>
        <v>0</v>
      </c>
      <c r="AM241">
        <v>0</v>
      </c>
      <c r="AN241">
        <f t="shared" si="85"/>
        <v>0</v>
      </c>
      <c r="AO241">
        <f t="shared" si="86"/>
        <v>0</v>
      </c>
      <c r="AP241">
        <f t="shared" si="87"/>
        <v>0</v>
      </c>
      <c r="AQ241">
        <v>7</v>
      </c>
      <c r="AR241">
        <v>7</v>
      </c>
      <c r="AS241">
        <v>0</v>
      </c>
    </row>
    <row r="242" spans="1:45" x14ac:dyDescent="0.2">
      <c r="A242" t="s">
        <v>34</v>
      </c>
      <c r="B242" t="s">
        <v>51</v>
      </c>
      <c r="C242">
        <v>17</v>
      </c>
      <c r="D242" t="s">
        <v>36</v>
      </c>
      <c r="E242" t="s">
        <v>48</v>
      </c>
      <c r="F242" t="s">
        <v>45</v>
      </c>
      <c r="G242">
        <f t="shared" si="71"/>
        <v>1</v>
      </c>
      <c r="H242">
        <v>4</v>
      </c>
      <c r="I242">
        <f t="shared" si="72"/>
        <v>0</v>
      </c>
      <c r="J242">
        <f t="shared" si="73"/>
        <v>0</v>
      </c>
      <c r="K242">
        <f t="shared" si="74"/>
        <v>0</v>
      </c>
      <c r="L242">
        <f t="shared" si="75"/>
        <v>0</v>
      </c>
      <c r="M242">
        <f t="shared" si="76"/>
        <v>1</v>
      </c>
      <c r="N242">
        <v>3</v>
      </c>
      <c r="O242">
        <f t="shared" si="66"/>
        <v>0</v>
      </c>
      <c r="P242">
        <f t="shared" si="67"/>
        <v>0</v>
      </c>
      <c r="Q242">
        <f t="shared" si="68"/>
        <v>0</v>
      </c>
      <c r="R242">
        <f t="shared" si="69"/>
        <v>1</v>
      </c>
      <c r="S242">
        <f t="shared" si="70"/>
        <v>0</v>
      </c>
      <c r="T242">
        <f t="shared" si="77"/>
        <v>0</v>
      </c>
      <c r="U242">
        <f t="shared" si="78"/>
        <v>1</v>
      </c>
      <c r="V242">
        <f t="shared" si="79"/>
        <v>0</v>
      </c>
      <c r="W242">
        <f t="shared" si="80"/>
        <v>0</v>
      </c>
      <c r="X242" t="s">
        <v>29</v>
      </c>
      <c r="Y242" t="s">
        <v>46</v>
      </c>
      <c r="Z242" t="s">
        <v>41</v>
      </c>
      <c r="AA242" t="s">
        <v>42</v>
      </c>
      <c r="AB242">
        <v>2</v>
      </c>
      <c r="AC242">
        <v>2</v>
      </c>
      <c r="AD242">
        <v>0</v>
      </c>
      <c r="AE242" t="s">
        <v>44</v>
      </c>
      <c r="AF242" t="s">
        <v>44</v>
      </c>
      <c r="AG242">
        <f t="shared" si="81"/>
        <v>0</v>
      </c>
      <c r="AH242" t="s">
        <v>44</v>
      </c>
      <c r="AI242">
        <f t="shared" si="82"/>
        <v>0</v>
      </c>
      <c r="AJ242" t="s">
        <v>43</v>
      </c>
      <c r="AK242">
        <f t="shared" si="83"/>
        <v>1</v>
      </c>
      <c r="AL242">
        <f t="shared" si="84"/>
        <v>0</v>
      </c>
      <c r="AM242">
        <v>14</v>
      </c>
      <c r="AN242">
        <f t="shared" si="85"/>
        <v>0</v>
      </c>
      <c r="AO242">
        <f t="shared" si="86"/>
        <v>0</v>
      </c>
      <c r="AP242">
        <f t="shared" si="87"/>
        <v>0</v>
      </c>
      <c r="AQ242">
        <v>12</v>
      </c>
      <c r="AR242">
        <v>12</v>
      </c>
      <c r="AS242">
        <v>12</v>
      </c>
    </row>
    <row r="243" spans="1:45" x14ac:dyDescent="0.2">
      <c r="A243" t="s">
        <v>34</v>
      </c>
      <c r="B243" t="s">
        <v>51</v>
      </c>
      <c r="C243">
        <v>17</v>
      </c>
      <c r="D243" t="s">
        <v>53</v>
      </c>
      <c r="E243" t="s">
        <v>48</v>
      </c>
      <c r="F243" t="s">
        <v>38</v>
      </c>
      <c r="G243">
        <f t="shared" si="71"/>
        <v>0</v>
      </c>
      <c r="H243">
        <v>4</v>
      </c>
      <c r="I243">
        <f t="shared" si="72"/>
        <v>0</v>
      </c>
      <c r="J243">
        <f t="shared" si="73"/>
        <v>0</v>
      </c>
      <c r="K243">
        <f t="shared" si="74"/>
        <v>0</v>
      </c>
      <c r="L243">
        <f t="shared" si="75"/>
        <v>0</v>
      </c>
      <c r="M243">
        <f t="shared" si="76"/>
        <v>1</v>
      </c>
      <c r="N243">
        <v>4</v>
      </c>
      <c r="O243">
        <f t="shared" si="66"/>
        <v>0</v>
      </c>
      <c r="P243">
        <f t="shared" si="67"/>
        <v>0</v>
      </c>
      <c r="Q243">
        <f t="shared" si="68"/>
        <v>0</v>
      </c>
      <c r="R243">
        <f t="shared" si="69"/>
        <v>0</v>
      </c>
      <c r="S243">
        <f t="shared" si="70"/>
        <v>1</v>
      </c>
      <c r="T243">
        <f t="shared" si="77"/>
        <v>1</v>
      </c>
      <c r="U243">
        <f t="shared" si="78"/>
        <v>0</v>
      </c>
      <c r="V243">
        <f t="shared" si="79"/>
        <v>0</v>
      </c>
      <c r="W243">
        <f t="shared" si="80"/>
        <v>0</v>
      </c>
      <c r="X243" t="s">
        <v>40</v>
      </c>
      <c r="Y243" t="s">
        <v>46</v>
      </c>
      <c r="Z243" t="s">
        <v>41</v>
      </c>
      <c r="AA243" t="s">
        <v>42</v>
      </c>
      <c r="AB243">
        <v>2</v>
      </c>
      <c r="AC243">
        <v>2</v>
      </c>
      <c r="AD243">
        <v>0</v>
      </c>
      <c r="AE243" t="s">
        <v>44</v>
      </c>
      <c r="AF243" t="s">
        <v>43</v>
      </c>
      <c r="AG243">
        <f t="shared" si="81"/>
        <v>1</v>
      </c>
      <c r="AH243" t="s">
        <v>43</v>
      </c>
      <c r="AI243">
        <f t="shared" si="82"/>
        <v>1</v>
      </c>
      <c r="AJ243" t="s">
        <v>43</v>
      </c>
      <c r="AK243">
        <f t="shared" si="83"/>
        <v>1</v>
      </c>
      <c r="AL243">
        <f t="shared" si="84"/>
        <v>1</v>
      </c>
      <c r="AM243">
        <v>2</v>
      </c>
      <c r="AN243">
        <f t="shared" si="85"/>
        <v>1</v>
      </c>
      <c r="AO243">
        <f t="shared" si="86"/>
        <v>1</v>
      </c>
      <c r="AP243">
        <f t="shared" si="87"/>
        <v>0</v>
      </c>
      <c r="AQ243">
        <v>10</v>
      </c>
      <c r="AR243">
        <v>11</v>
      </c>
      <c r="AS243">
        <v>12</v>
      </c>
    </row>
    <row r="244" spans="1:45" x14ac:dyDescent="0.2">
      <c r="A244" t="s">
        <v>34</v>
      </c>
      <c r="B244" t="s">
        <v>51</v>
      </c>
      <c r="C244">
        <v>16</v>
      </c>
      <c r="D244" t="s">
        <v>36</v>
      </c>
      <c r="E244" t="s">
        <v>48</v>
      </c>
      <c r="F244" t="s">
        <v>45</v>
      </c>
      <c r="G244">
        <f t="shared" si="71"/>
        <v>1</v>
      </c>
      <c r="H244">
        <v>4</v>
      </c>
      <c r="I244">
        <f t="shared" si="72"/>
        <v>0</v>
      </c>
      <c r="J244">
        <f t="shared" si="73"/>
        <v>0</v>
      </c>
      <c r="K244">
        <f t="shared" si="74"/>
        <v>0</v>
      </c>
      <c r="L244">
        <f t="shared" si="75"/>
        <v>0</v>
      </c>
      <c r="M244">
        <f t="shared" si="76"/>
        <v>1</v>
      </c>
      <c r="N244">
        <v>3</v>
      </c>
      <c r="O244">
        <f t="shared" si="66"/>
        <v>0</v>
      </c>
      <c r="P244">
        <f t="shared" si="67"/>
        <v>0</v>
      </c>
      <c r="Q244">
        <f t="shared" si="68"/>
        <v>0</v>
      </c>
      <c r="R244">
        <f t="shared" si="69"/>
        <v>1</v>
      </c>
      <c r="S244">
        <f t="shared" si="70"/>
        <v>0</v>
      </c>
      <c r="T244">
        <f t="shared" si="77"/>
        <v>0</v>
      </c>
      <c r="U244">
        <f t="shared" si="78"/>
        <v>1</v>
      </c>
      <c r="V244">
        <f t="shared" si="79"/>
        <v>0</v>
      </c>
      <c r="W244">
        <f t="shared" si="80"/>
        <v>0</v>
      </c>
      <c r="X244" t="s">
        <v>40</v>
      </c>
      <c r="Y244" t="s">
        <v>46</v>
      </c>
      <c r="Z244" t="s">
        <v>41</v>
      </c>
      <c r="AA244" t="s">
        <v>42</v>
      </c>
      <c r="AB244">
        <v>1</v>
      </c>
      <c r="AC244">
        <v>1</v>
      </c>
      <c r="AD244">
        <v>0</v>
      </c>
      <c r="AE244" t="s">
        <v>44</v>
      </c>
      <c r="AF244" t="s">
        <v>44</v>
      </c>
      <c r="AG244">
        <f t="shared" si="81"/>
        <v>0</v>
      </c>
      <c r="AH244" t="s">
        <v>44</v>
      </c>
      <c r="AI244">
        <f t="shared" si="82"/>
        <v>0</v>
      </c>
      <c r="AJ244" t="s">
        <v>43</v>
      </c>
      <c r="AK244">
        <f t="shared" si="83"/>
        <v>1</v>
      </c>
      <c r="AL244">
        <f t="shared" si="84"/>
        <v>0</v>
      </c>
      <c r="AM244">
        <v>0</v>
      </c>
      <c r="AN244">
        <f t="shared" si="85"/>
        <v>0</v>
      </c>
      <c r="AO244">
        <f t="shared" si="86"/>
        <v>0</v>
      </c>
      <c r="AP244">
        <f t="shared" si="87"/>
        <v>0</v>
      </c>
      <c r="AQ244">
        <v>6</v>
      </c>
      <c r="AR244">
        <v>0</v>
      </c>
      <c r="AS244">
        <v>0</v>
      </c>
    </row>
    <row r="245" spans="1:45" x14ac:dyDescent="0.2">
      <c r="A245" t="s">
        <v>34</v>
      </c>
      <c r="B245" t="s">
        <v>51</v>
      </c>
      <c r="C245">
        <v>16</v>
      </c>
      <c r="D245" t="s">
        <v>36</v>
      </c>
      <c r="E245" t="s">
        <v>37</v>
      </c>
      <c r="F245" t="s">
        <v>45</v>
      </c>
      <c r="G245">
        <f t="shared" si="71"/>
        <v>1</v>
      </c>
      <c r="H245">
        <v>4</v>
      </c>
      <c r="I245">
        <f t="shared" si="72"/>
        <v>0</v>
      </c>
      <c r="J245">
        <f t="shared" si="73"/>
        <v>0</v>
      </c>
      <c r="K245">
        <f t="shared" si="74"/>
        <v>0</v>
      </c>
      <c r="L245">
        <f t="shared" si="75"/>
        <v>0</v>
      </c>
      <c r="M245">
        <f t="shared" si="76"/>
        <v>1</v>
      </c>
      <c r="N245">
        <v>4</v>
      </c>
      <c r="O245">
        <f t="shared" si="66"/>
        <v>0</v>
      </c>
      <c r="P245">
        <f t="shared" si="67"/>
        <v>0</v>
      </c>
      <c r="Q245">
        <f t="shared" si="68"/>
        <v>0</v>
      </c>
      <c r="R245">
        <f t="shared" si="69"/>
        <v>0</v>
      </c>
      <c r="S245">
        <f t="shared" si="70"/>
        <v>1</v>
      </c>
      <c r="T245">
        <f t="shared" si="77"/>
        <v>1</v>
      </c>
      <c r="U245">
        <f t="shared" si="78"/>
        <v>0</v>
      </c>
      <c r="V245">
        <f t="shared" si="79"/>
        <v>0</v>
      </c>
      <c r="W245">
        <f t="shared" si="80"/>
        <v>0</v>
      </c>
      <c r="X245" t="s">
        <v>49</v>
      </c>
      <c r="Y245" t="s">
        <v>49</v>
      </c>
      <c r="Z245" t="s">
        <v>41</v>
      </c>
      <c r="AA245" t="s">
        <v>42</v>
      </c>
      <c r="AB245">
        <v>1</v>
      </c>
      <c r="AC245">
        <v>1</v>
      </c>
      <c r="AD245">
        <v>0</v>
      </c>
      <c r="AE245" t="s">
        <v>44</v>
      </c>
      <c r="AF245" t="s">
        <v>44</v>
      </c>
      <c r="AG245">
        <f t="shared" si="81"/>
        <v>0</v>
      </c>
      <c r="AH245" t="s">
        <v>44</v>
      </c>
      <c r="AI245">
        <f t="shared" si="82"/>
        <v>0</v>
      </c>
      <c r="AJ245" t="s">
        <v>43</v>
      </c>
      <c r="AK245">
        <f t="shared" si="83"/>
        <v>1</v>
      </c>
      <c r="AL245">
        <f t="shared" si="84"/>
        <v>0</v>
      </c>
      <c r="AM245">
        <v>0</v>
      </c>
      <c r="AN245">
        <f t="shared" si="85"/>
        <v>0</v>
      </c>
      <c r="AO245">
        <f t="shared" si="86"/>
        <v>0</v>
      </c>
      <c r="AP245">
        <f t="shared" si="87"/>
        <v>0</v>
      </c>
      <c r="AQ245">
        <v>13</v>
      </c>
      <c r="AR245">
        <v>12</v>
      </c>
      <c r="AS245">
        <v>12</v>
      </c>
    </row>
    <row r="246" spans="1:45" x14ac:dyDescent="0.2">
      <c r="A246" t="s">
        <v>34</v>
      </c>
      <c r="B246" t="s">
        <v>35</v>
      </c>
      <c r="C246">
        <v>18</v>
      </c>
      <c r="D246" t="s">
        <v>36</v>
      </c>
      <c r="E246" t="s">
        <v>37</v>
      </c>
      <c r="F246" t="s">
        <v>45</v>
      </c>
      <c r="G246">
        <f t="shared" si="71"/>
        <v>1</v>
      </c>
      <c r="H246">
        <v>2</v>
      </c>
      <c r="I246">
        <f t="shared" si="72"/>
        <v>0</v>
      </c>
      <c r="J246">
        <f t="shared" si="73"/>
        <v>0</v>
      </c>
      <c r="K246">
        <f t="shared" si="74"/>
        <v>1</v>
      </c>
      <c r="L246">
        <f t="shared" si="75"/>
        <v>0</v>
      </c>
      <c r="M246">
        <f t="shared" si="76"/>
        <v>0</v>
      </c>
      <c r="N246">
        <v>1</v>
      </c>
      <c r="O246">
        <f t="shared" si="66"/>
        <v>0</v>
      </c>
      <c r="P246">
        <f t="shared" si="67"/>
        <v>1</v>
      </c>
      <c r="Q246">
        <f t="shared" si="68"/>
        <v>0</v>
      </c>
      <c r="R246">
        <f t="shared" si="69"/>
        <v>0</v>
      </c>
      <c r="S246">
        <f t="shared" si="70"/>
        <v>0</v>
      </c>
      <c r="T246">
        <f t="shared" si="77"/>
        <v>0</v>
      </c>
      <c r="U246">
        <f t="shared" si="78"/>
        <v>0</v>
      </c>
      <c r="V246">
        <f t="shared" si="79"/>
        <v>0</v>
      </c>
      <c r="W246">
        <f t="shared" si="80"/>
        <v>0</v>
      </c>
      <c r="X246" t="s">
        <v>46</v>
      </c>
      <c r="Y246" t="s">
        <v>46</v>
      </c>
      <c r="Z246" t="s">
        <v>41</v>
      </c>
      <c r="AA246" t="s">
        <v>46</v>
      </c>
      <c r="AB246">
        <v>2</v>
      </c>
      <c r="AC246">
        <v>3</v>
      </c>
      <c r="AD246">
        <v>0</v>
      </c>
      <c r="AE246" t="s">
        <v>44</v>
      </c>
      <c r="AF246" t="s">
        <v>43</v>
      </c>
      <c r="AG246">
        <f t="shared" si="81"/>
        <v>1</v>
      </c>
      <c r="AH246" t="s">
        <v>43</v>
      </c>
      <c r="AI246">
        <f t="shared" si="82"/>
        <v>1</v>
      </c>
      <c r="AJ246" t="s">
        <v>43</v>
      </c>
      <c r="AK246">
        <f t="shared" si="83"/>
        <v>1</v>
      </c>
      <c r="AL246">
        <f t="shared" si="84"/>
        <v>1</v>
      </c>
      <c r="AM246">
        <v>0</v>
      </c>
      <c r="AN246">
        <f t="shared" si="85"/>
        <v>0</v>
      </c>
      <c r="AO246">
        <f t="shared" si="86"/>
        <v>0</v>
      </c>
      <c r="AP246">
        <f t="shared" si="87"/>
        <v>0</v>
      </c>
      <c r="AQ246">
        <v>7</v>
      </c>
      <c r="AR246">
        <v>0</v>
      </c>
      <c r="AS246">
        <v>0</v>
      </c>
    </row>
    <row r="247" spans="1:45" x14ac:dyDescent="0.2">
      <c r="A247" t="s">
        <v>34</v>
      </c>
      <c r="B247" t="s">
        <v>51</v>
      </c>
      <c r="C247">
        <v>16</v>
      </c>
      <c r="D247" t="s">
        <v>36</v>
      </c>
      <c r="E247" t="s">
        <v>37</v>
      </c>
      <c r="F247" t="s">
        <v>45</v>
      </c>
      <c r="G247">
        <f t="shared" si="71"/>
        <v>1</v>
      </c>
      <c r="H247">
        <v>2</v>
      </c>
      <c r="I247">
        <f t="shared" si="72"/>
        <v>0</v>
      </c>
      <c r="J247">
        <f t="shared" si="73"/>
        <v>0</v>
      </c>
      <c r="K247">
        <f t="shared" si="74"/>
        <v>1</v>
      </c>
      <c r="L247">
        <f t="shared" si="75"/>
        <v>0</v>
      </c>
      <c r="M247">
        <f t="shared" si="76"/>
        <v>0</v>
      </c>
      <c r="N247">
        <v>1</v>
      </c>
      <c r="O247">
        <f t="shared" si="66"/>
        <v>0</v>
      </c>
      <c r="P247">
        <f t="shared" si="67"/>
        <v>1</v>
      </c>
      <c r="Q247">
        <f t="shared" si="68"/>
        <v>0</v>
      </c>
      <c r="R247">
        <f t="shared" si="69"/>
        <v>0</v>
      </c>
      <c r="S247">
        <f t="shared" si="70"/>
        <v>0</v>
      </c>
      <c r="T247">
        <f t="shared" si="77"/>
        <v>0</v>
      </c>
      <c r="U247">
        <f t="shared" si="78"/>
        <v>0</v>
      </c>
      <c r="V247">
        <f t="shared" si="79"/>
        <v>0</v>
      </c>
      <c r="W247">
        <f t="shared" si="80"/>
        <v>0</v>
      </c>
      <c r="X247" t="s">
        <v>46</v>
      </c>
      <c r="Y247" t="s">
        <v>46</v>
      </c>
      <c r="Z247" t="s">
        <v>41</v>
      </c>
      <c r="AA247" t="s">
        <v>42</v>
      </c>
      <c r="AB247">
        <v>3</v>
      </c>
      <c r="AC247">
        <v>1</v>
      </c>
      <c r="AD247">
        <v>0</v>
      </c>
      <c r="AE247" t="s">
        <v>44</v>
      </c>
      <c r="AF247" t="s">
        <v>44</v>
      </c>
      <c r="AG247">
        <f t="shared" si="81"/>
        <v>0</v>
      </c>
      <c r="AH247" t="s">
        <v>44</v>
      </c>
      <c r="AI247">
        <f t="shared" si="82"/>
        <v>0</v>
      </c>
      <c r="AJ247" t="s">
        <v>43</v>
      </c>
      <c r="AK247">
        <f t="shared" si="83"/>
        <v>1</v>
      </c>
      <c r="AL247">
        <f t="shared" si="84"/>
        <v>0</v>
      </c>
      <c r="AM247">
        <v>6</v>
      </c>
      <c r="AN247">
        <f t="shared" si="85"/>
        <v>0</v>
      </c>
      <c r="AO247">
        <f t="shared" si="86"/>
        <v>0</v>
      </c>
      <c r="AP247">
        <f t="shared" si="87"/>
        <v>0</v>
      </c>
      <c r="AQ247">
        <v>18</v>
      </c>
      <c r="AR247">
        <v>18</v>
      </c>
      <c r="AS247">
        <v>18</v>
      </c>
    </row>
    <row r="248" spans="1:45" x14ac:dyDescent="0.2">
      <c r="A248" t="s">
        <v>34</v>
      </c>
      <c r="B248" t="s">
        <v>51</v>
      </c>
      <c r="C248">
        <v>17</v>
      </c>
      <c r="D248" t="s">
        <v>36</v>
      </c>
      <c r="E248" t="s">
        <v>37</v>
      </c>
      <c r="F248" t="s">
        <v>45</v>
      </c>
      <c r="G248">
        <f t="shared" si="71"/>
        <v>1</v>
      </c>
      <c r="H248">
        <v>2</v>
      </c>
      <c r="I248">
        <f t="shared" si="72"/>
        <v>0</v>
      </c>
      <c r="J248">
        <f t="shared" si="73"/>
        <v>0</v>
      </c>
      <c r="K248">
        <f t="shared" si="74"/>
        <v>1</v>
      </c>
      <c r="L248">
        <f t="shared" si="75"/>
        <v>0</v>
      </c>
      <c r="M248">
        <f t="shared" si="76"/>
        <v>0</v>
      </c>
      <c r="N248">
        <v>3</v>
      </c>
      <c r="O248">
        <f t="shared" si="66"/>
        <v>0</v>
      </c>
      <c r="P248">
        <f t="shared" si="67"/>
        <v>0</v>
      </c>
      <c r="Q248">
        <f t="shared" si="68"/>
        <v>0</v>
      </c>
      <c r="R248">
        <f t="shared" si="69"/>
        <v>1</v>
      </c>
      <c r="S248">
        <f t="shared" si="70"/>
        <v>0</v>
      </c>
      <c r="T248">
        <f t="shared" si="77"/>
        <v>0</v>
      </c>
      <c r="U248">
        <f t="shared" si="78"/>
        <v>0</v>
      </c>
      <c r="V248">
        <f t="shared" si="79"/>
        <v>0</v>
      </c>
      <c r="W248">
        <f t="shared" si="80"/>
        <v>0</v>
      </c>
      <c r="X248" t="s">
        <v>46</v>
      </c>
      <c r="Y248" t="s">
        <v>46</v>
      </c>
      <c r="Z248" t="s">
        <v>41</v>
      </c>
      <c r="AA248" t="s">
        <v>47</v>
      </c>
      <c r="AB248">
        <v>2</v>
      </c>
      <c r="AC248">
        <v>1</v>
      </c>
      <c r="AD248">
        <v>0</v>
      </c>
      <c r="AE248" t="s">
        <v>44</v>
      </c>
      <c r="AF248" t="s">
        <v>44</v>
      </c>
      <c r="AG248">
        <f t="shared" si="81"/>
        <v>0</v>
      </c>
      <c r="AH248" t="s">
        <v>44</v>
      </c>
      <c r="AI248">
        <f t="shared" si="82"/>
        <v>0</v>
      </c>
      <c r="AJ248" t="s">
        <v>43</v>
      </c>
      <c r="AK248">
        <f t="shared" si="83"/>
        <v>1</v>
      </c>
      <c r="AL248">
        <f t="shared" si="84"/>
        <v>0</v>
      </c>
      <c r="AM248">
        <v>4</v>
      </c>
      <c r="AN248">
        <f t="shared" si="85"/>
        <v>0</v>
      </c>
      <c r="AO248">
        <f t="shared" si="86"/>
        <v>0</v>
      </c>
      <c r="AP248">
        <f t="shared" si="87"/>
        <v>0</v>
      </c>
      <c r="AQ248">
        <v>12</v>
      </c>
      <c r="AR248">
        <v>12</v>
      </c>
      <c r="AS248">
        <v>13</v>
      </c>
    </row>
    <row r="249" spans="1:45" x14ac:dyDescent="0.2">
      <c r="A249" t="s">
        <v>34</v>
      </c>
      <c r="B249" t="s">
        <v>51</v>
      </c>
      <c r="C249">
        <v>22</v>
      </c>
      <c r="D249" t="s">
        <v>36</v>
      </c>
      <c r="E249" t="s">
        <v>37</v>
      </c>
      <c r="F249" t="s">
        <v>45</v>
      </c>
      <c r="G249">
        <f t="shared" si="71"/>
        <v>1</v>
      </c>
      <c r="H249">
        <v>3</v>
      </c>
      <c r="I249">
        <f t="shared" si="72"/>
        <v>0</v>
      </c>
      <c r="J249">
        <f t="shared" si="73"/>
        <v>0</v>
      </c>
      <c r="K249">
        <f t="shared" si="74"/>
        <v>0</v>
      </c>
      <c r="L249">
        <f t="shared" si="75"/>
        <v>1</v>
      </c>
      <c r="M249">
        <f t="shared" si="76"/>
        <v>0</v>
      </c>
      <c r="N249">
        <v>1</v>
      </c>
      <c r="O249">
        <f t="shared" si="66"/>
        <v>0</v>
      </c>
      <c r="P249">
        <f t="shared" si="67"/>
        <v>1</v>
      </c>
      <c r="Q249">
        <f t="shared" si="68"/>
        <v>0</v>
      </c>
      <c r="R249">
        <f t="shared" si="69"/>
        <v>0</v>
      </c>
      <c r="S249">
        <f t="shared" si="70"/>
        <v>0</v>
      </c>
      <c r="T249">
        <f t="shared" si="77"/>
        <v>0</v>
      </c>
      <c r="U249">
        <f t="shared" si="78"/>
        <v>0</v>
      </c>
      <c r="V249">
        <f t="shared" si="79"/>
        <v>0</v>
      </c>
      <c r="W249">
        <f t="shared" si="80"/>
        <v>0</v>
      </c>
      <c r="X249" t="s">
        <v>49</v>
      </c>
      <c r="Y249" t="s">
        <v>49</v>
      </c>
      <c r="Z249" t="s">
        <v>46</v>
      </c>
      <c r="AA249" t="s">
        <v>42</v>
      </c>
      <c r="AB249">
        <v>1</v>
      </c>
      <c r="AC249">
        <v>1</v>
      </c>
      <c r="AD249">
        <v>3</v>
      </c>
      <c r="AE249" t="s">
        <v>44</v>
      </c>
      <c r="AF249" t="s">
        <v>44</v>
      </c>
      <c r="AG249">
        <f t="shared" si="81"/>
        <v>0</v>
      </c>
      <c r="AH249" t="s">
        <v>44</v>
      </c>
      <c r="AI249">
        <f t="shared" si="82"/>
        <v>0</v>
      </c>
      <c r="AJ249" t="s">
        <v>43</v>
      </c>
      <c r="AK249">
        <f t="shared" si="83"/>
        <v>1</v>
      </c>
      <c r="AL249">
        <f t="shared" si="84"/>
        <v>0</v>
      </c>
      <c r="AM249">
        <v>16</v>
      </c>
      <c r="AN249">
        <f t="shared" si="85"/>
        <v>0</v>
      </c>
      <c r="AO249">
        <f t="shared" si="86"/>
        <v>0</v>
      </c>
      <c r="AP249">
        <f t="shared" si="87"/>
        <v>0</v>
      </c>
      <c r="AQ249">
        <v>6</v>
      </c>
      <c r="AR249">
        <v>8</v>
      </c>
      <c r="AS249">
        <v>8</v>
      </c>
    </row>
    <row r="250" spans="1:45" x14ac:dyDescent="0.2">
      <c r="A250" t="s">
        <v>34</v>
      </c>
      <c r="B250" t="s">
        <v>51</v>
      </c>
      <c r="C250">
        <v>18</v>
      </c>
      <c r="D250" t="s">
        <v>53</v>
      </c>
      <c r="E250" t="s">
        <v>48</v>
      </c>
      <c r="F250" t="s">
        <v>45</v>
      </c>
      <c r="G250">
        <f t="shared" si="71"/>
        <v>1</v>
      </c>
      <c r="H250">
        <v>3</v>
      </c>
      <c r="I250">
        <f t="shared" si="72"/>
        <v>0</v>
      </c>
      <c r="J250">
        <f t="shared" si="73"/>
        <v>0</v>
      </c>
      <c r="K250">
        <f t="shared" si="74"/>
        <v>0</v>
      </c>
      <c r="L250">
        <f t="shared" si="75"/>
        <v>1</v>
      </c>
      <c r="M250">
        <f t="shared" si="76"/>
        <v>0</v>
      </c>
      <c r="N250">
        <v>3</v>
      </c>
      <c r="O250">
        <f t="shared" si="66"/>
        <v>0</v>
      </c>
      <c r="P250">
        <f t="shared" si="67"/>
        <v>0</v>
      </c>
      <c r="Q250">
        <f t="shared" si="68"/>
        <v>0</v>
      </c>
      <c r="R250">
        <f t="shared" si="69"/>
        <v>1</v>
      </c>
      <c r="S250">
        <f t="shared" si="70"/>
        <v>0</v>
      </c>
      <c r="T250">
        <f t="shared" si="77"/>
        <v>0</v>
      </c>
      <c r="U250">
        <f t="shared" si="78"/>
        <v>0</v>
      </c>
      <c r="V250">
        <f t="shared" si="79"/>
        <v>0</v>
      </c>
      <c r="W250">
        <f t="shared" si="80"/>
        <v>0</v>
      </c>
      <c r="X250" t="s">
        <v>46</v>
      </c>
      <c r="Y250" t="s">
        <v>49</v>
      </c>
      <c r="Z250" t="s">
        <v>41</v>
      </c>
      <c r="AA250" t="s">
        <v>42</v>
      </c>
      <c r="AB250">
        <v>1</v>
      </c>
      <c r="AC250">
        <v>2</v>
      </c>
      <c r="AD250">
        <v>1</v>
      </c>
      <c r="AE250" t="s">
        <v>44</v>
      </c>
      <c r="AF250" t="s">
        <v>43</v>
      </c>
      <c r="AG250">
        <f t="shared" si="81"/>
        <v>1</v>
      </c>
      <c r="AH250" t="s">
        <v>44</v>
      </c>
      <c r="AI250">
        <f t="shared" si="82"/>
        <v>0</v>
      </c>
      <c r="AJ250" t="s">
        <v>43</v>
      </c>
      <c r="AK250">
        <f t="shared" si="83"/>
        <v>1</v>
      </c>
      <c r="AL250">
        <f t="shared" si="84"/>
        <v>0</v>
      </c>
      <c r="AM250">
        <v>8</v>
      </c>
      <c r="AN250">
        <f t="shared" si="85"/>
        <v>0</v>
      </c>
      <c r="AO250">
        <f t="shared" si="86"/>
        <v>0</v>
      </c>
      <c r="AP250">
        <f t="shared" si="87"/>
        <v>0</v>
      </c>
      <c r="AQ250">
        <v>3</v>
      </c>
      <c r="AR250">
        <v>5</v>
      </c>
      <c r="AS250">
        <v>5</v>
      </c>
    </row>
    <row r="251" spans="1:45" x14ac:dyDescent="0.2">
      <c r="A251" t="s">
        <v>34</v>
      </c>
      <c r="B251" t="s">
        <v>51</v>
      </c>
      <c r="C251">
        <v>16</v>
      </c>
      <c r="D251" t="s">
        <v>36</v>
      </c>
      <c r="E251" t="s">
        <v>37</v>
      </c>
      <c r="F251" t="s">
        <v>45</v>
      </c>
      <c r="G251">
        <f t="shared" si="71"/>
        <v>1</v>
      </c>
      <c r="H251">
        <v>0</v>
      </c>
      <c r="I251">
        <f t="shared" si="72"/>
        <v>1</v>
      </c>
      <c r="J251">
        <f t="shared" si="73"/>
        <v>0</v>
      </c>
      <c r="K251">
        <f t="shared" si="74"/>
        <v>0</v>
      </c>
      <c r="L251">
        <f t="shared" si="75"/>
        <v>0</v>
      </c>
      <c r="M251">
        <f t="shared" si="76"/>
        <v>0</v>
      </c>
      <c r="N251">
        <v>2</v>
      </c>
      <c r="O251">
        <f t="shared" si="66"/>
        <v>0</v>
      </c>
      <c r="P251">
        <f t="shared" si="67"/>
        <v>0</v>
      </c>
      <c r="Q251">
        <f t="shared" si="68"/>
        <v>1</v>
      </c>
      <c r="R251">
        <f t="shared" si="69"/>
        <v>0</v>
      </c>
      <c r="S251">
        <f t="shared" si="70"/>
        <v>0</v>
      </c>
      <c r="T251">
        <f t="shared" si="77"/>
        <v>0</v>
      </c>
      <c r="U251">
        <f t="shared" si="78"/>
        <v>0</v>
      </c>
      <c r="V251">
        <f t="shared" si="79"/>
        <v>0</v>
      </c>
      <c r="W251">
        <f t="shared" si="80"/>
        <v>0</v>
      </c>
      <c r="X251" t="s">
        <v>46</v>
      </c>
      <c r="Y251" t="s">
        <v>46</v>
      </c>
      <c r="Z251" t="s">
        <v>46</v>
      </c>
      <c r="AA251" t="s">
        <v>42</v>
      </c>
      <c r="AB251">
        <v>1</v>
      </c>
      <c r="AC251">
        <v>1</v>
      </c>
      <c r="AD251">
        <v>0</v>
      </c>
      <c r="AE251" t="s">
        <v>44</v>
      </c>
      <c r="AF251" t="s">
        <v>44</v>
      </c>
      <c r="AG251">
        <f t="shared" si="81"/>
        <v>0</v>
      </c>
      <c r="AH251" t="s">
        <v>43</v>
      </c>
      <c r="AI251">
        <f t="shared" si="82"/>
        <v>1</v>
      </c>
      <c r="AJ251" t="s">
        <v>43</v>
      </c>
      <c r="AK251">
        <f t="shared" si="83"/>
        <v>1</v>
      </c>
      <c r="AL251">
        <f t="shared" si="84"/>
        <v>1</v>
      </c>
      <c r="AM251">
        <v>0</v>
      </c>
      <c r="AN251">
        <f t="shared" si="85"/>
        <v>0</v>
      </c>
      <c r="AO251">
        <f t="shared" si="86"/>
        <v>0</v>
      </c>
      <c r="AP251">
        <f t="shared" si="87"/>
        <v>0</v>
      </c>
      <c r="AQ251">
        <v>13</v>
      </c>
      <c r="AR251">
        <v>15</v>
      </c>
      <c r="AS251">
        <v>15</v>
      </c>
    </row>
    <row r="252" spans="1:45" x14ac:dyDescent="0.2">
      <c r="A252" t="s">
        <v>34</v>
      </c>
      <c r="B252" t="s">
        <v>51</v>
      </c>
      <c r="C252">
        <v>18</v>
      </c>
      <c r="D252" t="s">
        <v>36</v>
      </c>
      <c r="E252" t="s">
        <v>37</v>
      </c>
      <c r="F252" t="s">
        <v>45</v>
      </c>
      <c r="G252">
        <f t="shared" si="71"/>
        <v>1</v>
      </c>
      <c r="H252">
        <v>3</v>
      </c>
      <c r="I252">
        <f t="shared" si="72"/>
        <v>0</v>
      </c>
      <c r="J252">
        <f t="shared" si="73"/>
        <v>0</v>
      </c>
      <c r="K252">
        <f t="shared" si="74"/>
        <v>0</v>
      </c>
      <c r="L252">
        <f t="shared" si="75"/>
        <v>1</v>
      </c>
      <c r="M252">
        <f t="shared" si="76"/>
        <v>0</v>
      </c>
      <c r="N252">
        <v>2</v>
      </c>
      <c r="O252">
        <f t="shared" si="66"/>
        <v>0</v>
      </c>
      <c r="P252">
        <f t="shared" si="67"/>
        <v>0</v>
      </c>
      <c r="Q252">
        <f t="shared" si="68"/>
        <v>1</v>
      </c>
      <c r="R252">
        <f t="shared" si="69"/>
        <v>0</v>
      </c>
      <c r="S252">
        <f t="shared" si="70"/>
        <v>0</v>
      </c>
      <c r="T252">
        <f t="shared" si="77"/>
        <v>0</v>
      </c>
      <c r="U252">
        <f t="shared" si="78"/>
        <v>0</v>
      </c>
      <c r="V252">
        <f t="shared" si="79"/>
        <v>0</v>
      </c>
      <c r="W252">
        <f t="shared" si="80"/>
        <v>0</v>
      </c>
      <c r="X252" t="s">
        <v>49</v>
      </c>
      <c r="Y252" t="s">
        <v>46</v>
      </c>
      <c r="Z252" t="s">
        <v>41</v>
      </c>
      <c r="AA252" t="s">
        <v>42</v>
      </c>
      <c r="AB252">
        <v>2</v>
      </c>
      <c r="AC252">
        <v>1</v>
      </c>
      <c r="AD252">
        <v>1</v>
      </c>
      <c r="AE252" t="s">
        <v>44</v>
      </c>
      <c r="AF252" t="s">
        <v>44</v>
      </c>
      <c r="AG252">
        <f t="shared" si="81"/>
        <v>0</v>
      </c>
      <c r="AH252" t="s">
        <v>44</v>
      </c>
      <c r="AI252">
        <f t="shared" si="82"/>
        <v>0</v>
      </c>
      <c r="AJ252" t="s">
        <v>43</v>
      </c>
      <c r="AK252">
        <f t="shared" si="83"/>
        <v>1</v>
      </c>
      <c r="AL252">
        <f t="shared" si="84"/>
        <v>0</v>
      </c>
      <c r="AM252">
        <v>0</v>
      </c>
      <c r="AN252">
        <f t="shared" si="85"/>
        <v>0</v>
      </c>
      <c r="AO252">
        <f t="shared" si="86"/>
        <v>0</v>
      </c>
      <c r="AP252">
        <f t="shared" si="87"/>
        <v>0</v>
      </c>
      <c r="AQ252">
        <v>6</v>
      </c>
      <c r="AR252">
        <v>8</v>
      </c>
      <c r="AS252">
        <v>8</v>
      </c>
    </row>
    <row r="253" spans="1:45" x14ac:dyDescent="0.2">
      <c r="A253" t="s">
        <v>34</v>
      </c>
      <c r="B253" t="s">
        <v>51</v>
      </c>
      <c r="C253">
        <v>16</v>
      </c>
      <c r="D253" t="s">
        <v>36</v>
      </c>
      <c r="E253" t="s">
        <v>37</v>
      </c>
      <c r="F253" t="s">
        <v>45</v>
      </c>
      <c r="G253">
        <f t="shared" si="71"/>
        <v>1</v>
      </c>
      <c r="H253">
        <v>3</v>
      </c>
      <c r="I253">
        <f t="shared" si="72"/>
        <v>0</v>
      </c>
      <c r="J253">
        <f t="shared" si="73"/>
        <v>0</v>
      </c>
      <c r="K253">
        <f t="shared" si="74"/>
        <v>0</v>
      </c>
      <c r="L253">
        <f t="shared" si="75"/>
        <v>1</v>
      </c>
      <c r="M253">
        <f t="shared" si="76"/>
        <v>0</v>
      </c>
      <c r="N253">
        <v>3</v>
      </c>
      <c r="O253">
        <f t="shared" si="66"/>
        <v>0</v>
      </c>
      <c r="P253">
        <f t="shared" si="67"/>
        <v>0</v>
      </c>
      <c r="Q253">
        <f t="shared" si="68"/>
        <v>0</v>
      </c>
      <c r="R253">
        <f t="shared" si="69"/>
        <v>1</v>
      </c>
      <c r="S253">
        <f t="shared" si="70"/>
        <v>0</v>
      </c>
      <c r="T253">
        <f t="shared" si="77"/>
        <v>0</v>
      </c>
      <c r="U253">
        <f t="shared" si="78"/>
        <v>0</v>
      </c>
      <c r="V253">
        <f t="shared" si="79"/>
        <v>0</v>
      </c>
      <c r="W253">
        <f t="shared" si="80"/>
        <v>0</v>
      </c>
      <c r="X253" t="s">
        <v>39</v>
      </c>
      <c r="Y253" t="s">
        <v>46</v>
      </c>
      <c r="Z253" t="s">
        <v>52</v>
      </c>
      <c r="AA253" t="s">
        <v>46</v>
      </c>
      <c r="AB253">
        <v>3</v>
      </c>
      <c r="AC253">
        <v>2</v>
      </c>
      <c r="AD253">
        <v>0</v>
      </c>
      <c r="AE253" t="s">
        <v>43</v>
      </c>
      <c r="AF253" t="s">
        <v>43</v>
      </c>
      <c r="AG253">
        <f t="shared" si="81"/>
        <v>1</v>
      </c>
      <c r="AH253" t="s">
        <v>44</v>
      </c>
      <c r="AI253">
        <f t="shared" si="82"/>
        <v>0</v>
      </c>
      <c r="AJ253" t="s">
        <v>43</v>
      </c>
      <c r="AK253">
        <f t="shared" si="83"/>
        <v>1</v>
      </c>
      <c r="AL253">
        <f t="shared" si="84"/>
        <v>0</v>
      </c>
      <c r="AM253">
        <v>6</v>
      </c>
      <c r="AN253">
        <f t="shared" si="85"/>
        <v>0</v>
      </c>
      <c r="AO253">
        <f t="shared" si="86"/>
        <v>0</v>
      </c>
      <c r="AP253">
        <f t="shared" si="87"/>
        <v>0</v>
      </c>
      <c r="AQ253">
        <v>7</v>
      </c>
      <c r="AR253">
        <v>10</v>
      </c>
      <c r="AS253">
        <v>10</v>
      </c>
    </row>
    <row r="254" spans="1:45" x14ac:dyDescent="0.2">
      <c r="A254" t="s">
        <v>34</v>
      </c>
      <c r="B254" t="s">
        <v>51</v>
      </c>
      <c r="C254">
        <v>18</v>
      </c>
      <c r="D254" t="s">
        <v>36</v>
      </c>
      <c r="E254" t="s">
        <v>37</v>
      </c>
      <c r="F254" t="s">
        <v>45</v>
      </c>
      <c r="G254">
        <f t="shared" si="71"/>
        <v>1</v>
      </c>
      <c r="H254">
        <v>2</v>
      </c>
      <c r="I254">
        <f t="shared" si="72"/>
        <v>0</v>
      </c>
      <c r="J254">
        <f t="shared" si="73"/>
        <v>0</v>
      </c>
      <c r="K254">
        <f t="shared" si="74"/>
        <v>1</v>
      </c>
      <c r="L254">
        <f t="shared" si="75"/>
        <v>0</v>
      </c>
      <c r="M254">
        <f t="shared" si="76"/>
        <v>0</v>
      </c>
      <c r="N254">
        <v>1</v>
      </c>
      <c r="O254">
        <f t="shared" si="66"/>
        <v>0</v>
      </c>
      <c r="P254">
        <f t="shared" si="67"/>
        <v>1</v>
      </c>
      <c r="Q254">
        <f t="shared" si="68"/>
        <v>0</v>
      </c>
      <c r="R254">
        <f t="shared" si="69"/>
        <v>0</v>
      </c>
      <c r="S254">
        <f t="shared" si="70"/>
        <v>0</v>
      </c>
      <c r="T254">
        <f t="shared" si="77"/>
        <v>0</v>
      </c>
      <c r="U254">
        <f t="shared" si="78"/>
        <v>0</v>
      </c>
      <c r="V254">
        <f t="shared" si="79"/>
        <v>0</v>
      </c>
      <c r="W254">
        <f t="shared" si="80"/>
        <v>0</v>
      </c>
      <c r="X254" t="s">
        <v>49</v>
      </c>
      <c r="Y254" t="s">
        <v>49</v>
      </c>
      <c r="Z254" t="s">
        <v>46</v>
      </c>
      <c r="AA254" t="s">
        <v>42</v>
      </c>
      <c r="AB254">
        <v>1</v>
      </c>
      <c r="AC254">
        <v>1</v>
      </c>
      <c r="AD254">
        <v>1</v>
      </c>
      <c r="AE254" t="s">
        <v>44</v>
      </c>
      <c r="AF254" t="s">
        <v>44</v>
      </c>
      <c r="AG254">
        <f t="shared" si="81"/>
        <v>0</v>
      </c>
      <c r="AH254" t="s">
        <v>44</v>
      </c>
      <c r="AI254">
        <f t="shared" si="82"/>
        <v>0</v>
      </c>
      <c r="AJ254" t="s">
        <v>43</v>
      </c>
      <c r="AK254">
        <f t="shared" si="83"/>
        <v>1</v>
      </c>
      <c r="AL254">
        <f t="shared" si="84"/>
        <v>0</v>
      </c>
      <c r="AM254">
        <v>4</v>
      </c>
      <c r="AN254">
        <f t="shared" si="85"/>
        <v>0</v>
      </c>
      <c r="AO254">
        <f t="shared" si="86"/>
        <v>0</v>
      </c>
      <c r="AP254">
        <f t="shared" si="87"/>
        <v>0</v>
      </c>
      <c r="AQ254">
        <v>6</v>
      </c>
      <c r="AR254">
        <v>9</v>
      </c>
      <c r="AS254">
        <v>8</v>
      </c>
    </row>
    <row r="255" spans="1:45" x14ac:dyDescent="0.2">
      <c r="A255" t="s">
        <v>34</v>
      </c>
      <c r="B255" t="s">
        <v>51</v>
      </c>
      <c r="C255">
        <v>16</v>
      </c>
      <c r="D255" t="s">
        <v>53</v>
      </c>
      <c r="E255" t="s">
        <v>37</v>
      </c>
      <c r="F255" t="s">
        <v>45</v>
      </c>
      <c r="G255">
        <f t="shared" si="71"/>
        <v>1</v>
      </c>
      <c r="H255">
        <v>2</v>
      </c>
      <c r="I255">
        <f t="shared" si="72"/>
        <v>0</v>
      </c>
      <c r="J255">
        <f t="shared" si="73"/>
        <v>0</v>
      </c>
      <c r="K255">
        <f t="shared" si="74"/>
        <v>1</v>
      </c>
      <c r="L255">
        <f t="shared" si="75"/>
        <v>0</v>
      </c>
      <c r="M255">
        <f t="shared" si="76"/>
        <v>0</v>
      </c>
      <c r="N255">
        <v>1</v>
      </c>
      <c r="O255">
        <f t="shared" si="66"/>
        <v>0</v>
      </c>
      <c r="P255">
        <f t="shared" si="67"/>
        <v>1</v>
      </c>
      <c r="Q255">
        <f t="shared" si="68"/>
        <v>0</v>
      </c>
      <c r="R255">
        <f t="shared" si="69"/>
        <v>0</v>
      </c>
      <c r="S255">
        <f t="shared" si="70"/>
        <v>0</v>
      </c>
      <c r="T255">
        <f t="shared" si="77"/>
        <v>0</v>
      </c>
      <c r="U255">
        <f t="shared" si="78"/>
        <v>0</v>
      </c>
      <c r="V255">
        <f t="shared" si="79"/>
        <v>0</v>
      </c>
      <c r="W255">
        <f t="shared" si="80"/>
        <v>0</v>
      </c>
      <c r="X255" t="s">
        <v>46</v>
      </c>
      <c r="Y255" t="s">
        <v>46</v>
      </c>
      <c r="Z255" t="s">
        <v>41</v>
      </c>
      <c r="AA255" t="s">
        <v>42</v>
      </c>
      <c r="AB255">
        <v>2</v>
      </c>
      <c r="AC255">
        <v>1</v>
      </c>
      <c r="AD255">
        <v>0</v>
      </c>
      <c r="AE255" t="s">
        <v>44</v>
      </c>
      <c r="AF255" t="s">
        <v>44</v>
      </c>
      <c r="AG255">
        <f t="shared" si="81"/>
        <v>0</v>
      </c>
      <c r="AH255" t="s">
        <v>44</v>
      </c>
      <c r="AI255">
        <f t="shared" si="82"/>
        <v>0</v>
      </c>
      <c r="AJ255" t="s">
        <v>44</v>
      </c>
      <c r="AK255">
        <f t="shared" si="83"/>
        <v>0</v>
      </c>
      <c r="AL255">
        <f t="shared" si="84"/>
        <v>0</v>
      </c>
      <c r="AM255">
        <v>0</v>
      </c>
      <c r="AN255">
        <f t="shared" si="85"/>
        <v>0</v>
      </c>
      <c r="AO255">
        <f t="shared" si="86"/>
        <v>0</v>
      </c>
      <c r="AP255">
        <f t="shared" si="87"/>
        <v>0</v>
      </c>
      <c r="AQ255">
        <v>8</v>
      </c>
      <c r="AR255">
        <v>9</v>
      </c>
      <c r="AS255">
        <v>8</v>
      </c>
    </row>
    <row r="256" spans="1:45" x14ac:dyDescent="0.2">
      <c r="A256" t="s">
        <v>34</v>
      </c>
      <c r="B256" t="s">
        <v>51</v>
      </c>
      <c r="C256">
        <v>17</v>
      </c>
      <c r="D256" t="s">
        <v>53</v>
      </c>
      <c r="E256" t="s">
        <v>37</v>
      </c>
      <c r="F256" t="s">
        <v>45</v>
      </c>
      <c r="G256">
        <f t="shared" si="71"/>
        <v>1</v>
      </c>
      <c r="H256">
        <v>2</v>
      </c>
      <c r="I256">
        <f t="shared" si="72"/>
        <v>0</v>
      </c>
      <c r="J256">
        <f t="shared" si="73"/>
        <v>0</v>
      </c>
      <c r="K256">
        <f t="shared" si="74"/>
        <v>1</v>
      </c>
      <c r="L256">
        <f t="shared" si="75"/>
        <v>0</v>
      </c>
      <c r="M256">
        <f t="shared" si="76"/>
        <v>0</v>
      </c>
      <c r="N256">
        <v>1</v>
      </c>
      <c r="O256">
        <f t="shared" si="66"/>
        <v>0</v>
      </c>
      <c r="P256">
        <f t="shared" si="67"/>
        <v>1</v>
      </c>
      <c r="Q256">
        <f t="shared" si="68"/>
        <v>0</v>
      </c>
      <c r="R256">
        <f t="shared" si="69"/>
        <v>0</v>
      </c>
      <c r="S256">
        <f t="shared" si="70"/>
        <v>0</v>
      </c>
      <c r="T256">
        <f t="shared" si="77"/>
        <v>0</v>
      </c>
      <c r="U256">
        <f t="shared" si="78"/>
        <v>0</v>
      </c>
      <c r="V256">
        <f t="shared" si="79"/>
        <v>0</v>
      </c>
      <c r="W256">
        <f t="shared" si="80"/>
        <v>0</v>
      </c>
      <c r="X256" t="s">
        <v>46</v>
      </c>
      <c r="Y256" t="s">
        <v>46</v>
      </c>
      <c r="Z256" t="s">
        <v>41</v>
      </c>
      <c r="AA256" t="s">
        <v>42</v>
      </c>
      <c r="AB256">
        <v>1</v>
      </c>
      <c r="AC256">
        <v>1</v>
      </c>
      <c r="AD256">
        <v>0</v>
      </c>
      <c r="AE256" t="s">
        <v>44</v>
      </c>
      <c r="AF256" t="s">
        <v>44</v>
      </c>
      <c r="AG256">
        <f t="shared" si="81"/>
        <v>0</v>
      </c>
      <c r="AH256" t="s">
        <v>44</v>
      </c>
      <c r="AI256">
        <f t="shared" si="82"/>
        <v>0</v>
      </c>
      <c r="AJ256" t="s">
        <v>43</v>
      </c>
      <c r="AK256">
        <f t="shared" si="83"/>
        <v>1</v>
      </c>
      <c r="AL256">
        <f t="shared" si="84"/>
        <v>0</v>
      </c>
      <c r="AM256">
        <v>0</v>
      </c>
      <c r="AN256">
        <f t="shared" si="85"/>
        <v>0</v>
      </c>
      <c r="AO256">
        <f t="shared" si="86"/>
        <v>0</v>
      </c>
      <c r="AP256">
        <f t="shared" si="87"/>
        <v>0</v>
      </c>
      <c r="AQ256">
        <v>8</v>
      </c>
      <c r="AR256">
        <v>12</v>
      </c>
      <c r="AS256">
        <v>12</v>
      </c>
    </row>
    <row r="257" spans="1:45" x14ac:dyDescent="0.2">
      <c r="A257" t="s">
        <v>34</v>
      </c>
      <c r="B257" t="s">
        <v>51</v>
      </c>
      <c r="C257">
        <v>17</v>
      </c>
      <c r="D257" t="s">
        <v>36</v>
      </c>
      <c r="E257" t="s">
        <v>48</v>
      </c>
      <c r="F257" t="s">
        <v>45</v>
      </c>
      <c r="G257">
        <f t="shared" si="71"/>
        <v>1</v>
      </c>
      <c r="H257">
        <v>1</v>
      </c>
      <c r="I257">
        <f t="shared" si="72"/>
        <v>0</v>
      </c>
      <c r="J257">
        <f t="shared" si="73"/>
        <v>1</v>
      </c>
      <c r="K257">
        <f t="shared" si="74"/>
        <v>0</v>
      </c>
      <c r="L257">
        <f t="shared" si="75"/>
        <v>0</v>
      </c>
      <c r="M257">
        <f t="shared" si="76"/>
        <v>0</v>
      </c>
      <c r="N257">
        <v>1</v>
      </c>
      <c r="O257">
        <f t="shared" si="66"/>
        <v>0</v>
      </c>
      <c r="P257">
        <f t="shared" si="67"/>
        <v>1</v>
      </c>
      <c r="Q257">
        <f t="shared" si="68"/>
        <v>0</v>
      </c>
      <c r="R257">
        <f t="shared" si="69"/>
        <v>0</v>
      </c>
      <c r="S257">
        <f t="shared" si="70"/>
        <v>0</v>
      </c>
      <c r="T257">
        <f t="shared" si="77"/>
        <v>0</v>
      </c>
      <c r="U257">
        <f t="shared" si="78"/>
        <v>0</v>
      </c>
      <c r="V257">
        <f t="shared" si="79"/>
        <v>0</v>
      </c>
      <c r="W257">
        <f t="shared" si="80"/>
        <v>0</v>
      </c>
      <c r="X257" t="s">
        <v>29</v>
      </c>
      <c r="Y257" t="s">
        <v>46</v>
      </c>
      <c r="Z257" t="s">
        <v>41</v>
      </c>
      <c r="AA257" t="s">
        <v>42</v>
      </c>
      <c r="AB257">
        <v>2</v>
      </c>
      <c r="AC257">
        <v>1</v>
      </c>
      <c r="AD257">
        <v>1</v>
      </c>
      <c r="AE257" t="s">
        <v>44</v>
      </c>
      <c r="AF257" t="s">
        <v>43</v>
      </c>
      <c r="AG257">
        <f t="shared" si="81"/>
        <v>1</v>
      </c>
      <c r="AH257" t="s">
        <v>44</v>
      </c>
      <c r="AI257">
        <f t="shared" si="82"/>
        <v>0</v>
      </c>
      <c r="AJ257" t="s">
        <v>43</v>
      </c>
      <c r="AK257">
        <f t="shared" si="83"/>
        <v>1</v>
      </c>
      <c r="AL257">
        <f t="shared" si="84"/>
        <v>0</v>
      </c>
      <c r="AM257">
        <v>2</v>
      </c>
      <c r="AN257">
        <f t="shared" si="85"/>
        <v>0</v>
      </c>
      <c r="AO257">
        <f t="shared" si="86"/>
        <v>0</v>
      </c>
      <c r="AP257">
        <f t="shared" si="87"/>
        <v>0</v>
      </c>
      <c r="AQ257">
        <v>7</v>
      </c>
      <c r="AR257">
        <v>9</v>
      </c>
      <c r="AS257">
        <v>8</v>
      </c>
    </row>
    <row r="258" spans="1:45" x14ac:dyDescent="0.2">
      <c r="A258" t="s">
        <v>34</v>
      </c>
      <c r="B258" t="s">
        <v>35</v>
      </c>
      <c r="C258">
        <v>17</v>
      </c>
      <c r="D258" t="s">
        <v>36</v>
      </c>
      <c r="E258" t="s">
        <v>48</v>
      </c>
      <c r="F258" t="s">
        <v>45</v>
      </c>
      <c r="G258">
        <f t="shared" si="71"/>
        <v>1</v>
      </c>
      <c r="H258">
        <v>4</v>
      </c>
      <c r="I258">
        <f t="shared" si="72"/>
        <v>0</v>
      </c>
      <c r="J258">
        <f t="shared" si="73"/>
        <v>0</v>
      </c>
      <c r="K258">
        <f t="shared" si="74"/>
        <v>0</v>
      </c>
      <c r="L258">
        <f t="shared" si="75"/>
        <v>0</v>
      </c>
      <c r="M258">
        <f t="shared" si="76"/>
        <v>1</v>
      </c>
      <c r="N258">
        <v>2</v>
      </c>
      <c r="O258">
        <f t="shared" ref="O258:O321" si="88" xml:space="preserve"> IF($N258=0,1,0)</f>
        <v>0</v>
      </c>
      <c r="P258">
        <f t="shared" ref="P258:P321" si="89" xml:space="preserve"> IF($N258=1,1,0)</f>
        <v>0</v>
      </c>
      <c r="Q258">
        <f t="shared" ref="Q258:Q321" si="90" xml:space="preserve"> IF($N258=2,1,0)</f>
        <v>1</v>
      </c>
      <c r="R258">
        <f t="shared" ref="R258:R321" si="91" xml:space="preserve"> IF($N258=3,1,0)</f>
        <v>0</v>
      </c>
      <c r="S258">
        <f t="shared" ref="S258:S321" si="92" xml:space="preserve"> IF($N258=4,1,0)</f>
        <v>0</v>
      </c>
      <c r="T258">
        <f t="shared" si="77"/>
        <v>0</v>
      </c>
      <c r="U258">
        <f t="shared" si="78"/>
        <v>0</v>
      </c>
      <c r="V258">
        <f t="shared" si="79"/>
        <v>1</v>
      </c>
      <c r="W258">
        <f t="shared" si="80"/>
        <v>0</v>
      </c>
      <c r="X258" t="s">
        <v>40</v>
      </c>
      <c r="Y258" t="s">
        <v>49</v>
      </c>
      <c r="Z258" t="s">
        <v>52</v>
      </c>
      <c r="AA258" t="s">
        <v>42</v>
      </c>
      <c r="AB258">
        <v>1</v>
      </c>
      <c r="AC258">
        <v>4</v>
      </c>
      <c r="AD258">
        <v>0</v>
      </c>
      <c r="AE258" t="s">
        <v>44</v>
      </c>
      <c r="AF258" t="s">
        <v>43</v>
      </c>
      <c r="AG258">
        <f t="shared" si="81"/>
        <v>1</v>
      </c>
      <c r="AH258" t="s">
        <v>43</v>
      </c>
      <c r="AI258">
        <f t="shared" si="82"/>
        <v>1</v>
      </c>
      <c r="AJ258" t="s">
        <v>43</v>
      </c>
      <c r="AK258">
        <f t="shared" si="83"/>
        <v>1</v>
      </c>
      <c r="AL258">
        <f t="shared" si="84"/>
        <v>1</v>
      </c>
      <c r="AM258">
        <v>6</v>
      </c>
      <c r="AN258">
        <f t="shared" si="85"/>
        <v>0</v>
      </c>
      <c r="AO258">
        <f t="shared" si="86"/>
        <v>1</v>
      </c>
      <c r="AP258">
        <f t="shared" si="87"/>
        <v>0</v>
      </c>
      <c r="AQ258">
        <v>14</v>
      </c>
      <c r="AR258">
        <v>12</v>
      </c>
      <c r="AS258">
        <v>13</v>
      </c>
    </row>
    <row r="259" spans="1:45" x14ac:dyDescent="0.2">
      <c r="A259" t="s">
        <v>34</v>
      </c>
      <c r="B259" t="s">
        <v>51</v>
      </c>
      <c r="C259">
        <v>19</v>
      </c>
      <c r="D259" t="s">
        <v>36</v>
      </c>
      <c r="E259" t="s">
        <v>48</v>
      </c>
      <c r="F259" t="s">
        <v>38</v>
      </c>
      <c r="G259">
        <f t="shared" ref="G259:G322" si="93">IF(F259="T",1,0)</f>
        <v>0</v>
      </c>
      <c r="H259">
        <v>4</v>
      </c>
      <c r="I259">
        <f t="shared" ref="I259:I322" si="94" xml:space="preserve"> IF($H259=0,1,0)</f>
        <v>0</v>
      </c>
      <c r="J259">
        <f t="shared" ref="J259:J322" si="95" xml:space="preserve"> IF($H259=1,1,0)</f>
        <v>0</v>
      </c>
      <c r="K259">
        <f t="shared" ref="K259:K322" si="96" xml:space="preserve"> IF($H259=2,1,0)</f>
        <v>0</v>
      </c>
      <c r="L259">
        <f t="shared" ref="L259:L322" si="97" xml:space="preserve"> IF($H259=3,1,0)</f>
        <v>0</v>
      </c>
      <c r="M259">
        <f t="shared" ref="M259:M322" si="98" xml:space="preserve"> IF($H259=4,1,0)</f>
        <v>1</v>
      </c>
      <c r="N259">
        <v>3</v>
      </c>
      <c r="O259">
        <f t="shared" si="88"/>
        <v>0</v>
      </c>
      <c r="P259">
        <f t="shared" si="89"/>
        <v>0</v>
      </c>
      <c r="Q259">
        <f t="shared" si="90"/>
        <v>0</v>
      </c>
      <c r="R259">
        <f t="shared" si="91"/>
        <v>1</v>
      </c>
      <c r="S259">
        <f t="shared" si="92"/>
        <v>0</v>
      </c>
      <c r="T259">
        <f t="shared" ref="T259:T322" si="99">IF(AND(M259=1,S259=1),1,0)</f>
        <v>0</v>
      </c>
      <c r="U259">
        <f t="shared" ref="U259:U322" si="100">IF(AND(M259=1,R259=1),1,0)</f>
        <v>1</v>
      </c>
      <c r="V259">
        <f t="shared" ref="V259:V322" si="101">IF(OR(AND(M259=1,Q259=1),AND(M259=1,P259=1)),1,0)</f>
        <v>0</v>
      </c>
      <c r="W259">
        <f t="shared" ref="W259:W322" si="102">IF(AND(L259=1,S259=1),1,0)</f>
        <v>0</v>
      </c>
      <c r="X259" t="s">
        <v>49</v>
      </c>
      <c r="Y259" t="s">
        <v>39</v>
      </c>
      <c r="Z259" t="s">
        <v>52</v>
      </c>
      <c r="AA259" t="s">
        <v>42</v>
      </c>
      <c r="AB259">
        <v>1</v>
      </c>
      <c r="AC259">
        <v>2</v>
      </c>
      <c r="AD259">
        <v>0</v>
      </c>
      <c r="AE259" t="s">
        <v>44</v>
      </c>
      <c r="AF259" t="s">
        <v>43</v>
      </c>
      <c r="AG259">
        <f t="shared" ref="AG259:AG322" si="103">IF(AF259="yes",1,0)</f>
        <v>1</v>
      </c>
      <c r="AH259" t="s">
        <v>44</v>
      </c>
      <c r="AI259">
        <f t="shared" ref="AI259:AI322" si="104">IF(AH259="yes",1,0)</f>
        <v>0</v>
      </c>
      <c r="AJ259" t="s">
        <v>43</v>
      </c>
      <c r="AK259">
        <f t="shared" ref="AK259:AK322" si="105">IF(AJ259="yes",1,0)</f>
        <v>1</v>
      </c>
      <c r="AL259">
        <f t="shared" ref="AL259:AL322" si="106">IF(AND(AI259=1,AK259=1),1,0)</f>
        <v>0</v>
      </c>
      <c r="AM259">
        <v>12</v>
      </c>
      <c r="AN259">
        <f t="shared" ref="AN259:AN322" si="107">IF(AND(M259=1,G259=0),1,0)</f>
        <v>1</v>
      </c>
      <c r="AO259">
        <f t="shared" ref="AO259:AO322" si="108">IF(AND(M259=1,AI259=1),1,0)</f>
        <v>0</v>
      </c>
      <c r="AP259">
        <f t="shared" ref="AP259:AP322" si="109">IF(AND(L259=1,AI259=1),1,0)</f>
        <v>0</v>
      </c>
      <c r="AQ259">
        <v>11</v>
      </c>
      <c r="AR259">
        <v>11</v>
      </c>
      <c r="AS259">
        <v>11</v>
      </c>
    </row>
    <row r="260" spans="1:45" x14ac:dyDescent="0.2">
      <c r="A260" t="s">
        <v>34</v>
      </c>
      <c r="B260" t="s">
        <v>51</v>
      </c>
      <c r="C260">
        <v>18</v>
      </c>
      <c r="D260" t="s">
        <v>36</v>
      </c>
      <c r="E260" t="s">
        <v>37</v>
      </c>
      <c r="F260" t="s">
        <v>45</v>
      </c>
      <c r="G260">
        <f t="shared" si="93"/>
        <v>1</v>
      </c>
      <c r="H260">
        <v>2</v>
      </c>
      <c r="I260">
        <f t="shared" si="94"/>
        <v>0</v>
      </c>
      <c r="J260">
        <f t="shared" si="95"/>
        <v>0</v>
      </c>
      <c r="K260">
        <f t="shared" si="96"/>
        <v>1</v>
      </c>
      <c r="L260">
        <f t="shared" si="97"/>
        <v>0</v>
      </c>
      <c r="M260">
        <f t="shared" si="98"/>
        <v>0</v>
      </c>
      <c r="N260">
        <v>1</v>
      </c>
      <c r="O260">
        <f t="shared" si="88"/>
        <v>0</v>
      </c>
      <c r="P260">
        <f t="shared" si="89"/>
        <v>1</v>
      </c>
      <c r="Q260">
        <f t="shared" si="90"/>
        <v>0</v>
      </c>
      <c r="R260">
        <f t="shared" si="91"/>
        <v>0</v>
      </c>
      <c r="S260">
        <f t="shared" si="92"/>
        <v>0</v>
      </c>
      <c r="T260">
        <f t="shared" si="99"/>
        <v>0</v>
      </c>
      <c r="U260">
        <f t="shared" si="100"/>
        <v>0</v>
      </c>
      <c r="V260">
        <f t="shared" si="101"/>
        <v>0</v>
      </c>
      <c r="W260">
        <f t="shared" si="102"/>
        <v>0</v>
      </c>
      <c r="X260" t="s">
        <v>46</v>
      </c>
      <c r="Y260" t="s">
        <v>46</v>
      </c>
      <c r="Z260" t="s">
        <v>50</v>
      </c>
      <c r="AA260" t="s">
        <v>42</v>
      </c>
      <c r="AB260">
        <v>1</v>
      </c>
      <c r="AC260">
        <v>2</v>
      </c>
      <c r="AD260">
        <v>0</v>
      </c>
      <c r="AE260" t="s">
        <v>44</v>
      </c>
      <c r="AF260" t="s">
        <v>44</v>
      </c>
      <c r="AG260">
        <f t="shared" si="103"/>
        <v>0</v>
      </c>
      <c r="AH260" t="s">
        <v>44</v>
      </c>
      <c r="AI260">
        <f t="shared" si="104"/>
        <v>0</v>
      </c>
      <c r="AJ260" t="s">
        <v>43</v>
      </c>
      <c r="AK260">
        <f t="shared" si="105"/>
        <v>1</v>
      </c>
      <c r="AL260">
        <f t="shared" si="106"/>
        <v>0</v>
      </c>
      <c r="AM260">
        <v>8</v>
      </c>
      <c r="AN260">
        <f t="shared" si="107"/>
        <v>0</v>
      </c>
      <c r="AO260">
        <f t="shared" si="108"/>
        <v>0</v>
      </c>
      <c r="AP260">
        <f t="shared" si="109"/>
        <v>0</v>
      </c>
      <c r="AQ260">
        <v>15</v>
      </c>
      <c r="AR260">
        <v>14</v>
      </c>
      <c r="AS260">
        <v>14</v>
      </c>
    </row>
    <row r="261" spans="1:45" x14ac:dyDescent="0.2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f t="shared" si="93"/>
        <v>1</v>
      </c>
      <c r="H261">
        <v>2</v>
      </c>
      <c r="I261">
        <f t="shared" si="94"/>
        <v>0</v>
      </c>
      <c r="J261">
        <f t="shared" si="95"/>
        <v>0</v>
      </c>
      <c r="K261">
        <f t="shared" si="96"/>
        <v>1</v>
      </c>
      <c r="L261">
        <f t="shared" si="97"/>
        <v>0</v>
      </c>
      <c r="M261">
        <f t="shared" si="98"/>
        <v>0</v>
      </c>
      <c r="N261">
        <v>2</v>
      </c>
      <c r="O261">
        <f t="shared" si="88"/>
        <v>0</v>
      </c>
      <c r="P261">
        <f t="shared" si="89"/>
        <v>0</v>
      </c>
      <c r="Q261">
        <f t="shared" si="90"/>
        <v>1</v>
      </c>
      <c r="R261">
        <f t="shared" si="91"/>
        <v>0</v>
      </c>
      <c r="S261">
        <f t="shared" si="92"/>
        <v>0</v>
      </c>
      <c r="T261">
        <f t="shared" si="99"/>
        <v>0</v>
      </c>
      <c r="U261">
        <f t="shared" si="100"/>
        <v>0</v>
      </c>
      <c r="V261">
        <f t="shared" si="101"/>
        <v>0</v>
      </c>
      <c r="W261">
        <f t="shared" si="102"/>
        <v>0</v>
      </c>
      <c r="X261" t="s">
        <v>49</v>
      </c>
      <c r="Y261" t="s">
        <v>49</v>
      </c>
      <c r="Z261" t="s">
        <v>41</v>
      </c>
      <c r="AA261" t="s">
        <v>47</v>
      </c>
      <c r="AB261">
        <v>1</v>
      </c>
      <c r="AC261">
        <v>4</v>
      </c>
      <c r="AD261">
        <v>0</v>
      </c>
      <c r="AE261" t="s">
        <v>44</v>
      </c>
      <c r="AF261" t="s">
        <v>44</v>
      </c>
      <c r="AG261">
        <f t="shared" si="103"/>
        <v>0</v>
      </c>
      <c r="AH261" t="s">
        <v>43</v>
      </c>
      <c r="AI261">
        <f t="shared" si="104"/>
        <v>1</v>
      </c>
      <c r="AJ261" t="s">
        <v>43</v>
      </c>
      <c r="AK261">
        <f t="shared" si="105"/>
        <v>1</v>
      </c>
      <c r="AL261">
        <f t="shared" si="106"/>
        <v>1</v>
      </c>
      <c r="AM261">
        <v>0</v>
      </c>
      <c r="AN261">
        <f t="shared" si="107"/>
        <v>0</v>
      </c>
      <c r="AO261">
        <f t="shared" si="108"/>
        <v>0</v>
      </c>
      <c r="AP261">
        <f t="shared" si="109"/>
        <v>0</v>
      </c>
      <c r="AQ261">
        <v>10</v>
      </c>
      <c r="AR261">
        <v>9</v>
      </c>
      <c r="AS261">
        <v>0</v>
      </c>
    </row>
    <row r="262" spans="1:45" x14ac:dyDescent="0.2">
      <c r="A262" t="s">
        <v>34</v>
      </c>
      <c r="B262" t="s">
        <v>35</v>
      </c>
      <c r="C262">
        <v>18</v>
      </c>
      <c r="D262" t="s">
        <v>36</v>
      </c>
      <c r="E262" t="s">
        <v>37</v>
      </c>
      <c r="F262" t="s">
        <v>45</v>
      </c>
      <c r="G262">
        <f t="shared" si="93"/>
        <v>1</v>
      </c>
      <c r="H262">
        <v>4</v>
      </c>
      <c r="I262">
        <f t="shared" si="94"/>
        <v>0</v>
      </c>
      <c r="J262">
        <f t="shared" si="95"/>
        <v>0</v>
      </c>
      <c r="K262">
        <f t="shared" si="96"/>
        <v>0</v>
      </c>
      <c r="L262">
        <f t="shared" si="97"/>
        <v>0</v>
      </c>
      <c r="M262">
        <f t="shared" si="98"/>
        <v>1</v>
      </c>
      <c r="N262">
        <v>3</v>
      </c>
      <c r="O262">
        <f t="shared" si="88"/>
        <v>0</v>
      </c>
      <c r="P262">
        <f t="shared" si="89"/>
        <v>0</v>
      </c>
      <c r="Q262">
        <f t="shared" si="90"/>
        <v>0</v>
      </c>
      <c r="R262">
        <f t="shared" si="91"/>
        <v>1</v>
      </c>
      <c r="S262">
        <f t="shared" si="92"/>
        <v>0</v>
      </c>
      <c r="T262">
        <f t="shared" si="99"/>
        <v>0</v>
      </c>
      <c r="U262">
        <f t="shared" si="100"/>
        <v>1</v>
      </c>
      <c r="V262">
        <f t="shared" si="101"/>
        <v>0</v>
      </c>
      <c r="W262">
        <f t="shared" si="102"/>
        <v>0</v>
      </c>
      <c r="X262" t="s">
        <v>49</v>
      </c>
      <c r="Y262" t="s">
        <v>46</v>
      </c>
      <c r="Z262" t="s">
        <v>50</v>
      </c>
      <c r="AA262" t="s">
        <v>47</v>
      </c>
      <c r="AB262">
        <v>1</v>
      </c>
      <c r="AC262">
        <v>2</v>
      </c>
      <c r="AD262">
        <v>0</v>
      </c>
      <c r="AE262" t="s">
        <v>44</v>
      </c>
      <c r="AF262" t="s">
        <v>43</v>
      </c>
      <c r="AG262">
        <f t="shared" si="103"/>
        <v>1</v>
      </c>
      <c r="AH262" t="s">
        <v>43</v>
      </c>
      <c r="AI262">
        <f t="shared" si="104"/>
        <v>1</v>
      </c>
      <c r="AJ262" t="s">
        <v>43</v>
      </c>
      <c r="AK262">
        <f t="shared" si="105"/>
        <v>1</v>
      </c>
      <c r="AL262">
        <f t="shared" si="106"/>
        <v>1</v>
      </c>
      <c r="AM262">
        <v>21</v>
      </c>
      <c r="AN262">
        <f t="shared" si="107"/>
        <v>0</v>
      </c>
      <c r="AO262">
        <f t="shared" si="108"/>
        <v>1</v>
      </c>
      <c r="AP262">
        <f t="shared" si="109"/>
        <v>0</v>
      </c>
      <c r="AQ262">
        <v>17</v>
      </c>
      <c r="AR262">
        <v>18</v>
      </c>
      <c r="AS262">
        <v>18</v>
      </c>
    </row>
    <row r="263" spans="1:45" x14ac:dyDescent="0.2">
      <c r="A263" t="s">
        <v>34</v>
      </c>
      <c r="B263" t="s">
        <v>51</v>
      </c>
      <c r="C263">
        <v>18</v>
      </c>
      <c r="D263" t="s">
        <v>36</v>
      </c>
      <c r="E263" t="s">
        <v>37</v>
      </c>
      <c r="F263" t="s">
        <v>45</v>
      </c>
      <c r="G263">
        <f t="shared" si="93"/>
        <v>1</v>
      </c>
      <c r="H263">
        <v>4</v>
      </c>
      <c r="I263">
        <f t="shared" si="94"/>
        <v>0</v>
      </c>
      <c r="J263">
        <f t="shared" si="95"/>
        <v>0</v>
      </c>
      <c r="K263">
        <f t="shared" si="96"/>
        <v>0</v>
      </c>
      <c r="L263">
        <f t="shared" si="97"/>
        <v>0</v>
      </c>
      <c r="M263">
        <f t="shared" si="98"/>
        <v>1</v>
      </c>
      <c r="N263">
        <v>3</v>
      </c>
      <c r="O263">
        <f t="shared" si="88"/>
        <v>0</v>
      </c>
      <c r="P263">
        <f t="shared" si="89"/>
        <v>0</v>
      </c>
      <c r="Q263">
        <f t="shared" si="90"/>
        <v>0</v>
      </c>
      <c r="R263">
        <f t="shared" si="91"/>
        <v>1</v>
      </c>
      <c r="S263">
        <f t="shared" si="92"/>
        <v>0</v>
      </c>
      <c r="T263">
        <f t="shared" si="99"/>
        <v>0</v>
      </c>
      <c r="U263">
        <f t="shared" si="100"/>
        <v>1</v>
      </c>
      <c r="V263">
        <f t="shared" si="101"/>
        <v>0</v>
      </c>
      <c r="W263">
        <f t="shared" si="102"/>
        <v>0</v>
      </c>
      <c r="X263" t="s">
        <v>40</v>
      </c>
      <c r="Y263" t="s">
        <v>46</v>
      </c>
      <c r="Z263" t="s">
        <v>41</v>
      </c>
      <c r="AA263" t="s">
        <v>42</v>
      </c>
      <c r="AB263">
        <v>1</v>
      </c>
      <c r="AC263">
        <v>2</v>
      </c>
      <c r="AD263">
        <v>0</v>
      </c>
      <c r="AE263" t="s">
        <v>44</v>
      </c>
      <c r="AF263" t="s">
        <v>43</v>
      </c>
      <c r="AG263">
        <f t="shared" si="103"/>
        <v>1</v>
      </c>
      <c r="AH263" t="s">
        <v>43</v>
      </c>
      <c r="AI263">
        <f t="shared" si="104"/>
        <v>1</v>
      </c>
      <c r="AJ263" t="s">
        <v>43</v>
      </c>
      <c r="AK263">
        <f t="shared" si="105"/>
        <v>1</v>
      </c>
      <c r="AL263">
        <f t="shared" si="106"/>
        <v>1</v>
      </c>
      <c r="AM263">
        <v>2</v>
      </c>
      <c r="AN263">
        <f t="shared" si="107"/>
        <v>0</v>
      </c>
      <c r="AO263">
        <f t="shared" si="108"/>
        <v>1</v>
      </c>
      <c r="AP263">
        <f t="shared" si="109"/>
        <v>0</v>
      </c>
      <c r="AQ263">
        <v>8</v>
      </c>
      <c r="AR263">
        <v>8</v>
      </c>
      <c r="AS263">
        <v>8</v>
      </c>
    </row>
    <row r="264" spans="1:45" x14ac:dyDescent="0.2">
      <c r="A264" t="s">
        <v>34</v>
      </c>
      <c r="B264" t="s">
        <v>51</v>
      </c>
      <c r="C264">
        <v>18</v>
      </c>
      <c r="D264" t="s">
        <v>53</v>
      </c>
      <c r="E264" t="s">
        <v>37</v>
      </c>
      <c r="F264" t="s">
        <v>45</v>
      </c>
      <c r="G264">
        <f t="shared" si="93"/>
        <v>1</v>
      </c>
      <c r="H264">
        <v>3</v>
      </c>
      <c r="I264">
        <f t="shared" si="94"/>
        <v>0</v>
      </c>
      <c r="J264">
        <f t="shared" si="95"/>
        <v>0</v>
      </c>
      <c r="K264">
        <f t="shared" si="96"/>
        <v>0</v>
      </c>
      <c r="L264">
        <f t="shared" si="97"/>
        <v>1</v>
      </c>
      <c r="M264">
        <f t="shared" si="98"/>
        <v>0</v>
      </c>
      <c r="N264">
        <v>2</v>
      </c>
      <c r="O264">
        <f t="shared" si="88"/>
        <v>0</v>
      </c>
      <c r="P264">
        <f t="shared" si="89"/>
        <v>0</v>
      </c>
      <c r="Q264">
        <f t="shared" si="90"/>
        <v>1</v>
      </c>
      <c r="R264">
        <f t="shared" si="91"/>
        <v>0</v>
      </c>
      <c r="S264">
        <f t="shared" si="92"/>
        <v>0</v>
      </c>
      <c r="T264">
        <f t="shared" si="99"/>
        <v>0</v>
      </c>
      <c r="U264">
        <f t="shared" si="100"/>
        <v>0</v>
      </c>
      <c r="V264">
        <f t="shared" si="101"/>
        <v>0</v>
      </c>
      <c r="W264">
        <f t="shared" si="102"/>
        <v>0</v>
      </c>
      <c r="X264" t="s">
        <v>46</v>
      </c>
      <c r="Y264" t="s">
        <v>46</v>
      </c>
      <c r="Z264" t="s">
        <v>41</v>
      </c>
      <c r="AA264" t="s">
        <v>42</v>
      </c>
      <c r="AB264">
        <v>1</v>
      </c>
      <c r="AC264">
        <v>3</v>
      </c>
      <c r="AD264">
        <v>0</v>
      </c>
      <c r="AE264" t="s">
        <v>44</v>
      </c>
      <c r="AF264" t="s">
        <v>44</v>
      </c>
      <c r="AG264">
        <f t="shared" si="103"/>
        <v>0</v>
      </c>
      <c r="AH264" t="s">
        <v>44</v>
      </c>
      <c r="AI264">
        <f t="shared" si="104"/>
        <v>0</v>
      </c>
      <c r="AJ264" t="s">
        <v>44</v>
      </c>
      <c r="AK264">
        <f t="shared" si="105"/>
        <v>0</v>
      </c>
      <c r="AL264">
        <f t="shared" si="106"/>
        <v>0</v>
      </c>
      <c r="AM264">
        <v>1</v>
      </c>
      <c r="AN264">
        <f t="shared" si="107"/>
        <v>0</v>
      </c>
      <c r="AO264">
        <f t="shared" si="108"/>
        <v>0</v>
      </c>
      <c r="AP264">
        <f t="shared" si="109"/>
        <v>0</v>
      </c>
      <c r="AQ264">
        <v>13</v>
      </c>
      <c r="AR264">
        <v>12</v>
      </c>
      <c r="AS264">
        <v>12</v>
      </c>
    </row>
    <row r="265" spans="1:45" x14ac:dyDescent="0.2">
      <c r="A265" t="s">
        <v>34</v>
      </c>
      <c r="B265" t="s">
        <v>35</v>
      </c>
      <c r="C265">
        <v>17</v>
      </c>
      <c r="D265" t="s">
        <v>36</v>
      </c>
      <c r="E265" t="s">
        <v>37</v>
      </c>
      <c r="F265" t="s">
        <v>45</v>
      </c>
      <c r="G265">
        <f t="shared" si="93"/>
        <v>1</v>
      </c>
      <c r="H265">
        <v>3</v>
      </c>
      <c r="I265">
        <f t="shared" si="94"/>
        <v>0</v>
      </c>
      <c r="J265">
        <f t="shared" si="95"/>
        <v>0</v>
      </c>
      <c r="K265">
        <f t="shared" si="96"/>
        <v>0</v>
      </c>
      <c r="L265">
        <f t="shared" si="97"/>
        <v>1</v>
      </c>
      <c r="M265">
        <f t="shared" si="98"/>
        <v>0</v>
      </c>
      <c r="N265">
        <v>3</v>
      </c>
      <c r="O265">
        <f t="shared" si="88"/>
        <v>0</v>
      </c>
      <c r="P265">
        <f t="shared" si="89"/>
        <v>0</v>
      </c>
      <c r="Q265">
        <f t="shared" si="90"/>
        <v>0</v>
      </c>
      <c r="R265">
        <f t="shared" si="91"/>
        <v>1</v>
      </c>
      <c r="S265">
        <f t="shared" si="92"/>
        <v>0</v>
      </c>
      <c r="T265">
        <f t="shared" si="99"/>
        <v>0</v>
      </c>
      <c r="U265">
        <f t="shared" si="100"/>
        <v>0</v>
      </c>
      <c r="V265">
        <f t="shared" si="101"/>
        <v>0</v>
      </c>
      <c r="W265">
        <f t="shared" si="102"/>
        <v>0</v>
      </c>
      <c r="X265" t="s">
        <v>46</v>
      </c>
      <c r="Y265" t="s">
        <v>46</v>
      </c>
      <c r="Z265" t="s">
        <v>50</v>
      </c>
      <c r="AA265" t="s">
        <v>42</v>
      </c>
      <c r="AB265">
        <v>1</v>
      </c>
      <c r="AC265">
        <v>3</v>
      </c>
      <c r="AD265">
        <v>0</v>
      </c>
      <c r="AE265" t="s">
        <v>44</v>
      </c>
      <c r="AF265" t="s">
        <v>44</v>
      </c>
      <c r="AG265">
        <f t="shared" si="103"/>
        <v>0</v>
      </c>
      <c r="AH265" t="s">
        <v>44</v>
      </c>
      <c r="AI265">
        <f t="shared" si="104"/>
        <v>0</v>
      </c>
      <c r="AJ265" t="s">
        <v>44</v>
      </c>
      <c r="AK265">
        <f t="shared" si="105"/>
        <v>0</v>
      </c>
      <c r="AL265">
        <f t="shared" si="106"/>
        <v>0</v>
      </c>
      <c r="AM265">
        <v>4</v>
      </c>
      <c r="AN265">
        <f t="shared" si="107"/>
        <v>0</v>
      </c>
      <c r="AO265">
        <f t="shared" si="108"/>
        <v>0</v>
      </c>
      <c r="AP265">
        <f t="shared" si="109"/>
        <v>0</v>
      </c>
      <c r="AQ265">
        <v>10</v>
      </c>
      <c r="AR265">
        <v>9</v>
      </c>
      <c r="AS265">
        <v>9</v>
      </c>
    </row>
    <row r="266" spans="1:45" x14ac:dyDescent="0.2">
      <c r="A266" t="s">
        <v>34</v>
      </c>
      <c r="B266" t="s">
        <v>35</v>
      </c>
      <c r="C266">
        <v>18</v>
      </c>
      <c r="D266" t="s">
        <v>36</v>
      </c>
      <c r="E266" t="s">
        <v>37</v>
      </c>
      <c r="F266" t="s">
        <v>45</v>
      </c>
      <c r="G266">
        <f t="shared" si="93"/>
        <v>1</v>
      </c>
      <c r="H266">
        <v>2</v>
      </c>
      <c r="I266">
        <f t="shared" si="94"/>
        <v>0</v>
      </c>
      <c r="J266">
        <f t="shared" si="95"/>
        <v>0</v>
      </c>
      <c r="K266">
        <f t="shared" si="96"/>
        <v>1</v>
      </c>
      <c r="L266">
        <f t="shared" si="97"/>
        <v>0</v>
      </c>
      <c r="M266">
        <f t="shared" si="98"/>
        <v>0</v>
      </c>
      <c r="N266">
        <v>2</v>
      </c>
      <c r="O266">
        <f t="shared" si="88"/>
        <v>0</v>
      </c>
      <c r="P266">
        <f t="shared" si="89"/>
        <v>0</v>
      </c>
      <c r="Q266">
        <f t="shared" si="90"/>
        <v>1</v>
      </c>
      <c r="R266">
        <f t="shared" si="91"/>
        <v>0</v>
      </c>
      <c r="S266">
        <f t="shared" si="92"/>
        <v>0</v>
      </c>
      <c r="T266">
        <f t="shared" si="99"/>
        <v>0</v>
      </c>
      <c r="U266">
        <f t="shared" si="100"/>
        <v>0</v>
      </c>
      <c r="V266">
        <f t="shared" si="101"/>
        <v>0</v>
      </c>
      <c r="W266">
        <f t="shared" si="102"/>
        <v>0</v>
      </c>
      <c r="X266" t="s">
        <v>39</v>
      </c>
      <c r="Y266" t="s">
        <v>49</v>
      </c>
      <c r="Z266" t="s">
        <v>50</v>
      </c>
      <c r="AA266" t="s">
        <v>42</v>
      </c>
      <c r="AB266">
        <v>1</v>
      </c>
      <c r="AC266">
        <v>3</v>
      </c>
      <c r="AD266">
        <v>0</v>
      </c>
      <c r="AE266" t="s">
        <v>44</v>
      </c>
      <c r="AF266" t="s">
        <v>43</v>
      </c>
      <c r="AG266">
        <f t="shared" si="103"/>
        <v>1</v>
      </c>
      <c r="AH266" t="s">
        <v>43</v>
      </c>
      <c r="AI266">
        <f t="shared" si="104"/>
        <v>1</v>
      </c>
      <c r="AJ266" t="s">
        <v>43</v>
      </c>
      <c r="AK266">
        <f t="shared" si="105"/>
        <v>1</v>
      </c>
      <c r="AL266">
        <f t="shared" si="106"/>
        <v>1</v>
      </c>
      <c r="AM266">
        <v>0</v>
      </c>
      <c r="AN266">
        <f t="shared" si="107"/>
        <v>0</v>
      </c>
      <c r="AO266">
        <f t="shared" si="108"/>
        <v>0</v>
      </c>
      <c r="AP266">
        <f t="shared" si="109"/>
        <v>0</v>
      </c>
      <c r="AQ266">
        <v>9</v>
      </c>
      <c r="AR266">
        <v>10</v>
      </c>
      <c r="AS266">
        <v>0</v>
      </c>
    </row>
    <row r="267" spans="1:45" x14ac:dyDescent="0.2">
      <c r="A267" t="s">
        <v>34</v>
      </c>
      <c r="B267" t="s">
        <v>51</v>
      </c>
      <c r="C267">
        <v>18</v>
      </c>
      <c r="D267" t="s">
        <v>53</v>
      </c>
      <c r="E267" t="s">
        <v>48</v>
      </c>
      <c r="F267" t="s">
        <v>38</v>
      </c>
      <c r="G267">
        <f t="shared" si="93"/>
        <v>0</v>
      </c>
      <c r="H267">
        <v>3</v>
      </c>
      <c r="I267">
        <f t="shared" si="94"/>
        <v>0</v>
      </c>
      <c r="J267">
        <f t="shared" si="95"/>
        <v>0</v>
      </c>
      <c r="K267">
        <f t="shared" si="96"/>
        <v>0</v>
      </c>
      <c r="L267">
        <f t="shared" si="97"/>
        <v>1</v>
      </c>
      <c r="M267">
        <f t="shared" si="98"/>
        <v>0</v>
      </c>
      <c r="N267">
        <v>4</v>
      </c>
      <c r="O267">
        <f t="shared" si="88"/>
        <v>0</v>
      </c>
      <c r="P267">
        <f t="shared" si="89"/>
        <v>0</v>
      </c>
      <c r="Q267">
        <f t="shared" si="90"/>
        <v>0</v>
      </c>
      <c r="R267">
        <f t="shared" si="91"/>
        <v>0</v>
      </c>
      <c r="S267">
        <f t="shared" si="92"/>
        <v>1</v>
      </c>
      <c r="T267">
        <f t="shared" si="99"/>
        <v>0</v>
      </c>
      <c r="U267">
        <f t="shared" si="100"/>
        <v>0</v>
      </c>
      <c r="V267">
        <f t="shared" si="101"/>
        <v>0</v>
      </c>
      <c r="W267">
        <f t="shared" si="102"/>
        <v>1</v>
      </c>
      <c r="X267" t="s">
        <v>46</v>
      </c>
      <c r="Y267" t="s">
        <v>46</v>
      </c>
      <c r="Z267" t="s">
        <v>52</v>
      </c>
      <c r="AA267" t="s">
        <v>42</v>
      </c>
      <c r="AB267">
        <v>2</v>
      </c>
      <c r="AC267">
        <v>2</v>
      </c>
      <c r="AD267">
        <v>0</v>
      </c>
      <c r="AE267" t="s">
        <v>44</v>
      </c>
      <c r="AF267" t="s">
        <v>43</v>
      </c>
      <c r="AG267">
        <f t="shared" si="103"/>
        <v>1</v>
      </c>
      <c r="AH267" t="s">
        <v>43</v>
      </c>
      <c r="AI267">
        <f t="shared" si="104"/>
        <v>1</v>
      </c>
      <c r="AJ267" t="s">
        <v>43</v>
      </c>
      <c r="AK267">
        <f t="shared" si="105"/>
        <v>1</v>
      </c>
      <c r="AL267">
        <f t="shared" si="106"/>
        <v>1</v>
      </c>
      <c r="AM267">
        <v>13</v>
      </c>
      <c r="AN267">
        <f t="shared" si="107"/>
        <v>0</v>
      </c>
      <c r="AO267">
        <f t="shared" si="108"/>
        <v>0</v>
      </c>
      <c r="AP267">
        <f t="shared" si="109"/>
        <v>1</v>
      </c>
      <c r="AQ267">
        <v>17</v>
      </c>
      <c r="AR267">
        <v>17</v>
      </c>
      <c r="AS267">
        <v>17</v>
      </c>
    </row>
    <row r="268" spans="1:45" x14ac:dyDescent="0.2">
      <c r="A268" t="s">
        <v>34</v>
      </c>
      <c r="B268" t="s">
        <v>51</v>
      </c>
      <c r="C268">
        <v>17</v>
      </c>
      <c r="D268" t="s">
        <v>36</v>
      </c>
      <c r="E268" t="s">
        <v>37</v>
      </c>
      <c r="F268" t="s">
        <v>45</v>
      </c>
      <c r="G268">
        <f t="shared" si="93"/>
        <v>1</v>
      </c>
      <c r="H268">
        <v>3</v>
      </c>
      <c r="I268">
        <f t="shared" si="94"/>
        <v>0</v>
      </c>
      <c r="J268">
        <f t="shared" si="95"/>
        <v>0</v>
      </c>
      <c r="K268">
        <f t="shared" si="96"/>
        <v>0</v>
      </c>
      <c r="L268">
        <f t="shared" si="97"/>
        <v>1</v>
      </c>
      <c r="M268">
        <f t="shared" si="98"/>
        <v>0</v>
      </c>
      <c r="N268">
        <v>1</v>
      </c>
      <c r="O268">
        <f t="shared" si="88"/>
        <v>0</v>
      </c>
      <c r="P268">
        <f t="shared" si="89"/>
        <v>1</v>
      </c>
      <c r="Q268">
        <f t="shared" si="90"/>
        <v>0</v>
      </c>
      <c r="R268">
        <f t="shared" si="91"/>
        <v>0</v>
      </c>
      <c r="S268">
        <f t="shared" si="92"/>
        <v>0</v>
      </c>
      <c r="T268">
        <f t="shared" si="99"/>
        <v>0</v>
      </c>
      <c r="U268">
        <f t="shared" si="100"/>
        <v>0</v>
      </c>
      <c r="V268">
        <f t="shared" si="101"/>
        <v>0</v>
      </c>
      <c r="W268">
        <f t="shared" si="102"/>
        <v>0</v>
      </c>
      <c r="X268" t="s">
        <v>49</v>
      </c>
      <c r="Y268" t="s">
        <v>46</v>
      </c>
      <c r="Z268" t="s">
        <v>46</v>
      </c>
      <c r="AA268" t="s">
        <v>42</v>
      </c>
      <c r="AB268">
        <v>1</v>
      </c>
      <c r="AC268">
        <v>2</v>
      </c>
      <c r="AD268">
        <v>0</v>
      </c>
      <c r="AE268" t="s">
        <v>44</v>
      </c>
      <c r="AF268" t="s">
        <v>44</v>
      </c>
      <c r="AG268">
        <f t="shared" si="103"/>
        <v>0</v>
      </c>
      <c r="AH268" t="s">
        <v>43</v>
      </c>
      <c r="AI268">
        <f t="shared" si="104"/>
        <v>1</v>
      </c>
      <c r="AJ268" t="s">
        <v>43</v>
      </c>
      <c r="AK268">
        <f t="shared" si="105"/>
        <v>1</v>
      </c>
      <c r="AL268">
        <f t="shared" si="106"/>
        <v>1</v>
      </c>
      <c r="AM268">
        <v>2</v>
      </c>
      <c r="AN268">
        <f t="shared" si="107"/>
        <v>0</v>
      </c>
      <c r="AO268">
        <f t="shared" si="108"/>
        <v>0</v>
      </c>
      <c r="AP268">
        <f t="shared" si="109"/>
        <v>1</v>
      </c>
      <c r="AQ268">
        <v>9</v>
      </c>
      <c r="AR268">
        <v>9</v>
      </c>
      <c r="AS268">
        <v>10</v>
      </c>
    </row>
    <row r="269" spans="1:45" x14ac:dyDescent="0.2">
      <c r="A269" t="s">
        <v>34</v>
      </c>
      <c r="B269" t="s">
        <v>35</v>
      </c>
      <c r="C269">
        <v>18</v>
      </c>
      <c r="D269" t="s">
        <v>53</v>
      </c>
      <c r="E269" t="s">
        <v>37</v>
      </c>
      <c r="F269" t="s">
        <v>45</v>
      </c>
      <c r="G269">
        <f t="shared" si="93"/>
        <v>1</v>
      </c>
      <c r="H269">
        <v>4</v>
      </c>
      <c r="I269">
        <f t="shared" si="94"/>
        <v>0</v>
      </c>
      <c r="J269">
        <f t="shared" si="95"/>
        <v>0</v>
      </c>
      <c r="K269">
        <f t="shared" si="96"/>
        <v>0</v>
      </c>
      <c r="L269">
        <f t="shared" si="97"/>
        <v>0</v>
      </c>
      <c r="M269">
        <f t="shared" si="98"/>
        <v>1</v>
      </c>
      <c r="N269">
        <v>4</v>
      </c>
      <c r="O269">
        <f t="shared" si="88"/>
        <v>0</v>
      </c>
      <c r="P269">
        <f t="shared" si="89"/>
        <v>0</v>
      </c>
      <c r="Q269">
        <f t="shared" si="90"/>
        <v>0</v>
      </c>
      <c r="R269">
        <f t="shared" si="91"/>
        <v>0</v>
      </c>
      <c r="S269">
        <f t="shared" si="92"/>
        <v>1</v>
      </c>
      <c r="T269">
        <f t="shared" si="99"/>
        <v>1</v>
      </c>
      <c r="U269">
        <f t="shared" si="100"/>
        <v>0</v>
      </c>
      <c r="V269">
        <f t="shared" si="101"/>
        <v>0</v>
      </c>
      <c r="W269">
        <f t="shared" si="102"/>
        <v>0</v>
      </c>
      <c r="X269" t="s">
        <v>40</v>
      </c>
      <c r="Y269" t="s">
        <v>46</v>
      </c>
      <c r="Z269" t="s">
        <v>52</v>
      </c>
      <c r="AA269" t="s">
        <v>42</v>
      </c>
      <c r="AB269">
        <v>2</v>
      </c>
      <c r="AC269">
        <v>2</v>
      </c>
      <c r="AD269">
        <v>0</v>
      </c>
      <c r="AE269" t="s">
        <v>44</v>
      </c>
      <c r="AF269" t="s">
        <v>44</v>
      </c>
      <c r="AG269">
        <f t="shared" si="103"/>
        <v>0</v>
      </c>
      <c r="AH269" t="s">
        <v>43</v>
      </c>
      <c r="AI269">
        <f t="shared" si="104"/>
        <v>1</v>
      </c>
      <c r="AJ269" t="s">
        <v>43</v>
      </c>
      <c r="AK269">
        <f t="shared" si="105"/>
        <v>1</v>
      </c>
      <c r="AL269">
        <f t="shared" si="106"/>
        <v>1</v>
      </c>
      <c r="AM269">
        <v>8</v>
      </c>
      <c r="AN269">
        <f t="shared" si="107"/>
        <v>0</v>
      </c>
      <c r="AO269">
        <f t="shared" si="108"/>
        <v>1</v>
      </c>
      <c r="AP269">
        <f t="shared" si="109"/>
        <v>0</v>
      </c>
      <c r="AQ269">
        <v>12</v>
      </c>
      <c r="AR269">
        <v>10</v>
      </c>
      <c r="AS269">
        <v>11</v>
      </c>
    </row>
    <row r="270" spans="1:45" x14ac:dyDescent="0.2">
      <c r="A270" t="s">
        <v>34</v>
      </c>
      <c r="B270" t="s">
        <v>51</v>
      </c>
      <c r="C270">
        <v>18</v>
      </c>
      <c r="D270" t="s">
        <v>36</v>
      </c>
      <c r="E270" t="s">
        <v>37</v>
      </c>
      <c r="F270" t="s">
        <v>45</v>
      </c>
      <c r="G270">
        <f t="shared" si="93"/>
        <v>1</v>
      </c>
      <c r="H270">
        <v>4</v>
      </c>
      <c r="I270">
        <f t="shared" si="94"/>
        <v>0</v>
      </c>
      <c r="J270">
        <f t="shared" si="95"/>
        <v>0</v>
      </c>
      <c r="K270">
        <f t="shared" si="96"/>
        <v>0</v>
      </c>
      <c r="L270">
        <f t="shared" si="97"/>
        <v>0</v>
      </c>
      <c r="M270">
        <f t="shared" si="98"/>
        <v>1</v>
      </c>
      <c r="N270">
        <v>2</v>
      </c>
      <c r="O270">
        <f t="shared" si="88"/>
        <v>0</v>
      </c>
      <c r="P270">
        <f t="shared" si="89"/>
        <v>0</v>
      </c>
      <c r="Q270">
        <f t="shared" si="90"/>
        <v>1</v>
      </c>
      <c r="R270">
        <f t="shared" si="91"/>
        <v>0</v>
      </c>
      <c r="S270">
        <f t="shared" si="92"/>
        <v>0</v>
      </c>
      <c r="T270">
        <f t="shared" si="99"/>
        <v>0</v>
      </c>
      <c r="U270">
        <f t="shared" si="100"/>
        <v>0</v>
      </c>
      <c r="V270">
        <f t="shared" si="101"/>
        <v>1</v>
      </c>
      <c r="W270">
        <f t="shared" si="102"/>
        <v>0</v>
      </c>
      <c r="X270" t="s">
        <v>29</v>
      </c>
      <c r="Y270" t="s">
        <v>46</v>
      </c>
      <c r="Z270" t="s">
        <v>52</v>
      </c>
      <c r="AA270" t="s">
        <v>47</v>
      </c>
      <c r="AB270">
        <v>1</v>
      </c>
      <c r="AC270">
        <v>2</v>
      </c>
      <c r="AD270">
        <v>0</v>
      </c>
      <c r="AE270" t="s">
        <v>44</v>
      </c>
      <c r="AF270" t="s">
        <v>43</v>
      </c>
      <c r="AG270">
        <f t="shared" si="103"/>
        <v>1</v>
      </c>
      <c r="AH270" t="s">
        <v>43</v>
      </c>
      <c r="AI270">
        <f t="shared" si="104"/>
        <v>1</v>
      </c>
      <c r="AJ270" t="s">
        <v>43</v>
      </c>
      <c r="AK270">
        <f t="shared" si="105"/>
        <v>1</v>
      </c>
      <c r="AL270">
        <f t="shared" si="106"/>
        <v>1</v>
      </c>
      <c r="AM270">
        <v>10</v>
      </c>
      <c r="AN270">
        <f t="shared" si="107"/>
        <v>0</v>
      </c>
      <c r="AO270">
        <f t="shared" si="108"/>
        <v>1</v>
      </c>
      <c r="AP270">
        <f t="shared" si="109"/>
        <v>0</v>
      </c>
      <c r="AQ270">
        <v>10</v>
      </c>
      <c r="AR270">
        <v>9</v>
      </c>
      <c r="AS270">
        <v>10</v>
      </c>
    </row>
    <row r="271" spans="1:45" x14ac:dyDescent="0.2">
      <c r="A271" t="s">
        <v>34</v>
      </c>
      <c r="B271" t="s">
        <v>35</v>
      </c>
      <c r="C271">
        <v>18</v>
      </c>
      <c r="D271" t="s">
        <v>53</v>
      </c>
      <c r="E271" t="s">
        <v>37</v>
      </c>
      <c r="F271" t="s">
        <v>45</v>
      </c>
      <c r="G271">
        <f t="shared" si="93"/>
        <v>1</v>
      </c>
      <c r="H271">
        <v>2</v>
      </c>
      <c r="I271">
        <f t="shared" si="94"/>
        <v>0</v>
      </c>
      <c r="J271">
        <f t="shared" si="95"/>
        <v>0</v>
      </c>
      <c r="K271">
        <f t="shared" si="96"/>
        <v>1</v>
      </c>
      <c r="L271">
        <f t="shared" si="97"/>
        <v>0</v>
      </c>
      <c r="M271">
        <f t="shared" si="98"/>
        <v>0</v>
      </c>
      <c r="N271">
        <v>1</v>
      </c>
      <c r="O271">
        <f t="shared" si="88"/>
        <v>0</v>
      </c>
      <c r="P271">
        <f t="shared" si="89"/>
        <v>1</v>
      </c>
      <c r="Q271">
        <f t="shared" si="90"/>
        <v>0</v>
      </c>
      <c r="R271">
        <f t="shared" si="91"/>
        <v>0</v>
      </c>
      <c r="S271">
        <f t="shared" si="92"/>
        <v>0</v>
      </c>
      <c r="T271">
        <f t="shared" si="99"/>
        <v>0</v>
      </c>
      <c r="U271">
        <f t="shared" si="100"/>
        <v>0</v>
      </c>
      <c r="V271">
        <f t="shared" si="101"/>
        <v>0</v>
      </c>
      <c r="W271">
        <f t="shared" si="102"/>
        <v>0</v>
      </c>
      <c r="X271" t="s">
        <v>46</v>
      </c>
      <c r="Y271" t="s">
        <v>46</v>
      </c>
      <c r="Z271" t="s">
        <v>52</v>
      </c>
      <c r="AA271" t="s">
        <v>42</v>
      </c>
      <c r="AB271">
        <v>2</v>
      </c>
      <c r="AC271">
        <v>2</v>
      </c>
      <c r="AD271">
        <v>0</v>
      </c>
      <c r="AE271" t="s">
        <v>44</v>
      </c>
      <c r="AF271" t="s">
        <v>43</v>
      </c>
      <c r="AG271">
        <f t="shared" si="103"/>
        <v>1</v>
      </c>
      <c r="AH271" t="s">
        <v>44</v>
      </c>
      <c r="AI271">
        <f t="shared" si="104"/>
        <v>0</v>
      </c>
      <c r="AJ271" t="s">
        <v>43</v>
      </c>
      <c r="AK271">
        <f t="shared" si="105"/>
        <v>1</v>
      </c>
      <c r="AL271">
        <f t="shared" si="106"/>
        <v>0</v>
      </c>
      <c r="AM271">
        <v>0</v>
      </c>
      <c r="AN271">
        <f t="shared" si="107"/>
        <v>0</v>
      </c>
      <c r="AO271">
        <f t="shared" si="108"/>
        <v>0</v>
      </c>
      <c r="AP271">
        <f t="shared" si="109"/>
        <v>0</v>
      </c>
      <c r="AQ271">
        <v>6</v>
      </c>
      <c r="AR271">
        <v>0</v>
      </c>
      <c r="AS271">
        <v>0</v>
      </c>
    </row>
    <row r="272" spans="1:45" x14ac:dyDescent="0.2">
      <c r="A272" t="s">
        <v>34</v>
      </c>
      <c r="B272" t="s">
        <v>35</v>
      </c>
      <c r="C272">
        <v>19</v>
      </c>
      <c r="D272" t="s">
        <v>36</v>
      </c>
      <c r="E272" t="s">
        <v>37</v>
      </c>
      <c r="F272" t="s">
        <v>45</v>
      </c>
      <c r="G272">
        <f t="shared" si="93"/>
        <v>1</v>
      </c>
      <c r="H272">
        <v>3</v>
      </c>
      <c r="I272">
        <f t="shared" si="94"/>
        <v>0</v>
      </c>
      <c r="J272">
        <f t="shared" si="95"/>
        <v>0</v>
      </c>
      <c r="K272">
        <f t="shared" si="96"/>
        <v>0</v>
      </c>
      <c r="L272">
        <f t="shared" si="97"/>
        <v>1</v>
      </c>
      <c r="M272">
        <f t="shared" si="98"/>
        <v>0</v>
      </c>
      <c r="N272">
        <v>3</v>
      </c>
      <c r="O272">
        <f t="shared" si="88"/>
        <v>0</v>
      </c>
      <c r="P272">
        <f t="shared" si="89"/>
        <v>0</v>
      </c>
      <c r="Q272">
        <f t="shared" si="90"/>
        <v>0</v>
      </c>
      <c r="R272">
        <f t="shared" si="91"/>
        <v>1</v>
      </c>
      <c r="S272">
        <f t="shared" si="92"/>
        <v>0</v>
      </c>
      <c r="T272">
        <f t="shared" si="99"/>
        <v>0</v>
      </c>
      <c r="U272">
        <f t="shared" si="100"/>
        <v>0</v>
      </c>
      <c r="V272">
        <f t="shared" si="101"/>
        <v>0</v>
      </c>
      <c r="W272">
        <f t="shared" si="102"/>
        <v>0</v>
      </c>
      <c r="X272" t="s">
        <v>46</v>
      </c>
      <c r="Y272" t="s">
        <v>49</v>
      </c>
      <c r="Z272" t="s">
        <v>50</v>
      </c>
      <c r="AA272" t="s">
        <v>46</v>
      </c>
      <c r="AB272">
        <v>1</v>
      </c>
      <c r="AC272">
        <v>2</v>
      </c>
      <c r="AD272">
        <v>2</v>
      </c>
      <c r="AE272" t="s">
        <v>44</v>
      </c>
      <c r="AF272" t="s">
        <v>43</v>
      </c>
      <c r="AG272">
        <f t="shared" si="103"/>
        <v>1</v>
      </c>
      <c r="AH272" t="s">
        <v>43</v>
      </c>
      <c r="AI272">
        <f t="shared" si="104"/>
        <v>1</v>
      </c>
      <c r="AJ272" t="s">
        <v>43</v>
      </c>
      <c r="AK272">
        <f t="shared" si="105"/>
        <v>1</v>
      </c>
      <c r="AL272">
        <f t="shared" si="106"/>
        <v>1</v>
      </c>
      <c r="AM272">
        <v>15</v>
      </c>
      <c r="AN272">
        <f t="shared" si="107"/>
        <v>0</v>
      </c>
      <c r="AO272">
        <f t="shared" si="108"/>
        <v>0</v>
      </c>
      <c r="AP272">
        <f t="shared" si="109"/>
        <v>1</v>
      </c>
      <c r="AQ272">
        <v>9</v>
      </c>
      <c r="AR272">
        <v>9</v>
      </c>
      <c r="AS272">
        <v>9</v>
      </c>
    </row>
    <row r="273" spans="1:45" x14ac:dyDescent="0.2">
      <c r="A273" t="s">
        <v>34</v>
      </c>
      <c r="B273" t="s">
        <v>35</v>
      </c>
      <c r="C273">
        <v>18</v>
      </c>
      <c r="D273" t="s">
        <v>36</v>
      </c>
      <c r="E273" t="s">
        <v>37</v>
      </c>
      <c r="F273" t="s">
        <v>45</v>
      </c>
      <c r="G273">
        <f t="shared" si="93"/>
        <v>1</v>
      </c>
      <c r="H273">
        <v>2</v>
      </c>
      <c r="I273">
        <f t="shared" si="94"/>
        <v>0</v>
      </c>
      <c r="J273">
        <f t="shared" si="95"/>
        <v>0</v>
      </c>
      <c r="K273">
        <f t="shared" si="96"/>
        <v>1</v>
      </c>
      <c r="L273">
        <f t="shared" si="97"/>
        <v>0</v>
      </c>
      <c r="M273">
        <f t="shared" si="98"/>
        <v>0</v>
      </c>
      <c r="N273">
        <v>3</v>
      </c>
      <c r="O273">
        <f t="shared" si="88"/>
        <v>0</v>
      </c>
      <c r="P273">
        <f t="shared" si="89"/>
        <v>0</v>
      </c>
      <c r="Q273">
        <f t="shared" si="90"/>
        <v>0</v>
      </c>
      <c r="R273">
        <f t="shared" si="91"/>
        <v>1</v>
      </c>
      <c r="S273">
        <f t="shared" si="92"/>
        <v>0</v>
      </c>
      <c r="T273">
        <f t="shared" si="99"/>
        <v>0</v>
      </c>
      <c r="U273">
        <f t="shared" si="100"/>
        <v>0</v>
      </c>
      <c r="V273">
        <f t="shared" si="101"/>
        <v>0</v>
      </c>
      <c r="W273">
        <f t="shared" si="102"/>
        <v>0</v>
      </c>
      <c r="X273" t="s">
        <v>46</v>
      </c>
      <c r="Y273" t="s">
        <v>49</v>
      </c>
      <c r="Z273" t="s">
        <v>52</v>
      </c>
      <c r="AA273" t="s">
        <v>47</v>
      </c>
      <c r="AB273">
        <v>1</v>
      </c>
      <c r="AC273">
        <v>4</v>
      </c>
      <c r="AD273">
        <v>0</v>
      </c>
      <c r="AE273" t="s">
        <v>44</v>
      </c>
      <c r="AF273" t="s">
        <v>43</v>
      </c>
      <c r="AG273">
        <f t="shared" si="103"/>
        <v>1</v>
      </c>
      <c r="AH273" t="s">
        <v>43</v>
      </c>
      <c r="AI273">
        <f t="shared" si="104"/>
        <v>1</v>
      </c>
      <c r="AJ273" t="s">
        <v>43</v>
      </c>
      <c r="AK273">
        <f t="shared" si="105"/>
        <v>1</v>
      </c>
      <c r="AL273">
        <f t="shared" si="106"/>
        <v>1</v>
      </c>
      <c r="AM273">
        <v>4</v>
      </c>
      <c r="AN273">
        <f t="shared" si="107"/>
        <v>0</v>
      </c>
      <c r="AO273">
        <f t="shared" si="108"/>
        <v>0</v>
      </c>
      <c r="AP273">
        <f t="shared" si="109"/>
        <v>0</v>
      </c>
      <c r="AQ273">
        <v>15</v>
      </c>
      <c r="AR273">
        <v>14</v>
      </c>
      <c r="AS273">
        <v>14</v>
      </c>
    </row>
    <row r="274" spans="1:45" x14ac:dyDescent="0.2">
      <c r="A274" t="s">
        <v>34</v>
      </c>
      <c r="B274" t="s">
        <v>35</v>
      </c>
      <c r="C274">
        <v>18</v>
      </c>
      <c r="D274" t="s">
        <v>36</v>
      </c>
      <c r="E274" t="s">
        <v>48</v>
      </c>
      <c r="F274" t="s">
        <v>45</v>
      </c>
      <c r="G274">
        <f t="shared" si="93"/>
        <v>1</v>
      </c>
      <c r="H274">
        <v>1</v>
      </c>
      <c r="I274">
        <f t="shared" si="94"/>
        <v>0</v>
      </c>
      <c r="J274">
        <f t="shared" si="95"/>
        <v>1</v>
      </c>
      <c r="K274">
        <f t="shared" si="96"/>
        <v>0</v>
      </c>
      <c r="L274">
        <f t="shared" si="97"/>
        <v>0</v>
      </c>
      <c r="M274">
        <f t="shared" si="98"/>
        <v>0</v>
      </c>
      <c r="N274">
        <v>1</v>
      </c>
      <c r="O274">
        <f t="shared" si="88"/>
        <v>0</v>
      </c>
      <c r="P274">
        <f t="shared" si="89"/>
        <v>1</v>
      </c>
      <c r="Q274">
        <f t="shared" si="90"/>
        <v>0</v>
      </c>
      <c r="R274">
        <f t="shared" si="91"/>
        <v>0</v>
      </c>
      <c r="S274">
        <f t="shared" si="92"/>
        <v>0</v>
      </c>
      <c r="T274">
        <f t="shared" si="99"/>
        <v>0</v>
      </c>
      <c r="U274">
        <f t="shared" si="100"/>
        <v>0</v>
      </c>
      <c r="V274">
        <f t="shared" si="101"/>
        <v>0</v>
      </c>
      <c r="W274">
        <f t="shared" si="102"/>
        <v>0</v>
      </c>
      <c r="X274" t="s">
        <v>46</v>
      </c>
      <c r="Y274" t="s">
        <v>46</v>
      </c>
      <c r="Z274" t="s">
        <v>50</v>
      </c>
      <c r="AA274" t="s">
        <v>42</v>
      </c>
      <c r="AB274">
        <v>2</v>
      </c>
      <c r="AC274">
        <v>2</v>
      </c>
      <c r="AD274">
        <v>0</v>
      </c>
      <c r="AE274" t="s">
        <v>44</v>
      </c>
      <c r="AF274" t="s">
        <v>43</v>
      </c>
      <c r="AG274">
        <f t="shared" si="103"/>
        <v>1</v>
      </c>
      <c r="AH274" t="s">
        <v>43</v>
      </c>
      <c r="AI274">
        <f t="shared" si="104"/>
        <v>1</v>
      </c>
      <c r="AJ274" t="s">
        <v>44</v>
      </c>
      <c r="AK274">
        <f t="shared" si="105"/>
        <v>0</v>
      </c>
      <c r="AL274">
        <f t="shared" si="106"/>
        <v>0</v>
      </c>
      <c r="AM274">
        <v>2</v>
      </c>
      <c r="AN274">
        <f t="shared" si="107"/>
        <v>0</v>
      </c>
      <c r="AO274">
        <f t="shared" si="108"/>
        <v>0</v>
      </c>
      <c r="AP274">
        <f t="shared" si="109"/>
        <v>0</v>
      </c>
      <c r="AQ274">
        <v>11</v>
      </c>
      <c r="AR274">
        <v>11</v>
      </c>
      <c r="AS274">
        <v>11</v>
      </c>
    </row>
    <row r="275" spans="1:45" x14ac:dyDescent="0.2">
      <c r="A275" t="s">
        <v>34</v>
      </c>
      <c r="B275" t="s">
        <v>51</v>
      </c>
      <c r="C275">
        <v>17</v>
      </c>
      <c r="D275" t="s">
        <v>53</v>
      </c>
      <c r="E275" t="s">
        <v>37</v>
      </c>
      <c r="F275" t="s">
        <v>45</v>
      </c>
      <c r="G275">
        <f t="shared" si="93"/>
        <v>1</v>
      </c>
      <c r="H275">
        <v>1</v>
      </c>
      <c r="I275">
        <f t="shared" si="94"/>
        <v>0</v>
      </c>
      <c r="J275">
        <f t="shared" si="95"/>
        <v>1</v>
      </c>
      <c r="K275">
        <f t="shared" si="96"/>
        <v>0</v>
      </c>
      <c r="L275">
        <f t="shared" si="97"/>
        <v>0</v>
      </c>
      <c r="M275">
        <f t="shared" si="98"/>
        <v>0</v>
      </c>
      <c r="N275">
        <v>2</v>
      </c>
      <c r="O275">
        <f t="shared" si="88"/>
        <v>0</v>
      </c>
      <c r="P275">
        <f t="shared" si="89"/>
        <v>0</v>
      </c>
      <c r="Q275">
        <f t="shared" si="90"/>
        <v>1</v>
      </c>
      <c r="R275">
        <f t="shared" si="91"/>
        <v>0</v>
      </c>
      <c r="S275">
        <f t="shared" si="92"/>
        <v>0</v>
      </c>
      <c r="T275">
        <f t="shared" si="99"/>
        <v>0</v>
      </c>
      <c r="U275">
        <f t="shared" si="100"/>
        <v>0</v>
      </c>
      <c r="V275">
        <f t="shared" si="101"/>
        <v>0</v>
      </c>
      <c r="W275">
        <f t="shared" si="102"/>
        <v>0</v>
      </c>
      <c r="X275" t="s">
        <v>39</v>
      </c>
      <c r="Y275" t="s">
        <v>39</v>
      </c>
      <c r="Z275" t="s">
        <v>50</v>
      </c>
      <c r="AA275" t="s">
        <v>42</v>
      </c>
      <c r="AB275">
        <v>1</v>
      </c>
      <c r="AC275">
        <v>2</v>
      </c>
      <c r="AD275">
        <v>0</v>
      </c>
      <c r="AE275" t="s">
        <v>44</v>
      </c>
      <c r="AF275" t="s">
        <v>43</v>
      </c>
      <c r="AG275">
        <f t="shared" si="103"/>
        <v>1</v>
      </c>
      <c r="AH275" t="s">
        <v>43</v>
      </c>
      <c r="AI275">
        <f t="shared" si="104"/>
        <v>1</v>
      </c>
      <c r="AJ275" t="s">
        <v>44</v>
      </c>
      <c r="AK275">
        <f t="shared" si="105"/>
        <v>0</v>
      </c>
      <c r="AL275">
        <f t="shared" si="106"/>
        <v>0</v>
      </c>
      <c r="AM275">
        <v>2</v>
      </c>
      <c r="AN275">
        <f t="shared" si="107"/>
        <v>0</v>
      </c>
      <c r="AO275">
        <f t="shared" si="108"/>
        <v>0</v>
      </c>
      <c r="AP275">
        <f t="shared" si="109"/>
        <v>0</v>
      </c>
      <c r="AQ275">
        <v>15</v>
      </c>
      <c r="AR275">
        <v>14</v>
      </c>
      <c r="AS275">
        <v>14</v>
      </c>
    </row>
    <row r="276" spans="1:45" x14ac:dyDescent="0.2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f t="shared" si="93"/>
        <v>1</v>
      </c>
      <c r="H276">
        <v>2</v>
      </c>
      <c r="I276">
        <f t="shared" si="94"/>
        <v>0</v>
      </c>
      <c r="J276">
        <f t="shared" si="95"/>
        <v>0</v>
      </c>
      <c r="K276">
        <f t="shared" si="96"/>
        <v>1</v>
      </c>
      <c r="L276">
        <f t="shared" si="97"/>
        <v>0</v>
      </c>
      <c r="M276">
        <f t="shared" si="98"/>
        <v>0</v>
      </c>
      <c r="N276">
        <v>4</v>
      </c>
      <c r="O276">
        <f t="shared" si="88"/>
        <v>0</v>
      </c>
      <c r="P276">
        <f t="shared" si="89"/>
        <v>0</v>
      </c>
      <c r="Q276">
        <f t="shared" si="90"/>
        <v>0</v>
      </c>
      <c r="R276">
        <f t="shared" si="91"/>
        <v>0</v>
      </c>
      <c r="S276">
        <f t="shared" si="92"/>
        <v>1</v>
      </c>
      <c r="T276">
        <f t="shared" si="99"/>
        <v>0</v>
      </c>
      <c r="U276">
        <f t="shared" si="100"/>
        <v>0</v>
      </c>
      <c r="V276">
        <f t="shared" si="101"/>
        <v>0</v>
      </c>
      <c r="W276">
        <f t="shared" si="102"/>
        <v>0</v>
      </c>
      <c r="X276" t="s">
        <v>39</v>
      </c>
      <c r="Y276" t="s">
        <v>29</v>
      </c>
      <c r="Z276" t="s">
        <v>52</v>
      </c>
      <c r="AA276" t="s">
        <v>42</v>
      </c>
      <c r="AB276">
        <v>2</v>
      </c>
      <c r="AC276">
        <v>2</v>
      </c>
      <c r="AD276">
        <v>0</v>
      </c>
      <c r="AE276" t="s">
        <v>44</v>
      </c>
      <c r="AF276" t="s">
        <v>43</v>
      </c>
      <c r="AG276">
        <f t="shared" si="103"/>
        <v>1</v>
      </c>
      <c r="AH276" t="s">
        <v>43</v>
      </c>
      <c r="AI276">
        <f t="shared" si="104"/>
        <v>1</v>
      </c>
      <c r="AJ276" t="s">
        <v>43</v>
      </c>
      <c r="AK276">
        <f t="shared" si="105"/>
        <v>1</v>
      </c>
      <c r="AL276">
        <f t="shared" si="106"/>
        <v>1</v>
      </c>
      <c r="AM276">
        <v>2</v>
      </c>
      <c r="AN276">
        <f t="shared" si="107"/>
        <v>0</v>
      </c>
      <c r="AO276">
        <f t="shared" si="108"/>
        <v>0</v>
      </c>
      <c r="AP276">
        <f t="shared" si="109"/>
        <v>0</v>
      </c>
      <c r="AQ276">
        <v>10</v>
      </c>
      <c r="AR276">
        <v>10</v>
      </c>
      <c r="AS276">
        <v>10</v>
      </c>
    </row>
    <row r="277" spans="1:45" x14ac:dyDescent="0.2">
      <c r="A277" t="s">
        <v>34</v>
      </c>
      <c r="B277" t="s">
        <v>35</v>
      </c>
      <c r="C277">
        <v>17</v>
      </c>
      <c r="D277" t="s">
        <v>36</v>
      </c>
      <c r="E277" t="s">
        <v>48</v>
      </c>
      <c r="F277" t="s">
        <v>45</v>
      </c>
      <c r="G277">
        <f t="shared" si="93"/>
        <v>1</v>
      </c>
      <c r="H277">
        <v>2</v>
      </c>
      <c r="I277">
        <f t="shared" si="94"/>
        <v>0</v>
      </c>
      <c r="J277">
        <f t="shared" si="95"/>
        <v>0</v>
      </c>
      <c r="K277">
        <f t="shared" si="96"/>
        <v>1</v>
      </c>
      <c r="L277">
        <f t="shared" si="97"/>
        <v>0</v>
      </c>
      <c r="M277">
        <f t="shared" si="98"/>
        <v>0</v>
      </c>
      <c r="N277">
        <v>2</v>
      </c>
      <c r="O277">
        <f t="shared" si="88"/>
        <v>0</v>
      </c>
      <c r="P277">
        <f t="shared" si="89"/>
        <v>0</v>
      </c>
      <c r="Q277">
        <f t="shared" si="90"/>
        <v>1</v>
      </c>
      <c r="R277">
        <f t="shared" si="91"/>
        <v>0</v>
      </c>
      <c r="S277">
        <f t="shared" si="92"/>
        <v>0</v>
      </c>
      <c r="T277">
        <f t="shared" si="99"/>
        <v>0</v>
      </c>
      <c r="U277">
        <f t="shared" si="100"/>
        <v>0</v>
      </c>
      <c r="V277">
        <f t="shared" si="101"/>
        <v>0</v>
      </c>
      <c r="W277">
        <f t="shared" si="102"/>
        <v>0</v>
      </c>
      <c r="X277" t="s">
        <v>49</v>
      </c>
      <c r="Y277" t="s">
        <v>46</v>
      </c>
      <c r="Z277" t="s">
        <v>41</v>
      </c>
      <c r="AA277" t="s">
        <v>42</v>
      </c>
      <c r="AB277">
        <v>2</v>
      </c>
      <c r="AC277">
        <v>2</v>
      </c>
      <c r="AD277">
        <v>0</v>
      </c>
      <c r="AE277" t="s">
        <v>43</v>
      </c>
      <c r="AF277" t="s">
        <v>43</v>
      </c>
      <c r="AG277">
        <f t="shared" si="103"/>
        <v>1</v>
      </c>
      <c r="AH277" t="s">
        <v>43</v>
      </c>
      <c r="AI277">
        <f t="shared" si="104"/>
        <v>1</v>
      </c>
      <c r="AJ277" t="s">
        <v>43</v>
      </c>
      <c r="AK277">
        <f t="shared" si="105"/>
        <v>1</v>
      </c>
      <c r="AL277">
        <f t="shared" si="106"/>
        <v>1</v>
      </c>
      <c r="AM277">
        <v>6</v>
      </c>
      <c r="AN277">
        <f t="shared" si="107"/>
        <v>0</v>
      </c>
      <c r="AO277">
        <f t="shared" si="108"/>
        <v>0</v>
      </c>
      <c r="AP277">
        <f t="shared" si="109"/>
        <v>0</v>
      </c>
      <c r="AQ277">
        <v>12</v>
      </c>
      <c r="AR277">
        <v>12</v>
      </c>
      <c r="AS277">
        <v>12</v>
      </c>
    </row>
    <row r="278" spans="1:45" x14ac:dyDescent="0.2">
      <c r="A278" t="s">
        <v>34</v>
      </c>
      <c r="B278" t="s">
        <v>35</v>
      </c>
      <c r="C278">
        <v>18</v>
      </c>
      <c r="D278" t="s">
        <v>53</v>
      </c>
      <c r="E278" t="s">
        <v>37</v>
      </c>
      <c r="F278" t="s">
        <v>38</v>
      </c>
      <c r="G278">
        <f t="shared" si="93"/>
        <v>0</v>
      </c>
      <c r="H278">
        <v>3</v>
      </c>
      <c r="I278">
        <f t="shared" si="94"/>
        <v>0</v>
      </c>
      <c r="J278">
        <f t="shared" si="95"/>
        <v>0</v>
      </c>
      <c r="K278">
        <f t="shared" si="96"/>
        <v>0</v>
      </c>
      <c r="L278">
        <f t="shared" si="97"/>
        <v>1</v>
      </c>
      <c r="M278">
        <f t="shared" si="98"/>
        <v>0</v>
      </c>
      <c r="N278">
        <v>2</v>
      </c>
      <c r="O278">
        <f t="shared" si="88"/>
        <v>0</v>
      </c>
      <c r="P278">
        <f t="shared" si="89"/>
        <v>0</v>
      </c>
      <c r="Q278">
        <f t="shared" si="90"/>
        <v>1</v>
      </c>
      <c r="R278">
        <f t="shared" si="91"/>
        <v>0</v>
      </c>
      <c r="S278">
        <f t="shared" si="92"/>
        <v>0</v>
      </c>
      <c r="T278">
        <f t="shared" si="99"/>
        <v>0</v>
      </c>
      <c r="U278">
        <f t="shared" si="100"/>
        <v>0</v>
      </c>
      <c r="V278">
        <f t="shared" si="101"/>
        <v>0</v>
      </c>
      <c r="W278">
        <f t="shared" si="102"/>
        <v>0</v>
      </c>
      <c r="X278" t="s">
        <v>46</v>
      </c>
      <c r="Y278" t="s">
        <v>49</v>
      </c>
      <c r="Z278" t="s">
        <v>50</v>
      </c>
      <c r="AA278" t="s">
        <v>42</v>
      </c>
      <c r="AB278">
        <v>2</v>
      </c>
      <c r="AC278">
        <v>2</v>
      </c>
      <c r="AD278">
        <v>0</v>
      </c>
      <c r="AE278" t="s">
        <v>44</v>
      </c>
      <c r="AF278" t="s">
        <v>44</v>
      </c>
      <c r="AG278">
        <f t="shared" si="103"/>
        <v>0</v>
      </c>
      <c r="AH278" t="s">
        <v>44</v>
      </c>
      <c r="AI278">
        <f t="shared" si="104"/>
        <v>0</v>
      </c>
      <c r="AJ278" t="s">
        <v>43</v>
      </c>
      <c r="AK278">
        <f t="shared" si="105"/>
        <v>1</v>
      </c>
      <c r="AL278">
        <f t="shared" si="106"/>
        <v>0</v>
      </c>
      <c r="AM278">
        <v>75</v>
      </c>
      <c r="AN278">
        <f t="shared" si="107"/>
        <v>0</v>
      </c>
      <c r="AO278">
        <f t="shared" si="108"/>
        <v>0</v>
      </c>
      <c r="AP278">
        <f t="shared" si="109"/>
        <v>0</v>
      </c>
      <c r="AQ278">
        <v>10</v>
      </c>
      <c r="AR278">
        <v>9</v>
      </c>
      <c r="AS278">
        <v>9</v>
      </c>
    </row>
    <row r="279" spans="1:45" x14ac:dyDescent="0.2">
      <c r="A279" t="s">
        <v>34</v>
      </c>
      <c r="B279" t="s">
        <v>51</v>
      </c>
      <c r="C279">
        <v>18</v>
      </c>
      <c r="D279" t="s">
        <v>36</v>
      </c>
      <c r="E279" t="s">
        <v>37</v>
      </c>
      <c r="F279" t="s">
        <v>45</v>
      </c>
      <c r="G279">
        <f t="shared" si="93"/>
        <v>1</v>
      </c>
      <c r="H279">
        <v>4</v>
      </c>
      <c r="I279">
        <f t="shared" si="94"/>
        <v>0</v>
      </c>
      <c r="J279">
        <f t="shared" si="95"/>
        <v>0</v>
      </c>
      <c r="K279">
        <f t="shared" si="96"/>
        <v>0</v>
      </c>
      <c r="L279">
        <f t="shared" si="97"/>
        <v>0</v>
      </c>
      <c r="M279">
        <f t="shared" si="98"/>
        <v>1</v>
      </c>
      <c r="N279">
        <v>4</v>
      </c>
      <c r="O279">
        <f t="shared" si="88"/>
        <v>0</v>
      </c>
      <c r="P279">
        <f t="shared" si="89"/>
        <v>0</v>
      </c>
      <c r="Q279">
        <f t="shared" si="90"/>
        <v>0</v>
      </c>
      <c r="R279">
        <f t="shared" si="91"/>
        <v>0</v>
      </c>
      <c r="S279">
        <f t="shared" si="92"/>
        <v>1</v>
      </c>
      <c r="T279">
        <f t="shared" si="99"/>
        <v>1</v>
      </c>
      <c r="U279">
        <f t="shared" si="100"/>
        <v>0</v>
      </c>
      <c r="V279">
        <f t="shared" si="101"/>
        <v>0</v>
      </c>
      <c r="W279">
        <f t="shared" si="102"/>
        <v>0</v>
      </c>
      <c r="X279" t="s">
        <v>40</v>
      </c>
      <c r="Y279" t="s">
        <v>49</v>
      </c>
      <c r="Z279" t="s">
        <v>50</v>
      </c>
      <c r="AA279" t="s">
        <v>42</v>
      </c>
      <c r="AB279">
        <v>2</v>
      </c>
      <c r="AC279">
        <v>1</v>
      </c>
      <c r="AD279">
        <v>0</v>
      </c>
      <c r="AE279" t="s">
        <v>44</v>
      </c>
      <c r="AF279" t="s">
        <v>44</v>
      </c>
      <c r="AG279">
        <f t="shared" si="103"/>
        <v>0</v>
      </c>
      <c r="AH279" t="s">
        <v>43</v>
      </c>
      <c r="AI279">
        <f t="shared" si="104"/>
        <v>1</v>
      </c>
      <c r="AJ279" t="s">
        <v>43</v>
      </c>
      <c r="AK279">
        <f t="shared" si="105"/>
        <v>1</v>
      </c>
      <c r="AL279">
        <f t="shared" si="106"/>
        <v>1</v>
      </c>
      <c r="AM279">
        <v>22</v>
      </c>
      <c r="AN279">
        <f t="shared" si="107"/>
        <v>0</v>
      </c>
      <c r="AO279">
        <f t="shared" si="108"/>
        <v>1</v>
      </c>
      <c r="AP279">
        <f t="shared" si="109"/>
        <v>0</v>
      </c>
      <c r="AQ279">
        <v>9</v>
      </c>
      <c r="AR279">
        <v>9</v>
      </c>
      <c r="AS279">
        <v>9</v>
      </c>
    </row>
    <row r="280" spans="1:45" x14ac:dyDescent="0.2">
      <c r="A280" t="s">
        <v>34</v>
      </c>
      <c r="B280" t="s">
        <v>35</v>
      </c>
      <c r="C280">
        <v>18</v>
      </c>
      <c r="D280" t="s">
        <v>36</v>
      </c>
      <c r="E280" t="s">
        <v>37</v>
      </c>
      <c r="F280" t="s">
        <v>45</v>
      </c>
      <c r="G280">
        <f t="shared" si="93"/>
        <v>1</v>
      </c>
      <c r="H280">
        <v>4</v>
      </c>
      <c r="I280">
        <f t="shared" si="94"/>
        <v>0</v>
      </c>
      <c r="J280">
        <f t="shared" si="95"/>
        <v>0</v>
      </c>
      <c r="K280">
        <f t="shared" si="96"/>
        <v>0</v>
      </c>
      <c r="L280">
        <f t="shared" si="97"/>
        <v>0</v>
      </c>
      <c r="M280">
        <f t="shared" si="98"/>
        <v>1</v>
      </c>
      <c r="N280">
        <v>4</v>
      </c>
      <c r="O280">
        <f t="shared" si="88"/>
        <v>0</v>
      </c>
      <c r="P280">
        <f t="shared" si="89"/>
        <v>0</v>
      </c>
      <c r="Q280">
        <f t="shared" si="90"/>
        <v>0</v>
      </c>
      <c r="R280">
        <f t="shared" si="91"/>
        <v>0</v>
      </c>
      <c r="S280">
        <f t="shared" si="92"/>
        <v>1</v>
      </c>
      <c r="T280">
        <f t="shared" si="99"/>
        <v>1</v>
      </c>
      <c r="U280">
        <f t="shared" si="100"/>
        <v>0</v>
      </c>
      <c r="V280">
        <f t="shared" si="101"/>
        <v>0</v>
      </c>
      <c r="W280">
        <f t="shared" si="102"/>
        <v>0</v>
      </c>
      <c r="X280" t="s">
        <v>29</v>
      </c>
      <c r="Y280" t="s">
        <v>29</v>
      </c>
      <c r="Z280" t="s">
        <v>52</v>
      </c>
      <c r="AA280" t="s">
        <v>47</v>
      </c>
      <c r="AB280">
        <v>1</v>
      </c>
      <c r="AC280">
        <v>2</v>
      </c>
      <c r="AD280">
        <v>1</v>
      </c>
      <c r="AE280" t="s">
        <v>43</v>
      </c>
      <c r="AF280" t="s">
        <v>43</v>
      </c>
      <c r="AG280">
        <f t="shared" si="103"/>
        <v>1</v>
      </c>
      <c r="AH280" t="s">
        <v>44</v>
      </c>
      <c r="AI280">
        <f t="shared" si="104"/>
        <v>0</v>
      </c>
      <c r="AJ280" t="s">
        <v>43</v>
      </c>
      <c r="AK280">
        <f t="shared" si="105"/>
        <v>1</v>
      </c>
      <c r="AL280">
        <f t="shared" si="106"/>
        <v>0</v>
      </c>
      <c r="AM280">
        <v>15</v>
      </c>
      <c r="AN280">
        <f t="shared" si="107"/>
        <v>0</v>
      </c>
      <c r="AO280">
        <f t="shared" si="108"/>
        <v>0</v>
      </c>
      <c r="AP280">
        <f t="shared" si="109"/>
        <v>0</v>
      </c>
      <c r="AQ280">
        <v>9</v>
      </c>
      <c r="AR280">
        <v>8</v>
      </c>
      <c r="AS280">
        <v>8</v>
      </c>
    </row>
    <row r="281" spans="1:45" x14ac:dyDescent="0.2">
      <c r="A281" t="s">
        <v>34</v>
      </c>
      <c r="B281" t="s">
        <v>51</v>
      </c>
      <c r="C281">
        <v>18</v>
      </c>
      <c r="D281" t="s">
        <v>36</v>
      </c>
      <c r="E281" t="s">
        <v>48</v>
      </c>
      <c r="F281" t="s">
        <v>45</v>
      </c>
      <c r="G281">
        <f t="shared" si="93"/>
        <v>1</v>
      </c>
      <c r="H281">
        <v>4</v>
      </c>
      <c r="I281">
        <f t="shared" si="94"/>
        <v>0</v>
      </c>
      <c r="J281">
        <f t="shared" si="95"/>
        <v>0</v>
      </c>
      <c r="K281">
        <f t="shared" si="96"/>
        <v>0</v>
      </c>
      <c r="L281">
        <f t="shared" si="97"/>
        <v>0</v>
      </c>
      <c r="M281">
        <f t="shared" si="98"/>
        <v>1</v>
      </c>
      <c r="N281">
        <v>3</v>
      </c>
      <c r="O281">
        <f t="shared" si="88"/>
        <v>0</v>
      </c>
      <c r="P281">
        <f t="shared" si="89"/>
        <v>0</v>
      </c>
      <c r="Q281">
        <f t="shared" si="90"/>
        <v>0</v>
      </c>
      <c r="R281">
        <f t="shared" si="91"/>
        <v>1</v>
      </c>
      <c r="S281">
        <f t="shared" si="92"/>
        <v>0</v>
      </c>
      <c r="T281">
        <f t="shared" si="99"/>
        <v>0</v>
      </c>
      <c r="U281">
        <f t="shared" si="100"/>
        <v>1</v>
      </c>
      <c r="V281">
        <f t="shared" si="101"/>
        <v>0</v>
      </c>
      <c r="W281">
        <f t="shared" si="102"/>
        <v>0</v>
      </c>
      <c r="X281" t="s">
        <v>40</v>
      </c>
      <c r="Y281" t="s">
        <v>49</v>
      </c>
      <c r="Z281" t="s">
        <v>41</v>
      </c>
      <c r="AA281" t="s">
        <v>42</v>
      </c>
      <c r="AB281">
        <v>2</v>
      </c>
      <c r="AC281">
        <v>1</v>
      </c>
      <c r="AD281">
        <v>0</v>
      </c>
      <c r="AE281" t="s">
        <v>44</v>
      </c>
      <c r="AF281" t="s">
        <v>44</v>
      </c>
      <c r="AG281">
        <f t="shared" si="103"/>
        <v>0</v>
      </c>
      <c r="AH281" t="s">
        <v>43</v>
      </c>
      <c r="AI281">
        <f t="shared" si="104"/>
        <v>1</v>
      </c>
      <c r="AJ281" t="s">
        <v>43</v>
      </c>
      <c r="AK281">
        <f t="shared" si="105"/>
        <v>1</v>
      </c>
      <c r="AL281">
        <f t="shared" si="106"/>
        <v>1</v>
      </c>
      <c r="AM281">
        <v>8</v>
      </c>
      <c r="AN281">
        <f t="shared" si="107"/>
        <v>0</v>
      </c>
      <c r="AO281">
        <f t="shared" si="108"/>
        <v>1</v>
      </c>
      <c r="AP281">
        <f t="shared" si="109"/>
        <v>0</v>
      </c>
      <c r="AQ281">
        <v>10</v>
      </c>
      <c r="AR281">
        <v>11</v>
      </c>
      <c r="AS281">
        <v>10</v>
      </c>
    </row>
    <row r="282" spans="1:45" x14ac:dyDescent="0.2">
      <c r="A282" t="s">
        <v>34</v>
      </c>
      <c r="B282" t="s">
        <v>51</v>
      </c>
      <c r="C282">
        <v>17</v>
      </c>
      <c r="D282" t="s">
        <v>36</v>
      </c>
      <c r="E282" t="s">
        <v>48</v>
      </c>
      <c r="F282" t="s">
        <v>38</v>
      </c>
      <c r="G282">
        <f t="shared" si="93"/>
        <v>0</v>
      </c>
      <c r="H282">
        <v>4</v>
      </c>
      <c r="I282">
        <f t="shared" si="94"/>
        <v>0</v>
      </c>
      <c r="J282">
        <f t="shared" si="95"/>
        <v>0</v>
      </c>
      <c r="K282">
        <f t="shared" si="96"/>
        <v>0</v>
      </c>
      <c r="L282">
        <f t="shared" si="97"/>
        <v>0</v>
      </c>
      <c r="M282">
        <f t="shared" si="98"/>
        <v>1</v>
      </c>
      <c r="N282">
        <v>1</v>
      </c>
      <c r="O282">
        <f t="shared" si="88"/>
        <v>0</v>
      </c>
      <c r="P282">
        <f t="shared" si="89"/>
        <v>1</v>
      </c>
      <c r="Q282">
        <f t="shared" si="90"/>
        <v>0</v>
      </c>
      <c r="R282">
        <f t="shared" si="91"/>
        <v>0</v>
      </c>
      <c r="S282">
        <f t="shared" si="92"/>
        <v>0</v>
      </c>
      <c r="T282">
        <f t="shared" si="99"/>
        <v>0</v>
      </c>
      <c r="U282">
        <f t="shared" si="100"/>
        <v>0</v>
      </c>
      <c r="V282">
        <f t="shared" si="101"/>
        <v>1</v>
      </c>
      <c r="W282">
        <f t="shared" si="102"/>
        <v>0</v>
      </c>
      <c r="X282" t="s">
        <v>49</v>
      </c>
      <c r="Y282" t="s">
        <v>46</v>
      </c>
      <c r="Z282" t="s">
        <v>50</v>
      </c>
      <c r="AA282" t="s">
        <v>42</v>
      </c>
      <c r="AB282">
        <v>2</v>
      </c>
      <c r="AC282">
        <v>1</v>
      </c>
      <c r="AD282">
        <v>0</v>
      </c>
      <c r="AE282" t="s">
        <v>44</v>
      </c>
      <c r="AF282" t="s">
        <v>44</v>
      </c>
      <c r="AG282">
        <f t="shared" si="103"/>
        <v>0</v>
      </c>
      <c r="AH282" t="s">
        <v>43</v>
      </c>
      <c r="AI282">
        <f t="shared" si="104"/>
        <v>1</v>
      </c>
      <c r="AJ282" t="s">
        <v>43</v>
      </c>
      <c r="AK282">
        <f t="shared" si="105"/>
        <v>1</v>
      </c>
      <c r="AL282">
        <f t="shared" si="106"/>
        <v>1</v>
      </c>
      <c r="AM282">
        <v>30</v>
      </c>
      <c r="AN282">
        <f t="shared" si="107"/>
        <v>1</v>
      </c>
      <c r="AO282">
        <f t="shared" si="108"/>
        <v>1</v>
      </c>
      <c r="AP282">
        <f t="shared" si="109"/>
        <v>0</v>
      </c>
      <c r="AQ282">
        <v>8</v>
      </c>
      <c r="AR282">
        <v>8</v>
      </c>
      <c r="AS282">
        <v>8</v>
      </c>
    </row>
    <row r="283" spans="1:45" x14ac:dyDescent="0.2">
      <c r="A283" t="s">
        <v>34</v>
      </c>
      <c r="B283" t="s">
        <v>51</v>
      </c>
      <c r="C283">
        <v>17</v>
      </c>
      <c r="D283" t="s">
        <v>36</v>
      </c>
      <c r="E283" t="s">
        <v>48</v>
      </c>
      <c r="F283" t="s">
        <v>38</v>
      </c>
      <c r="G283">
        <f t="shared" si="93"/>
        <v>0</v>
      </c>
      <c r="H283">
        <v>3</v>
      </c>
      <c r="I283">
        <f t="shared" si="94"/>
        <v>0</v>
      </c>
      <c r="J283">
        <f t="shared" si="95"/>
        <v>0</v>
      </c>
      <c r="K283">
        <f t="shared" si="96"/>
        <v>0</v>
      </c>
      <c r="L283">
        <f t="shared" si="97"/>
        <v>1</v>
      </c>
      <c r="M283">
        <f t="shared" si="98"/>
        <v>0</v>
      </c>
      <c r="N283">
        <v>2</v>
      </c>
      <c r="O283">
        <f t="shared" si="88"/>
        <v>0</v>
      </c>
      <c r="P283">
        <f t="shared" si="89"/>
        <v>0</v>
      </c>
      <c r="Q283">
        <f t="shared" si="90"/>
        <v>1</v>
      </c>
      <c r="R283">
        <f t="shared" si="91"/>
        <v>0</v>
      </c>
      <c r="S283">
        <f t="shared" si="92"/>
        <v>0</v>
      </c>
      <c r="T283">
        <f t="shared" si="99"/>
        <v>0</v>
      </c>
      <c r="U283">
        <f t="shared" si="100"/>
        <v>0</v>
      </c>
      <c r="V283">
        <f t="shared" si="101"/>
        <v>0</v>
      </c>
      <c r="W283">
        <f t="shared" si="102"/>
        <v>0</v>
      </c>
      <c r="X283" t="s">
        <v>40</v>
      </c>
      <c r="Y283" t="s">
        <v>49</v>
      </c>
      <c r="Z283" t="s">
        <v>50</v>
      </c>
      <c r="AA283" t="s">
        <v>42</v>
      </c>
      <c r="AB283">
        <v>1</v>
      </c>
      <c r="AC283">
        <v>1</v>
      </c>
      <c r="AD283">
        <v>1</v>
      </c>
      <c r="AE283" t="s">
        <v>44</v>
      </c>
      <c r="AF283" t="s">
        <v>44</v>
      </c>
      <c r="AG283">
        <f t="shared" si="103"/>
        <v>0</v>
      </c>
      <c r="AH283" t="s">
        <v>44</v>
      </c>
      <c r="AI283">
        <f t="shared" si="104"/>
        <v>0</v>
      </c>
      <c r="AJ283" t="s">
        <v>43</v>
      </c>
      <c r="AK283">
        <f t="shared" si="105"/>
        <v>1</v>
      </c>
      <c r="AL283">
        <f t="shared" si="106"/>
        <v>0</v>
      </c>
      <c r="AM283">
        <v>19</v>
      </c>
      <c r="AN283">
        <f t="shared" si="107"/>
        <v>0</v>
      </c>
      <c r="AO283">
        <f t="shared" si="108"/>
        <v>0</v>
      </c>
      <c r="AP283">
        <f t="shared" si="109"/>
        <v>0</v>
      </c>
      <c r="AQ283">
        <v>11</v>
      </c>
      <c r="AR283">
        <v>9</v>
      </c>
      <c r="AS283">
        <v>10</v>
      </c>
    </row>
    <row r="284" spans="1:45" x14ac:dyDescent="0.2">
      <c r="A284" t="s">
        <v>34</v>
      </c>
      <c r="B284" t="s">
        <v>35</v>
      </c>
      <c r="C284">
        <v>18</v>
      </c>
      <c r="D284" t="s">
        <v>53</v>
      </c>
      <c r="E284" t="s">
        <v>48</v>
      </c>
      <c r="F284" t="s">
        <v>45</v>
      </c>
      <c r="G284">
        <f t="shared" si="93"/>
        <v>1</v>
      </c>
      <c r="H284">
        <v>1</v>
      </c>
      <c r="I284">
        <f t="shared" si="94"/>
        <v>0</v>
      </c>
      <c r="J284">
        <f t="shared" si="95"/>
        <v>1</v>
      </c>
      <c r="K284">
        <f t="shared" si="96"/>
        <v>0</v>
      </c>
      <c r="L284">
        <f t="shared" si="97"/>
        <v>0</v>
      </c>
      <c r="M284">
        <f t="shared" si="98"/>
        <v>0</v>
      </c>
      <c r="N284">
        <v>1</v>
      </c>
      <c r="O284">
        <f t="shared" si="88"/>
        <v>0</v>
      </c>
      <c r="P284">
        <f t="shared" si="89"/>
        <v>1</v>
      </c>
      <c r="Q284">
        <f t="shared" si="90"/>
        <v>0</v>
      </c>
      <c r="R284">
        <f t="shared" si="91"/>
        <v>0</v>
      </c>
      <c r="S284">
        <f t="shared" si="92"/>
        <v>0</v>
      </c>
      <c r="T284">
        <f t="shared" si="99"/>
        <v>0</v>
      </c>
      <c r="U284">
        <f t="shared" si="100"/>
        <v>0</v>
      </c>
      <c r="V284">
        <f t="shared" si="101"/>
        <v>0</v>
      </c>
      <c r="W284">
        <f t="shared" si="102"/>
        <v>0</v>
      </c>
      <c r="X284" t="s">
        <v>39</v>
      </c>
      <c r="Y284" t="s">
        <v>46</v>
      </c>
      <c r="Z284" t="s">
        <v>52</v>
      </c>
      <c r="AA284" t="s">
        <v>42</v>
      </c>
      <c r="AB284">
        <v>2</v>
      </c>
      <c r="AC284">
        <v>4</v>
      </c>
      <c r="AD284">
        <v>0</v>
      </c>
      <c r="AE284" t="s">
        <v>44</v>
      </c>
      <c r="AF284" t="s">
        <v>43</v>
      </c>
      <c r="AG284">
        <f t="shared" si="103"/>
        <v>1</v>
      </c>
      <c r="AH284" t="s">
        <v>43</v>
      </c>
      <c r="AI284">
        <f t="shared" si="104"/>
        <v>1</v>
      </c>
      <c r="AJ284" t="s">
        <v>44</v>
      </c>
      <c r="AK284">
        <f t="shared" si="105"/>
        <v>0</v>
      </c>
      <c r="AL284">
        <f t="shared" si="106"/>
        <v>0</v>
      </c>
      <c r="AM284">
        <v>1</v>
      </c>
      <c r="AN284">
        <f t="shared" si="107"/>
        <v>0</v>
      </c>
      <c r="AO284">
        <f t="shared" si="108"/>
        <v>0</v>
      </c>
      <c r="AP284">
        <f t="shared" si="109"/>
        <v>0</v>
      </c>
      <c r="AQ284">
        <v>12</v>
      </c>
      <c r="AR284">
        <v>12</v>
      </c>
      <c r="AS284">
        <v>12</v>
      </c>
    </row>
    <row r="285" spans="1:45" x14ac:dyDescent="0.2">
      <c r="A285" t="s">
        <v>34</v>
      </c>
      <c r="B285" t="s">
        <v>35</v>
      </c>
      <c r="C285">
        <v>18</v>
      </c>
      <c r="D285" t="s">
        <v>36</v>
      </c>
      <c r="E285" t="s">
        <v>37</v>
      </c>
      <c r="F285" t="s">
        <v>45</v>
      </c>
      <c r="G285">
        <f t="shared" si="93"/>
        <v>1</v>
      </c>
      <c r="H285">
        <v>1</v>
      </c>
      <c r="I285">
        <f t="shared" si="94"/>
        <v>0</v>
      </c>
      <c r="J285">
        <f t="shared" si="95"/>
        <v>1</v>
      </c>
      <c r="K285">
        <f t="shared" si="96"/>
        <v>0</v>
      </c>
      <c r="L285">
        <f t="shared" si="97"/>
        <v>0</v>
      </c>
      <c r="M285">
        <f t="shared" si="98"/>
        <v>0</v>
      </c>
      <c r="N285">
        <v>1</v>
      </c>
      <c r="O285">
        <f t="shared" si="88"/>
        <v>0</v>
      </c>
      <c r="P285">
        <f t="shared" si="89"/>
        <v>1</v>
      </c>
      <c r="Q285">
        <f t="shared" si="90"/>
        <v>0</v>
      </c>
      <c r="R285">
        <f t="shared" si="91"/>
        <v>0</v>
      </c>
      <c r="S285">
        <f t="shared" si="92"/>
        <v>0</v>
      </c>
      <c r="T285">
        <f t="shared" si="99"/>
        <v>0</v>
      </c>
      <c r="U285">
        <f t="shared" si="100"/>
        <v>0</v>
      </c>
      <c r="V285">
        <f t="shared" si="101"/>
        <v>0</v>
      </c>
      <c r="W285">
        <f t="shared" si="102"/>
        <v>0</v>
      </c>
      <c r="X285" t="s">
        <v>46</v>
      </c>
      <c r="Y285" t="s">
        <v>46</v>
      </c>
      <c r="Z285" t="s">
        <v>50</v>
      </c>
      <c r="AA285" t="s">
        <v>42</v>
      </c>
      <c r="AB285">
        <v>2</v>
      </c>
      <c r="AC285">
        <v>2</v>
      </c>
      <c r="AD285">
        <v>0</v>
      </c>
      <c r="AE285" t="s">
        <v>43</v>
      </c>
      <c r="AF285" t="s">
        <v>44</v>
      </c>
      <c r="AG285">
        <f t="shared" si="103"/>
        <v>0</v>
      </c>
      <c r="AH285" t="s">
        <v>44</v>
      </c>
      <c r="AI285">
        <f t="shared" si="104"/>
        <v>0</v>
      </c>
      <c r="AJ285" t="s">
        <v>43</v>
      </c>
      <c r="AK285">
        <f t="shared" si="105"/>
        <v>1</v>
      </c>
      <c r="AL285">
        <f t="shared" si="106"/>
        <v>0</v>
      </c>
      <c r="AM285">
        <v>4</v>
      </c>
      <c r="AN285">
        <f t="shared" si="107"/>
        <v>0</v>
      </c>
      <c r="AO285">
        <f t="shared" si="108"/>
        <v>0</v>
      </c>
      <c r="AP285">
        <f t="shared" si="109"/>
        <v>0</v>
      </c>
      <c r="AQ285">
        <v>8</v>
      </c>
      <c r="AR285">
        <v>9</v>
      </c>
      <c r="AS285">
        <v>10</v>
      </c>
    </row>
    <row r="286" spans="1:45" x14ac:dyDescent="0.2">
      <c r="A286" t="s">
        <v>34</v>
      </c>
      <c r="B286" t="s">
        <v>35</v>
      </c>
      <c r="C286">
        <v>17</v>
      </c>
      <c r="D286" t="s">
        <v>36</v>
      </c>
      <c r="E286" t="s">
        <v>37</v>
      </c>
      <c r="F286" t="s">
        <v>45</v>
      </c>
      <c r="G286">
        <f t="shared" si="93"/>
        <v>1</v>
      </c>
      <c r="H286">
        <v>2</v>
      </c>
      <c r="I286">
        <f t="shared" si="94"/>
        <v>0</v>
      </c>
      <c r="J286">
        <f t="shared" si="95"/>
        <v>0</v>
      </c>
      <c r="K286">
        <f t="shared" si="96"/>
        <v>1</v>
      </c>
      <c r="L286">
        <f t="shared" si="97"/>
        <v>0</v>
      </c>
      <c r="M286">
        <f t="shared" si="98"/>
        <v>0</v>
      </c>
      <c r="N286">
        <v>2</v>
      </c>
      <c r="O286">
        <f t="shared" si="88"/>
        <v>0</v>
      </c>
      <c r="P286">
        <f t="shared" si="89"/>
        <v>0</v>
      </c>
      <c r="Q286">
        <f t="shared" si="90"/>
        <v>1</v>
      </c>
      <c r="R286">
        <f t="shared" si="91"/>
        <v>0</v>
      </c>
      <c r="S286">
        <f t="shared" si="92"/>
        <v>0</v>
      </c>
      <c r="T286">
        <f t="shared" si="99"/>
        <v>0</v>
      </c>
      <c r="U286">
        <f t="shared" si="100"/>
        <v>0</v>
      </c>
      <c r="V286">
        <f t="shared" si="101"/>
        <v>0</v>
      </c>
      <c r="W286">
        <f t="shared" si="102"/>
        <v>0</v>
      </c>
      <c r="X286" t="s">
        <v>46</v>
      </c>
      <c r="Y286" t="s">
        <v>46</v>
      </c>
      <c r="Z286" t="s">
        <v>41</v>
      </c>
      <c r="AA286" t="s">
        <v>42</v>
      </c>
      <c r="AB286">
        <v>1</v>
      </c>
      <c r="AC286">
        <v>2</v>
      </c>
      <c r="AD286">
        <v>0</v>
      </c>
      <c r="AE286" t="s">
        <v>44</v>
      </c>
      <c r="AF286" t="s">
        <v>43</v>
      </c>
      <c r="AG286">
        <f t="shared" si="103"/>
        <v>1</v>
      </c>
      <c r="AH286" t="s">
        <v>44</v>
      </c>
      <c r="AI286">
        <f t="shared" si="104"/>
        <v>0</v>
      </c>
      <c r="AJ286" t="s">
        <v>43</v>
      </c>
      <c r="AK286">
        <f t="shared" si="105"/>
        <v>1</v>
      </c>
      <c r="AL286">
        <f t="shared" si="106"/>
        <v>0</v>
      </c>
      <c r="AM286">
        <v>4</v>
      </c>
      <c r="AN286">
        <f t="shared" si="107"/>
        <v>0</v>
      </c>
      <c r="AO286">
        <f t="shared" si="108"/>
        <v>0</v>
      </c>
      <c r="AP286">
        <f t="shared" si="109"/>
        <v>0</v>
      </c>
      <c r="AQ286">
        <v>10</v>
      </c>
      <c r="AR286">
        <v>9</v>
      </c>
      <c r="AS286">
        <v>11</v>
      </c>
    </row>
    <row r="287" spans="1:45" x14ac:dyDescent="0.2">
      <c r="A287" t="s">
        <v>34</v>
      </c>
      <c r="B287" t="s">
        <v>51</v>
      </c>
      <c r="C287">
        <v>17</v>
      </c>
      <c r="D287" t="s">
        <v>36</v>
      </c>
      <c r="E287" t="s">
        <v>37</v>
      </c>
      <c r="F287" t="s">
        <v>45</v>
      </c>
      <c r="G287">
        <f t="shared" si="93"/>
        <v>1</v>
      </c>
      <c r="H287">
        <v>1</v>
      </c>
      <c r="I287">
        <f t="shared" si="94"/>
        <v>0</v>
      </c>
      <c r="J287">
        <f t="shared" si="95"/>
        <v>1</v>
      </c>
      <c r="K287">
        <f t="shared" si="96"/>
        <v>0</v>
      </c>
      <c r="L287">
        <f t="shared" si="97"/>
        <v>0</v>
      </c>
      <c r="M287">
        <f t="shared" si="98"/>
        <v>0</v>
      </c>
      <c r="N287">
        <v>1</v>
      </c>
      <c r="O287">
        <f t="shared" si="88"/>
        <v>0</v>
      </c>
      <c r="P287">
        <f t="shared" si="89"/>
        <v>1</v>
      </c>
      <c r="Q287">
        <f t="shared" si="90"/>
        <v>0</v>
      </c>
      <c r="R287">
        <f t="shared" si="91"/>
        <v>0</v>
      </c>
      <c r="S287">
        <f t="shared" si="92"/>
        <v>0</v>
      </c>
      <c r="T287">
        <f t="shared" si="99"/>
        <v>0</v>
      </c>
      <c r="U287">
        <f t="shared" si="100"/>
        <v>0</v>
      </c>
      <c r="V287">
        <f t="shared" si="101"/>
        <v>0</v>
      </c>
      <c r="W287">
        <f t="shared" si="102"/>
        <v>0</v>
      </c>
      <c r="X287" t="s">
        <v>46</v>
      </c>
      <c r="Y287" t="s">
        <v>46</v>
      </c>
      <c r="Z287" t="s">
        <v>52</v>
      </c>
      <c r="AA287" t="s">
        <v>47</v>
      </c>
      <c r="AB287">
        <v>1</v>
      </c>
      <c r="AC287">
        <v>2</v>
      </c>
      <c r="AD287">
        <v>0</v>
      </c>
      <c r="AE287" t="s">
        <v>44</v>
      </c>
      <c r="AF287" t="s">
        <v>44</v>
      </c>
      <c r="AG287">
        <f t="shared" si="103"/>
        <v>0</v>
      </c>
      <c r="AH287" t="s">
        <v>43</v>
      </c>
      <c r="AI287">
        <f t="shared" si="104"/>
        <v>1</v>
      </c>
      <c r="AJ287" t="s">
        <v>43</v>
      </c>
      <c r="AK287">
        <f t="shared" si="105"/>
        <v>1</v>
      </c>
      <c r="AL287">
        <f t="shared" si="106"/>
        <v>1</v>
      </c>
      <c r="AM287">
        <v>2</v>
      </c>
      <c r="AN287">
        <f t="shared" si="107"/>
        <v>0</v>
      </c>
      <c r="AO287">
        <f t="shared" si="108"/>
        <v>0</v>
      </c>
      <c r="AP287">
        <f t="shared" si="109"/>
        <v>0</v>
      </c>
      <c r="AQ287">
        <v>12</v>
      </c>
      <c r="AR287">
        <v>10</v>
      </c>
      <c r="AS287">
        <v>11</v>
      </c>
    </row>
    <row r="288" spans="1:45" x14ac:dyDescent="0.2">
      <c r="A288" t="s">
        <v>34</v>
      </c>
      <c r="B288" t="s">
        <v>35</v>
      </c>
      <c r="C288">
        <v>18</v>
      </c>
      <c r="D288" t="s">
        <v>36</v>
      </c>
      <c r="E288" t="s">
        <v>37</v>
      </c>
      <c r="F288" t="s">
        <v>45</v>
      </c>
      <c r="G288">
        <f t="shared" si="93"/>
        <v>1</v>
      </c>
      <c r="H288">
        <v>2</v>
      </c>
      <c r="I288">
        <f t="shared" si="94"/>
        <v>0</v>
      </c>
      <c r="J288">
        <f t="shared" si="95"/>
        <v>0</v>
      </c>
      <c r="K288">
        <f t="shared" si="96"/>
        <v>1</v>
      </c>
      <c r="L288">
        <f t="shared" si="97"/>
        <v>0</v>
      </c>
      <c r="M288">
        <f t="shared" si="98"/>
        <v>0</v>
      </c>
      <c r="N288">
        <v>2</v>
      </c>
      <c r="O288">
        <f t="shared" si="88"/>
        <v>0</v>
      </c>
      <c r="P288">
        <f t="shared" si="89"/>
        <v>0</v>
      </c>
      <c r="Q288">
        <f t="shared" si="90"/>
        <v>1</v>
      </c>
      <c r="R288">
        <f t="shared" si="91"/>
        <v>0</v>
      </c>
      <c r="S288">
        <f t="shared" si="92"/>
        <v>0</v>
      </c>
      <c r="T288">
        <f t="shared" si="99"/>
        <v>0</v>
      </c>
      <c r="U288">
        <f t="shared" si="100"/>
        <v>0</v>
      </c>
      <c r="V288">
        <f t="shared" si="101"/>
        <v>0</v>
      </c>
      <c r="W288">
        <f t="shared" si="102"/>
        <v>0</v>
      </c>
      <c r="X288" t="s">
        <v>39</v>
      </c>
      <c r="Y288" t="s">
        <v>39</v>
      </c>
      <c r="Z288" t="s">
        <v>46</v>
      </c>
      <c r="AA288" t="s">
        <v>42</v>
      </c>
      <c r="AB288">
        <v>1</v>
      </c>
      <c r="AC288">
        <v>3</v>
      </c>
      <c r="AD288">
        <v>0</v>
      </c>
      <c r="AE288" t="s">
        <v>44</v>
      </c>
      <c r="AF288" t="s">
        <v>43</v>
      </c>
      <c r="AG288">
        <f t="shared" si="103"/>
        <v>1</v>
      </c>
      <c r="AH288" t="s">
        <v>43</v>
      </c>
      <c r="AI288">
        <f t="shared" si="104"/>
        <v>1</v>
      </c>
      <c r="AJ288" t="s">
        <v>43</v>
      </c>
      <c r="AK288">
        <f t="shared" si="105"/>
        <v>1</v>
      </c>
      <c r="AL288">
        <f t="shared" si="106"/>
        <v>1</v>
      </c>
      <c r="AM288">
        <v>5</v>
      </c>
      <c r="AN288">
        <f t="shared" si="107"/>
        <v>0</v>
      </c>
      <c r="AO288">
        <f t="shared" si="108"/>
        <v>0</v>
      </c>
      <c r="AP288">
        <f t="shared" si="109"/>
        <v>0</v>
      </c>
      <c r="AQ288">
        <v>18</v>
      </c>
      <c r="AR288">
        <v>18</v>
      </c>
      <c r="AS288">
        <v>19</v>
      </c>
    </row>
    <row r="289" spans="1:45" x14ac:dyDescent="0.2">
      <c r="A289" t="s">
        <v>34</v>
      </c>
      <c r="B289" t="s">
        <v>35</v>
      </c>
      <c r="C289">
        <v>17</v>
      </c>
      <c r="D289" t="s">
        <v>36</v>
      </c>
      <c r="E289" t="s">
        <v>37</v>
      </c>
      <c r="F289" t="s">
        <v>45</v>
      </c>
      <c r="G289">
        <f t="shared" si="93"/>
        <v>1</v>
      </c>
      <c r="H289">
        <v>1</v>
      </c>
      <c r="I289">
        <f t="shared" si="94"/>
        <v>0</v>
      </c>
      <c r="J289">
        <f t="shared" si="95"/>
        <v>1</v>
      </c>
      <c r="K289">
        <f t="shared" si="96"/>
        <v>0</v>
      </c>
      <c r="L289">
        <f t="shared" si="97"/>
        <v>0</v>
      </c>
      <c r="M289">
        <f t="shared" si="98"/>
        <v>0</v>
      </c>
      <c r="N289">
        <v>1</v>
      </c>
      <c r="O289">
        <f t="shared" si="88"/>
        <v>0</v>
      </c>
      <c r="P289">
        <f t="shared" si="89"/>
        <v>1</v>
      </c>
      <c r="Q289">
        <f t="shared" si="90"/>
        <v>0</v>
      </c>
      <c r="R289">
        <f t="shared" si="91"/>
        <v>0</v>
      </c>
      <c r="S289">
        <f t="shared" si="92"/>
        <v>0</v>
      </c>
      <c r="T289">
        <f t="shared" si="99"/>
        <v>0</v>
      </c>
      <c r="U289">
        <f t="shared" si="100"/>
        <v>0</v>
      </c>
      <c r="V289">
        <f t="shared" si="101"/>
        <v>0</v>
      </c>
      <c r="W289">
        <f t="shared" si="102"/>
        <v>0</v>
      </c>
      <c r="X289" t="s">
        <v>49</v>
      </c>
      <c r="Y289" t="s">
        <v>40</v>
      </c>
      <c r="Z289" t="s">
        <v>52</v>
      </c>
      <c r="AA289" t="s">
        <v>42</v>
      </c>
      <c r="AB289">
        <v>1</v>
      </c>
      <c r="AC289">
        <v>3</v>
      </c>
      <c r="AD289">
        <v>0</v>
      </c>
      <c r="AE289" t="s">
        <v>44</v>
      </c>
      <c r="AF289" t="s">
        <v>43</v>
      </c>
      <c r="AG289">
        <f t="shared" si="103"/>
        <v>1</v>
      </c>
      <c r="AH289" t="s">
        <v>43</v>
      </c>
      <c r="AI289">
        <f t="shared" si="104"/>
        <v>1</v>
      </c>
      <c r="AJ289" t="s">
        <v>43</v>
      </c>
      <c r="AK289">
        <f t="shared" si="105"/>
        <v>1</v>
      </c>
      <c r="AL289">
        <f t="shared" si="106"/>
        <v>1</v>
      </c>
      <c r="AM289">
        <v>6</v>
      </c>
      <c r="AN289">
        <f t="shared" si="107"/>
        <v>0</v>
      </c>
      <c r="AO289">
        <f t="shared" si="108"/>
        <v>0</v>
      </c>
      <c r="AP289">
        <f t="shared" si="109"/>
        <v>0</v>
      </c>
      <c r="AQ289">
        <v>13</v>
      </c>
      <c r="AR289">
        <v>12</v>
      </c>
      <c r="AS289">
        <v>12</v>
      </c>
    </row>
    <row r="290" spans="1:45" x14ac:dyDescent="0.2">
      <c r="A290" t="s">
        <v>34</v>
      </c>
      <c r="B290" t="s">
        <v>51</v>
      </c>
      <c r="C290">
        <v>18</v>
      </c>
      <c r="D290" t="s">
        <v>36</v>
      </c>
      <c r="E290" t="s">
        <v>37</v>
      </c>
      <c r="F290" t="s">
        <v>45</v>
      </c>
      <c r="G290">
        <f t="shared" si="93"/>
        <v>1</v>
      </c>
      <c r="H290">
        <v>2</v>
      </c>
      <c r="I290">
        <f t="shared" si="94"/>
        <v>0</v>
      </c>
      <c r="J290">
        <f t="shared" si="95"/>
        <v>0</v>
      </c>
      <c r="K290">
        <f t="shared" si="96"/>
        <v>1</v>
      </c>
      <c r="L290">
        <f t="shared" si="97"/>
        <v>0</v>
      </c>
      <c r="M290">
        <f t="shared" si="98"/>
        <v>0</v>
      </c>
      <c r="N290">
        <v>1</v>
      </c>
      <c r="O290">
        <f t="shared" si="88"/>
        <v>0</v>
      </c>
      <c r="P290">
        <f t="shared" si="89"/>
        <v>1</v>
      </c>
      <c r="Q290">
        <f t="shared" si="90"/>
        <v>0</v>
      </c>
      <c r="R290">
        <f t="shared" si="91"/>
        <v>0</v>
      </c>
      <c r="S290">
        <f t="shared" si="92"/>
        <v>0</v>
      </c>
      <c r="T290">
        <f t="shared" si="99"/>
        <v>0</v>
      </c>
      <c r="U290">
        <f t="shared" si="100"/>
        <v>0</v>
      </c>
      <c r="V290">
        <f t="shared" si="101"/>
        <v>0</v>
      </c>
      <c r="W290">
        <f t="shared" si="102"/>
        <v>0</v>
      </c>
      <c r="X290" t="s">
        <v>49</v>
      </c>
      <c r="Y290" t="s">
        <v>49</v>
      </c>
      <c r="Z290" t="s">
        <v>52</v>
      </c>
      <c r="AA290" t="s">
        <v>42</v>
      </c>
      <c r="AB290">
        <v>1</v>
      </c>
      <c r="AC290">
        <v>3</v>
      </c>
      <c r="AD290">
        <v>0</v>
      </c>
      <c r="AE290" t="s">
        <v>44</v>
      </c>
      <c r="AF290" t="s">
        <v>44</v>
      </c>
      <c r="AG290">
        <f t="shared" si="103"/>
        <v>0</v>
      </c>
      <c r="AH290" t="s">
        <v>43</v>
      </c>
      <c r="AI290">
        <f t="shared" si="104"/>
        <v>1</v>
      </c>
      <c r="AJ290" t="s">
        <v>43</v>
      </c>
      <c r="AK290">
        <f t="shared" si="105"/>
        <v>1</v>
      </c>
      <c r="AL290">
        <f t="shared" si="106"/>
        <v>1</v>
      </c>
      <c r="AM290">
        <v>6</v>
      </c>
      <c r="AN290">
        <f t="shared" si="107"/>
        <v>0</v>
      </c>
      <c r="AO290">
        <f t="shared" si="108"/>
        <v>0</v>
      </c>
      <c r="AP290">
        <f t="shared" si="109"/>
        <v>0</v>
      </c>
      <c r="AQ290">
        <v>15</v>
      </c>
      <c r="AR290">
        <v>14</v>
      </c>
      <c r="AS290">
        <v>14</v>
      </c>
    </row>
    <row r="291" spans="1:45" x14ac:dyDescent="0.2">
      <c r="A291" t="s">
        <v>34</v>
      </c>
      <c r="B291" t="s">
        <v>51</v>
      </c>
      <c r="C291">
        <v>18</v>
      </c>
      <c r="D291" t="s">
        <v>36</v>
      </c>
      <c r="E291" t="s">
        <v>48</v>
      </c>
      <c r="F291" t="s">
        <v>38</v>
      </c>
      <c r="G291">
        <f t="shared" si="93"/>
        <v>0</v>
      </c>
      <c r="H291">
        <v>4</v>
      </c>
      <c r="I291">
        <f t="shared" si="94"/>
        <v>0</v>
      </c>
      <c r="J291">
        <f t="shared" si="95"/>
        <v>0</v>
      </c>
      <c r="K291">
        <f t="shared" si="96"/>
        <v>0</v>
      </c>
      <c r="L291">
        <f t="shared" si="97"/>
        <v>0</v>
      </c>
      <c r="M291">
        <f t="shared" si="98"/>
        <v>1</v>
      </c>
      <c r="N291">
        <v>4</v>
      </c>
      <c r="O291">
        <f t="shared" si="88"/>
        <v>0</v>
      </c>
      <c r="P291">
        <f t="shared" si="89"/>
        <v>0</v>
      </c>
      <c r="Q291">
        <f t="shared" si="90"/>
        <v>0</v>
      </c>
      <c r="R291">
        <f t="shared" si="91"/>
        <v>0</v>
      </c>
      <c r="S291">
        <f t="shared" si="92"/>
        <v>1</v>
      </c>
      <c r="T291">
        <f t="shared" si="99"/>
        <v>1</v>
      </c>
      <c r="U291">
        <f t="shared" si="100"/>
        <v>0</v>
      </c>
      <c r="V291">
        <f t="shared" si="101"/>
        <v>0</v>
      </c>
      <c r="W291">
        <f t="shared" si="102"/>
        <v>0</v>
      </c>
      <c r="X291" t="s">
        <v>40</v>
      </c>
      <c r="Y291" t="s">
        <v>40</v>
      </c>
      <c r="Z291" t="s">
        <v>52</v>
      </c>
      <c r="AA291" t="s">
        <v>42</v>
      </c>
      <c r="AB291">
        <v>1</v>
      </c>
      <c r="AC291">
        <v>2</v>
      </c>
      <c r="AD291">
        <v>0</v>
      </c>
      <c r="AE291" t="s">
        <v>44</v>
      </c>
      <c r="AF291" t="s">
        <v>43</v>
      </c>
      <c r="AG291">
        <f t="shared" si="103"/>
        <v>1</v>
      </c>
      <c r="AH291" t="s">
        <v>43</v>
      </c>
      <c r="AI291">
        <f t="shared" si="104"/>
        <v>1</v>
      </c>
      <c r="AJ291" t="s">
        <v>43</v>
      </c>
      <c r="AK291">
        <f t="shared" si="105"/>
        <v>1</v>
      </c>
      <c r="AL291">
        <f t="shared" si="106"/>
        <v>1</v>
      </c>
      <c r="AM291">
        <v>9</v>
      </c>
      <c r="AN291">
        <f t="shared" si="107"/>
        <v>1</v>
      </c>
      <c r="AO291">
        <f t="shared" si="108"/>
        <v>1</v>
      </c>
      <c r="AP291">
        <f t="shared" si="109"/>
        <v>0</v>
      </c>
      <c r="AQ291">
        <v>15</v>
      </c>
      <c r="AR291">
        <v>13</v>
      </c>
      <c r="AS291">
        <v>15</v>
      </c>
    </row>
    <row r="292" spans="1:45" x14ac:dyDescent="0.2">
      <c r="A292" t="s">
        <v>34</v>
      </c>
      <c r="B292" t="s">
        <v>51</v>
      </c>
      <c r="C292">
        <v>18</v>
      </c>
      <c r="D292" t="s">
        <v>36</v>
      </c>
      <c r="E292" t="s">
        <v>37</v>
      </c>
      <c r="F292" t="s">
        <v>45</v>
      </c>
      <c r="G292">
        <f t="shared" si="93"/>
        <v>1</v>
      </c>
      <c r="H292">
        <v>4</v>
      </c>
      <c r="I292">
        <f t="shared" si="94"/>
        <v>0</v>
      </c>
      <c r="J292">
        <f t="shared" si="95"/>
        <v>0</v>
      </c>
      <c r="K292">
        <f t="shared" si="96"/>
        <v>0</v>
      </c>
      <c r="L292">
        <f t="shared" si="97"/>
        <v>0</v>
      </c>
      <c r="M292">
        <f t="shared" si="98"/>
        <v>1</v>
      </c>
      <c r="N292">
        <v>2</v>
      </c>
      <c r="O292">
        <f t="shared" si="88"/>
        <v>0</v>
      </c>
      <c r="P292">
        <f t="shared" si="89"/>
        <v>0</v>
      </c>
      <c r="Q292">
        <f t="shared" si="90"/>
        <v>1</v>
      </c>
      <c r="R292">
        <f t="shared" si="91"/>
        <v>0</v>
      </c>
      <c r="S292">
        <f t="shared" si="92"/>
        <v>0</v>
      </c>
      <c r="T292">
        <f t="shared" si="99"/>
        <v>0</v>
      </c>
      <c r="U292">
        <f t="shared" si="100"/>
        <v>0</v>
      </c>
      <c r="V292">
        <f t="shared" si="101"/>
        <v>1</v>
      </c>
      <c r="W292">
        <f t="shared" si="102"/>
        <v>0</v>
      </c>
      <c r="X292" t="s">
        <v>40</v>
      </c>
      <c r="Y292" t="s">
        <v>46</v>
      </c>
      <c r="Z292" t="s">
        <v>50</v>
      </c>
      <c r="AA292" t="s">
        <v>42</v>
      </c>
      <c r="AB292">
        <v>1</v>
      </c>
      <c r="AC292">
        <v>2</v>
      </c>
      <c r="AD292">
        <v>0</v>
      </c>
      <c r="AE292" t="s">
        <v>44</v>
      </c>
      <c r="AF292" t="s">
        <v>43</v>
      </c>
      <c r="AG292">
        <f t="shared" si="103"/>
        <v>1</v>
      </c>
      <c r="AH292" t="s">
        <v>43</v>
      </c>
      <c r="AI292">
        <f t="shared" si="104"/>
        <v>1</v>
      </c>
      <c r="AJ292" t="s">
        <v>43</v>
      </c>
      <c r="AK292">
        <f t="shared" si="105"/>
        <v>1</v>
      </c>
      <c r="AL292">
        <f t="shared" si="106"/>
        <v>1</v>
      </c>
      <c r="AM292">
        <v>11</v>
      </c>
      <c r="AN292">
        <f t="shared" si="107"/>
        <v>0</v>
      </c>
      <c r="AO292">
        <f t="shared" si="108"/>
        <v>1</v>
      </c>
      <c r="AP292">
        <f t="shared" si="109"/>
        <v>0</v>
      </c>
      <c r="AQ292">
        <v>12</v>
      </c>
      <c r="AR292">
        <v>11</v>
      </c>
      <c r="AS292">
        <v>11</v>
      </c>
    </row>
    <row r="293" spans="1:45" x14ac:dyDescent="0.2">
      <c r="A293" t="s">
        <v>34</v>
      </c>
      <c r="B293" t="s">
        <v>35</v>
      </c>
      <c r="C293">
        <v>17</v>
      </c>
      <c r="D293" t="s">
        <v>36</v>
      </c>
      <c r="E293" t="s">
        <v>37</v>
      </c>
      <c r="F293" t="s">
        <v>45</v>
      </c>
      <c r="G293">
        <f t="shared" si="93"/>
        <v>1</v>
      </c>
      <c r="H293">
        <v>4</v>
      </c>
      <c r="I293">
        <f t="shared" si="94"/>
        <v>0</v>
      </c>
      <c r="J293">
        <f t="shared" si="95"/>
        <v>0</v>
      </c>
      <c r="K293">
        <f t="shared" si="96"/>
        <v>0</v>
      </c>
      <c r="L293">
        <f t="shared" si="97"/>
        <v>0</v>
      </c>
      <c r="M293">
        <f t="shared" si="98"/>
        <v>1</v>
      </c>
      <c r="N293">
        <v>3</v>
      </c>
      <c r="O293">
        <f t="shared" si="88"/>
        <v>0</v>
      </c>
      <c r="P293">
        <f t="shared" si="89"/>
        <v>0</v>
      </c>
      <c r="Q293">
        <f t="shared" si="90"/>
        <v>0</v>
      </c>
      <c r="R293">
        <f t="shared" si="91"/>
        <v>1</v>
      </c>
      <c r="S293">
        <f t="shared" si="92"/>
        <v>0</v>
      </c>
      <c r="T293">
        <f t="shared" si="99"/>
        <v>0</v>
      </c>
      <c r="U293">
        <f t="shared" si="100"/>
        <v>1</v>
      </c>
      <c r="V293">
        <f t="shared" si="101"/>
        <v>0</v>
      </c>
      <c r="W293">
        <f t="shared" si="102"/>
        <v>0</v>
      </c>
      <c r="X293" t="s">
        <v>29</v>
      </c>
      <c r="Y293" t="s">
        <v>49</v>
      </c>
      <c r="Z293" t="s">
        <v>52</v>
      </c>
      <c r="AA293" t="s">
        <v>42</v>
      </c>
      <c r="AB293">
        <v>1</v>
      </c>
      <c r="AC293">
        <v>3</v>
      </c>
      <c r="AD293">
        <v>0</v>
      </c>
      <c r="AE293" t="s">
        <v>44</v>
      </c>
      <c r="AF293" t="s">
        <v>43</v>
      </c>
      <c r="AG293">
        <f t="shared" si="103"/>
        <v>1</v>
      </c>
      <c r="AH293" t="s">
        <v>43</v>
      </c>
      <c r="AI293">
        <f t="shared" si="104"/>
        <v>1</v>
      </c>
      <c r="AJ293" t="s">
        <v>43</v>
      </c>
      <c r="AK293">
        <f t="shared" si="105"/>
        <v>1</v>
      </c>
      <c r="AL293">
        <f t="shared" si="106"/>
        <v>1</v>
      </c>
      <c r="AM293">
        <v>0</v>
      </c>
      <c r="AN293">
        <f t="shared" si="107"/>
        <v>0</v>
      </c>
      <c r="AO293">
        <f t="shared" si="108"/>
        <v>1</v>
      </c>
      <c r="AP293">
        <f t="shared" si="109"/>
        <v>0</v>
      </c>
      <c r="AQ293">
        <v>15</v>
      </c>
      <c r="AR293">
        <v>15</v>
      </c>
      <c r="AS293">
        <v>15</v>
      </c>
    </row>
    <row r="294" spans="1:45" x14ac:dyDescent="0.2">
      <c r="A294" t="s">
        <v>34</v>
      </c>
      <c r="B294" t="s">
        <v>35</v>
      </c>
      <c r="C294">
        <v>18</v>
      </c>
      <c r="D294" t="s">
        <v>36</v>
      </c>
      <c r="E294" t="s">
        <v>48</v>
      </c>
      <c r="F294" t="s">
        <v>45</v>
      </c>
      <c r="G294">
        <f t="shared" si="93"/>
        <v>1</v>
      </c>
      <c r="H294">
        <v>2</v>
      </c>
      <c r="I294">
        <f t="shared" si="94"/>
        <v>0</v>
      </c>
      <c r="J294">
        <f t="shared" si="95"/>
        <v>0</v>
      </c>
      <c r="K294">
        <f t="shared" si="96"/>
        <v>1</v>
      </c>
      <c r="L294">
        <f t="shared" si="97"/>
        <v>0</v>
      </c>
      <c r="M294">
        <f t="shared" si="98"/>
        <v>0</v>
      </c>
      <c r="N294">
        <v>1</v>
      </c>
      <c r="O294">
        <f t="shared" si="88"/>
        <v>0</v>
      </c>
      <c r="P294">
        <f t="shared" si="89"/>
        <v>1</v>
      </c>
      <c r="Q294">
        <f t="shared" si="90"/>
        <v>0</v>
      </c>
      <c r="R294">
        <f t="shared" si="91"/>
        <v>0</v>
      </c>
      <c r="S294">
        <f t="shared" si="92"/>
        <v>0</v>
      </c>
      <c r="T294">
        <f t="shared" si="99"/>
        <v>0</v>
      </c>
      <c r="U294">
        <f t="shared" si="100"/>
        <v>0</v>
      </c>
      <c r="V294">
        <f t="shared" si="101"/>
        <v>0</v>
      </c>
      <c r="W294">
        <f t="shared" si="102"/>
        <v>0</v>
      </c>
      <c r="X294" t="s">
        <v>49</v>
      </c>
      <c r="Y294" t="s">
        <v>39</v>
      </c>
      <c r="Z294" t="s">
        <v>52</v>
      </c>
      <c r="AA294" t="s">
        <v>42</v>
      </c>
      <c r="AB294">
        <v>1</v>
      </c>
      <c r="AC294">
        <v>2</v>
      </c>
      <c r="AD294">
        <v>1</v>
      </c>
      <c r="AE294" t="s">
        <v>44</v>
      </c>
      <c r="AF294" t="s">
        <v>44</v>
      </c>
      <c r="AG294">
        <f t="shared" si="103"/>
        <v>0</v>
      </c>
      <c r="AH294" t="s">
        <v>44</v>
      </c>
      <c r="AI294">
        <f t="shared" si="104"/>
        <v>0</v>
      </c>
      <c r="AJ294" t="s">
        <v>43</v>
      </c>
      <c r="AK294">
        <f t="shared" si="105"/>
        <v>1</v>
      </c>
      <c r="AL294">
        <f t="shared" si="106"/>
        <v>0</v>
      </c>
      <c r="AM294">
        <v>12</v>
      </c>
      <c r="AN294">
        <f t="shared" si="107"/>
        <v>0</v>
      </c>
      <c r="AO294">
        <f t="shared" si="108"/>
        <v>0</v>
      </c>
      <c r="AP294">
        <f t="shared" si="109"/>
        <v>0</v>
      </c>
      <c r="AQ294">
        <v>12</v>
      </c>
      <c r="AR294">
        <v>12</v>
      </c>
      <c r="AS294">
        <v>13</v>
      </c>
    </row>
    <row r="295" spans="1:45" x14ac:dyDescent="0.2">
      <c r="A295" t="s">
        <v>34</v>
      </c>
      <c r="B295" t="s">
        <v>35</v>
      </c>
      <c r="C295">
        <v>17</v>
      </c>
      <c r="D295" t="s">
        <v>53</v>
      </c>
      <c r="E295" t="s">
        <v>48</v>
      </c>
      <c r="F295" t="s">
        <v>45</v>
      </c>
      <c r="G295">
        <f t="shared" si="93"/>
        <v>1</v>
      </c>
      <c r="H295">
        <v>3</v>
      </c>
      <c r="I295">
        <f t="shared" si="94"/>
        <v>0</v>
      </c>
      <c r="J295">
        <f t="shared" si="95"/>
        <v>0</v>
      </c>
      <c r="K295">
        <f t="shared" si="96"/>
        <v>0</v>
      </c>
      <c r="L295">
        <f t="shared" si="97"/>
        <v>1</v>
      </c>
      <c r="M295">
        <f t="shared" si="98"/>
        <v>0</v>
      </c>
      <c r="N295">
        <v>1</v>
      </c>
      <c r="O295">
        <f t="shared" si="88"/>
        <v>0</v>
      </c>
      <c r="P295">
        <f t="shared" si="89"/>
        <v>1</v>
      </c>
      <c r="Q295">
        <f t="shared" si="90"/>
        <v>0</v>
      </c>
      <c r="R295">
        <f t="shared" si="91"/>
        <v>0</v>
      </c>
      <c r="S295">
        <f t="shared" si="92"/>
        <v>0</v>
      </c>
      <c r="T295">
        <f t="shared" si="99"/>
        <v>0</v>
      </c>
      <c r="U295">
        <f t="shared" si="100"/>
        <v>0</v>
      </c>
      <c r="V295">
        <f t="shared" si="101"/>
        <v>0</v>
      </c>
      <c r="W295">
        <f t="shared" si="102"/>
        <v>0</v>
      </c>
      <c r="X295" t="s">
        <v>49</v>
      </c>
      <c r="Y295" t="s">
        <v>46</v>
      </c>
      <c r="Z295" t="s">
        <v>52</v>
      </c>
      <c r="AA295" t="s">
        <v>42</v>
      </c>
      <c r="AB295">
        <v>2</v>
      </c>
      <c r="AC295">
        <v>4</v>
      </c>
      <c r="AD295">
        <v>0</v>
      </c>
      <c r="AE295" t="s">
        <v>44</v>
      </c>
      <c r="AF295" t="s">
        <v>43</v>
      </c>
      <c r="AG295">
        <f t="shared" si="103"/>
        <v>1</v>
      </c>
      <c r="AH295" t="s">
        <v>43</v>
      </c>
      <c r="AI295">
        <f t="shared" si="104"/>
        <v>1</v>
      </c>
      <c r="AJ295" t="s">
        <v>44</v>
      </c>
      <c r="AK295">
        <f t="shared" si="105"/>
        <v>0</v>
      </c>
      <c r="AL295">
        <f t="shared" si="106"/>
        <v>0</v>
      </c>
      <c r="AM295">
        <v>6</v>
      </c>
      <c r="AN295">
        <f t="shared" si="107"/>
        <v>0</v>
      </c>
      <c r="AO295">
        <f t="shared" si="108"/>
        <v>0</v>
      </c>
      <c r="AP295">
        <f t="shared" si="109"/>
        <v>1</v>
      </c>
      <c r="AQ295">
        <v>18</v>
      </c>
      <c r="AR295">
        <v>18</v>
      </c>
      <c r="AS295">
        <v>18</v>
      </c>
    </row>
    <row r="296" spans="1:45" x14ac:dyDescent="0.2">
      <c r="A296" t="s">
        <v>34</v>
      </c>
      <c r="B296" t="s">
        <v>51</v>
      </c>
      <c r="C296">
        <v>18</v>
      </c>
      <c r="D296" t="s">
        <v>53</v>
      </c>
      <c r="E296" t="s">
        <v>48</v>
      </c>
      <c r="F296" t="s">
        <v>45</v>
      </c>
      <c r="G296">
        <f t="shared" si="93"/>
        <v>1</v>
      </c>
      <c r="H296">
        <v>3</v>
      </c>
      <c r="I296">
        <f t="shared" si="94"/>
        <v>0</v>
      </c>
      <c r="J296">
        <f t="shared" si="95"/>
        <v>0</v>
      </c>
      <c r="K296">
        <f t="shared" si="96"/>
        <v>0</v>
      </c>
      <c r="L296">
        <f t="shared" si="97"/>
        <v>1</v>
      </c>
      <c r="M296">
        <f t="shared" si="98"/>
        <v>0</v>
      </c>
      <c r="N296">
        <v>2</v>
      </c>
      <c r="O296">
        <f t="shared" si="88"/>
        <v>0</v>
      </c>
      <c r="P296">
        <f t="shared" si="89"/>
        <v>0</v>
      </c>
      <c r="Q296">
        <f t="shared" si="90"/>
        <v>1</v>
      </c>
      <c r="R296">
        <f t="shared" si="91"/>
        <v>0</v>
      </c>
      <c r="S296">
        <f t="shared" si="92"/>
        <v>0</v>
      </c>
      <c r="T296">
        <f t="shared" si="99"/>
        <v>0</v>
      </c>
      <c r="U296">
        <f t="shared" si="100"/>
        <v>0</v>
      </c>
      <c r="V296">
        <f t="shared" si="101"/>
        <v>0</v>
      </c>
      <c r="W296">
        <f t="shared" si="102"/>
        <v>0</v>
      </c>
      <c r="X296" t="s">
        <v>49</v>
      </c>
      <c r="Y296" t="s">
        <v>46</v>
      </c>
      <c r="Z296" t="s">
        <v>52</v>
      </c>
      <c r="AA296" t="s">
        <v>42</v>
      </c>
      <c r="AB296">
        <v>2</v>
      </c>
      <c r="AC296">
        <v>3</v>
      </c>
      <c r="AD296">
        <v>0</v>
      </c>
      <c r="AE296" t="s">
        <v>44</v>
      </c>
      <c r="AF296" t="s">
        <v>43</v>
      </c>
      <c r="AG296">
        <f t="shared" si="103"/>
        <v>1</v>
      </c>
      <c r="AH296" t="s">
        <v>43</v>
      </c>
      <c r="AI296">
        <f t="shared" si="104"/>
        <v>1</v>
      </c>
      <c r="AJ296" t="s">
        <v>43</v>
      </c>
      <c r="AK296">
        <f t="shared" si="105"/>
        <v>1</v>
      </c>
      <c r="AL296">
        <f t="shared" si="106"/>
        <v>1</v>
      </c>
      <c r="AM296">
        <v>8</v>
      </c>
      <c r="AN296">
        <f t="shared" si="107"/>
        <v>0</v>
      </c>
      <c r="AO296">
        <f t="shared" si="108"/>
        <v>0</v>
      </c>
      <c r="AP296">
        <f t="shared" si="109"/>
        <v>1</v>
      </c>
      <c r="AQ296">
        <v>14</v>
      </c>
      <c r="AR296">
        <v>13</v>
      </c>
      <c r="AS296">
        <v>14</v>
      </c>
    </row>
    <row r="297" spans="1:45" x14ac:dyDescent="0.2">
      <c r="A297" t="s">
        <v>34</v>
      </c>
      <c r="B297" t="s">
        <v>51</v>
      </c>
      <c r="C297">
        <v>17</v>
      </c>
      <c r="D297" t="s">
        <v>36</v>
      </c>
      <c r="E297" t="s">
        <v>37</v>
      </c>
      <c r="F297" t="s">
        <v>45</v>
      </c>
      <c r="G297">
        <f t="shared" si="93"/>
        <v>1</v>
      </c>
      <c r="H297">
        <v>3</v>
      </c>
      <c r="I297">
        <f t="shared" si="94"/>
        <v>0</v>
      </c>
      <c r="J297">
        <f t="shared" si="95"/>
        <v>0</v>
      </c>
      <c r="K297">
        <f t="shared" si="96"/>
        <v>0</v>
      </c>
      <c r="L297">
        <f t="shared" si="97"/>
        <v>1</v>
      </c>
      <c r="M297">
        <f t="shared" si="98"/>
        <v>0</v>
      </c>
      <c r="N297">
        <v>3</v>
      </c>
      <c r="O297">
        <f t="shared" si="88"/>
        <v>0</v>
      </c>
      <c r="P297">
        <f t="shared" si="89"/>
        <v>0</v>
      </c>
      <c r="Q297">
        <f t="shared" si="90"/>
        <v>0</v>
      </c>
      <c r="R297">
        <f t="shared" si="91"/>
        <v>1</v>
      </c>
      <c r="S297">
        <f t="shared" si="92"/>
        <v>0</v>
      </c>
      <c r="T297">
        <f t="shared" si="99"/>
        <v>0</v>
      </c>
      <c r="U297">
        <f t="shared" si="100"/>
        <v>0</v>
      </c>
      <c r="V297">
        <f t="shared" si="101"/>
        <v>0</v>
      </c>
      <c r="W297">
        <f t="shared" si="102"/>
        <v>0</v>
      </c>
      <c r="X297" t="s">
        <v>29</v>
      </c>
      <c r="Y297" t="s">
        <v>46</v>
      </c>
      <c r="Z297" t="s">
        <v>50</v>
      </c>
      <c r="AA297" t="s">
        <v>42</v>
      </c>
      <c r="AB297">
        <v>1</v>
      </c>
      <c r="AC297">
        <v>1</v>
      </c>
      <c r="AD297">
        <v>0</v>
      </c>
      <c r="AE297" t="s">
        <v>44</v>
      </c>
      <c r="AF297" t="s">
        <v>43</v>
      </c>
      <c r="AG297">
        <f t="shared" si="103"/>
        <v>1</v>
      </c>
      <c r="AH297" t="s">
        <v>43</v>
      </c>
      <c r="AI297">
        <f t="shared" si="104"/>
        <v>1</v>
      </c>
      <c r="AJ297" t="s">
        <v>43</v>
      </c>
      <c r="AK297">
        <f t="shared" si="105"/>
        <v>1</v>
      </c>
      <c r="AL297">
        <f t="shared" si="106"/>
        <v>1</v>
      </c>
      <c r="AM297">
        <v>4</v>
      </c>
      <c r="AN297">
        <f t="shared" si="107"/>
        <v>0</v>
      </c>
      <c r="AO297">
        <f t="shared" si="108"/>
        <v>0</v>
      </c>
      <c r="AP297">
        <f t="shared" si="109"/>
        <v>1</v>
      </c>
      <c r="AQ297">
        <v>14</v>
      </c>
      <c r="AR297">
        <v>12</v>
      </c>
      <c r="AS297">
        <v>11</v>
      </c>
    </row>
    <row r="298" spans="1:45" x14ac:dyDescent="0.2">
      <c r="A298" t="s">
        <v>34</v>
      </c>
      <c r="B298" t="s">
        <v>35</v>
      </c>
      <c r="C298">
        <v>19</v>
      </c>
      <c r="D298" t="s">
        <v>36</v>
      </c>
      <c r="E298" t="s">
        <v>37</v>
      </c>
      <c r="F298" t="s">
        <v>45</v>
      </c>
      <c r="G298">
        <f t="shared" si="93"/>
        <v>1</v>
      </c>
      <c r="H298">
        <v>4</v>
      </c>
      <c r="I298">
        <f t="shared" si="94"/>
        <v>0</v>
      </c>
      <c r="J298">
        <f t="shared" si="95"/>
        <v>0</v>
      </c>
      <c r="K298">
        <f t="shared" si="96"/>
        <v>0</v>
      </c>
      <c r="L298">
        <f t="shared" si="97"/>
        <v>0</v>
      </c>
      <c r="M298">
        <f t="shared" si="98"/>
        <v>1</v>
      </c>
      <c r="N298">
        <v>4</v>
      </c>
      <c r="O298">
        <f t="shared" si="88"/>
        <v>0</v>
      </c>
      <c r="P298">
        <f t="shared" si="89"/>
        <v>0</v>
      </c>
      <c r="Q298">
        <f t="shared" si="90"/>
        <v>0</v>
      </c>
      <c r="R298">
        <f t="shared" si="91"/>
        <v>0</v>
      </c>
      <c r="S298">
        <f t="shared" si="92"/>
        <v>1</v>
      </c>
      <c r="T298">
        <f t="shared" si="99"/>
        <v>1</v>
      </c>
      <c r="U298">
        <f t="shared" si="100"/>
        <v>0</v>
      </c>
      <c r="V298">
        <f t="shared" si="101"/>
        <v>0</v>
      </c>
      <c r="W298">
        <f t="shared" si="102"/>
        <v>0</v>
      </c>
      <c r="X298" t="s">
        <v>29</v>
      </c>
      <c r="Y298" t="s">
        <v>46</v>
      </c>
      <c r="Z298" t="s">
        <v>52</v>
      </c>
      <c r="AA298" t="s">
        <v>46</v>
      </c>
      <c r="AB298">
        <v>2</v>
      </c>
      <c r="AC298">
        <v>2</v>
      </c>
      <c r="AD298">
        <v>0</v>
      </c>
      <c r="AE298" t="s">
        <v>44</v>
      </c>
      <c r="AF298" t="s">
        <v>43</v>
      </c>
      <c r="AG298">
        <f t="shared" si="103"/>
        <v>1</v>
      </c>
      <c r="AH298" t="s">
        <v>43</v>
      </c>
      <c r="AI298">
        <f t="shared" si="104"/>
        <v>1</v>
      </c>
      <c r="AJ298" t="s">
        <v>43</v>
      </c>
      <c r="AK298">
        <f t="shared" si="105"/>
        <v>1</v>
      </c>
      <c r="AL298">
        <f t="shared" si="106"/>
        <v>1</v>
      </c>
      <c r="AM298">
        <v>0</v>
      </c>
      <c r="AN298">
        <f t="shared" si="107"/>
        <v>0</v>
      </c>
      <c r="AO298">
        <f t="shared" si="108"/>
        <v>1</v>
      </c>
      <c r="AP298">
        <f t="shared" si="109"/>
        <v>0</v>
      </c>
      <c r="AQ298">
        <v>10</v>
      </c>
      <c r="AR298">
        <v>9</v>
      </c>
      <c r="AS298">
        <v>0</v>
      </c>
    </row>
    <row r="299" spans="1:45" x14ac:dyDescent="0.2">
      <c r="A299" t="s">
        <v>34</v>
      </c>
      <c r="B299" t="s">
        <v>35</v>
      </c>
      <c r="C299">
        <v>18</v>
      </c>
      <c r="D299" t="s">
        <v>36</v>
      </c>
      <c r="E299" t="s">
        <v>48</v>
      </c>
      <c r="F299" t="s">
        <v>45</v>
      </c>
      <c r="G299">
        <f t="shared" si="93"/>
        <v>1</v>
      </c>
      <c r="H299">
        <v>4</v>
      </c>
      <c r="I299">
        <f t="shared" si="94"/>
        <v>0</v>
      </c>
      <c r="J299">
        <f t="shared" si="95"/>
        <v>0</v>
      </c>
      <c r="K299">
        <f t="shared" si="96"/>
        <v>0</v>
      </c>
      <c r="L299">
        <f t="shared" si="97"/>
        <v>0</v>
      </c>
      <c r="M299">
        <f t="shared" si="98"/>
        <v>1</v>
      </c>
      <c r="N299">
        <v>3</v>
      </c>
      <c r="O299">
        <f t="shared" si="88"/>
        <v>0</v>
      </c>
      <c r="P299">
        <f t="shared" si="89"/>
        <v>0</v>
      </c>
      <c r="Q299">
        <f t="shared" si="90"/>
        <v>0</v>
      </c>
      <c r="R299">
        <f t="shared" si="91"/>
        <v>1</v>
      </c>
      <c r="S299">
        <f t="shared" si="92"/>
        <v>0</v>
      </c>
      <c r="T299">
        <f t="shared" si="99"/>
        <v>0</v>
      </c>
      <c r="U299">
        <f t="shared" si="100"/>
        <v>1</v>
      </c>
      <c r="V299">
        <f t="shared" si="101"/>
        <v>0</v>
      </c>
      <c r="W299">
        <f t="shared" si="102"/>
        <v>0</v>
      </c>
      <c r="X299" t="s">
        <v>46</v>
      </c>
      <c r="Y299" t="s">
        <v>46</v>
      </c>
      <c r="Z299" t="s">
        <v>50</v>
      </c>
      <c r="AA299" t="s">
        <v>46</v>
      </c>
      <c r="AB299">
        <v>2</v>
      </c>
      <c r="AC299">
        <v>2</v>
      </c>
      <c r="AD299">
        <v>0</v>
      </c>
      <c r="AE299" t="s">
        <v>44</v>
      </c>
      <c r="AF299" t="s">
        <v>43</v>
      </c>
      <c r="AG299">
        <f t="shared" si="103"/>
        <v>1</v>
      </c>
      <c r="AH299" t="s">
        <v>43</v>
      </c>
      <c r="AI299">
        <f t="shared" si="104"/>
        <v>1</v>
      </c>
      <c r="AJ299" t="s">
        <v>43</v>
      </c>
      <c r="AK299">
        <f t="shared" si="105"/>
        <v>1</v>
      </c>
      <c r="AL299">
        <f t="shared" si="106"/>
        <v>1</v>
      </c>
      <c r="AM299">
        <v>10</v>
      </c>
      <c r="AN299">
        <f t="shared" si="107"/>
        <v>0</v>
      </c>
      <c r="AO299">
        <f t="shared" si="108"/>
        <v>1</v>
      </c>
      <c r="AP299">
        <f t="shared" si="109"/>
        <v>0</v>
      </c>
      <c r="AQ299">
        <v>10</v>
      </c>
      <c r="AR299">
        <v>8</v>
      </c>
      <c r="AS299">
        <v>8</v>
      </c>
    </row>
    <row r="300" spans="1:45" x14ac:dyDescent="0.2">
      <c r="A300" t="s">
        <v>34</v>
      </c>
      <c r="B300" t="s">
        <v>35</v>
      </c>
      <c r="C300">
        <v>18</v>
      </c>
      <c r="D300" t="s">
        <v>36</v>
      </c>
      <c r="E300" t="s">
        <v>37</v>
      </c>
      <c r="F300" t="s">
        <v>45</v>
      </c>
      <c r="G300">
        <f t="shared" si="93"/>
        <v>1</v>
      </c>
      <c r="H300">
        <v>4</v>
      </c>
      <c r="I300">
        <f t="shared" si="94"/>
        <v>0</v>
      </c>
      <c r="J300">
        <f t="shared" si="95"/>
        <v>0</v>
      </c>
      <c r="K300">
        <f t="shared" si="96"/>
        <v>0</v>
      </c>
      <c r="L300">
        <f t="shared" si="97"/>
        <v>0</v>
      </c>
      <c r="M300">
        <f t="shared" si="98"/>
        <v>1</v>
      </c>
      <c r="N300">
        <v>3</v>
      </c>
      <c r="O300">
        <f t="shared" si="88"/>
        <v>0</v>
      </c>
      <c r="P300">
        <f t="shared" si="89"/>
        <v>0</v>
      </c>
      <c r="Q300">
        <f t="shared" si="90"/>
        <v>0</v>
      </c>
      <c r="R300">
        <f t="shared" si="91"/>
        <v>1</v>
      </c>
      <c r="S300">
        <f t="shared" si="92"/>
        <v>0</v>
      </c>
      <c r="T300">
        <f t="shared" si="99"/>
        <v>0</v>
      </c>
      <c r="U300">
        <f t="shared" si="100"/>
        <v>1</v>
      </c>
      <c r="V300">
        <f t="shared" si="101"/>
        <v>0</v>
      </c>
      <c r="W300">
        <f t="shared" si="102"/>
        <v>0</v>
      </c>
      <c r="X300" t="s">
        <v>46</v>
      </c>
      <c r="Y300" t="s">
        <v>46</v>
      </c>
      <c r="Z300" t="s">
        <v>52</v>
      </c>
      <c r="AA300" t="s">
        <v>47</v>
      </c>
      <c r="AB300">
        <v>1</v>
      </c>
      <c r="AC300">
        <v>4</v>
      </c>
      <c r="AD300">
        <v>0</v>
      </c>
      <c r="AE300" t="s">
        <v>44</v>
      </c>
      <c r="AF300" t="s">
        <v>43</v>
      </c>
      <c r="AG300">
        <f t="shared" si="103"/>
        <v>1</v>
      </c>
      <c r="AH300" t="s">
        <v>43</v>
      </c>
      <c r="AI300">
        <f t="shared" si="104"/>
        <v>1</v>
      </c>
      <c r="AJ300" t="s">
        <v>43</v>
      </c>
      <c r="AK300">
        <f t="shared" si="105"/>
        <v>1</v>
      </c>
      <c r="AL300">
        <f t="shared" si="106"/>
        <v>1</v>
      </c>
      <c r="AM300">
        <v>0</v>
      </c>
      <c r="AN300">
        <f t="shared" si="107"/>
        <v>0</v>
      </c>
      <c r="AO300">
        <f t="shared" si="108"/>
        <v>1</v>
      </c>
      <c r="AP300">
        <f t="shared" si="109"/>
        <v>0</v>
      </c>
      <c r="AQ300">
        <v>14</v>
      </c>
      <c r="AR300">
        <v>13</v>
      </c>
      <c r="AS300">
        <v>14</v>
      </c>
    </row>
    <row r="301" spans="1:45" x14ac:dyDescent="0.2">
      <c r="A301" t="s">
        <v>34</v>
      </c>
      <c r="B301" t="s">
        <v>51</v>
      </c>
      <c r="C301">
        <v>18</v>
      </c>
      <c r="D301" t="s">
        <v>36</v>
      </c>
      <c r="E301" t="s">
        <v>48</v>
      </c>
      <c r="F301" t="s">
        <v>45</v>
      </c>
      <c r="G301">
        <f t="shared" si="93"/>
        <v>1</v>
      </c>
      <c r="H301">
        <v>4</v>
      </c>
      <c r="I301">
        <f t="shared" si="94"/>
        <v>0</v>
      </c>
      <c r="J301">
        <f t="shared" si="95"/>
        <v>0</v>
      </c>
      <c r="K301">
        <f t="shared" si="96"/>
        <v>0</v>
      </c>
      <c r="L301">
        <f t="shared" si="97"/>
        <v>0</v>
      </c>
      <c r="M301">
        <f t="shared" si="98"/>
        <v>1</v>
      </c>
      <c r="N301">
        <v>4</v>
      </c>
      <c r="O301">
        <f t="shared" si="88"/>
        <v>0</v>
      </c>
      <c r="P301">
        <f t="shared" si="89"/>
        <v>0</v>
      </c>
      <c r="Q301">
        <f t="shared" si="90"/>
        <v>0</v>
      </c>
      <c r="R301">
        <f t="shared" si="91"/>
        <v>0</v>
      </c>
      <c r="S301">
        <f t="shared" si="92"/>
        <v>1</v>
      </c>
      <c r="T301">
        <f t="shared" si="99"/>
        <v>1</v>
      </c>
      <c r="U301">
        <f t="shared" si="100"/>
        <v>0</v>
      </c>
      <c r="V301">
        <f t="shared" si="101"/>
        <v>0</v>
      </c>
      <c r="W301">
        <f t="shared" si="102"/>
        <v>0</v>
      </c>
      <c r="X301" t="s">
        <v>40</v>
      </c>
      <c r="Y301" t="s">
        <v>40</v>
      </c>
      <c r="Z301" t="s">
        <v>50</v>
      </c>
      <c r="AA301" t="s">
        <v>42</v>
      </c>
      <c r="AB301">
        <v>1</v>
      </c>
      <c r="AC301">
        <v>1</v>
      </c>
      <c r="AD301">
        <v>0</v>
      </c>
      <c r="AE301" t="s">
        <v>44</v>
      </c>
      <c r="AF301" t="s">
        <v>43</v>
      </c>
      <c r="AG301">
        <f t="shared" si="103"/>
        <v>1</v>
      </c>
      <c r="AH301" t="s">
        <v>43</v>
      </c>
      <c r="AI301">
        <f t="shared" si="104"/>
        <v>1</v>
      </c>
      <c r="AJ301" t="s">
        <v>43</v>
      </c>
      <c r="AK301">
        <f t="shared" si="105"/>
        <v>1</v>
      </c>
      <c r="AL301">
        <f t="shared" si="106"/>
        <v>1</v>
      </c>
      <c r="AM301">
        <v>5</v>
      </c>
      <c r="AN301">
        <f t="shared" si="107"/>
        <v>0</v>
      </c>
      <c r="AO301">
        <f t="shared" si="108"/>
        <v>1</v>
      </c>
      <c r="AP301">
        <f t="shared" si="109"/>
        <v>0</v>
      </c>
      <c r="AQ301">
        <v>16</v>
      </c>
      <c r="AR301">
        <v>15</v>
      </c>
      <c r="AS301">
        <v>16</v>
      </c>
    </row>
    <row r="302" spans="1:45" x14ac:dyDescent="0.2">
      <c r="A302" t="s">
        <v>34</v>
      </c>
      <c r="B302" t="s">
        <v>35</v>
      </c>
      <c r="C302">
        <v>18</v>
      </c>
      <c r="D302" t="s">
        <v>36</v>
      </c>
      <c r="E302" t="s">
        <v>48</v>
      </c>
      <c r="F302" t="s">
        <v>38</v>
      </c>
      <c r="G302">
        <f t="shared" si="93"/>
        <v>0</v>
      </c>
      <c r="H302">
        <v>4</v>
      </c>
      <c r="I302">
        <f t="shared" si="94"/>
        <v>0</v>
      </c>
      <c r="J302">
        <f t="shared" si="95"/>
        <v>0</v>
      </c>
      <c r="K302">
        <f t="shared" si="96"/>
        <v>0</v>
      </c>
      <c r="L302">
        <f t="shared" si="97"/>
        <v>0</v>
      </c>
      <c r="M302">
        <f t="shared" si="98"/>
        <v>1</v>
      </c>
      <c r="N302">
        <v>4</v>
      </c>
      <c r="O302">
        <f t="shared" si="88"/>
        <v>0</v>
      </c>
      <c r="P302">
        <f t="shared" si="89"/>
        <v>0</v>
      </c>
      <c r="Q302">
        <f t="shared" si="90"/>
        <v>0</v>
      </c>
      <c r="R302">
        <f t="shared" si="91"/>
        <v>0</v>
      </c>
      <c r="S302">
        <f t="shared" si="92"/>
        <v>1</v>
      </c>
      <c r="T302">
        <f t="shared" si="99"/>
        <v>1</v>
      </c>
      <c r="U302">
        <f t="shared" si="100"/>
        <v>0</v>
      </c>
      <c r="V302">
        <f t="shared" si="101"/>
        <v>0</v>
      </c>
      <c r="W302">
        <f t="shared" si="102"/>
        <v>0</v>
      </c>
      <c r="X302" t="s">
        <v>29</v>
      </c>
      <c r="Y302" t="s">
        <v>46</v>
      </c>
      <c r="Z302" t="s">
        <v>50</v>
      </c>
      <c r="AA302" t="s">
        <v>42</v>
      </c>
      <c r="AB302">
        <v>1</v>
      </c>
      <c r="AC302">
        <v>2</v>
      </c>
      <c r="AD302">
        <v>0</v>
      </c>
      <c r="AE302" t="s">
        <v>44</v>
      </c>
      <c r="AF302" t="s">
        <v>43</v>
      </c>
      <c r="AG302">
        <f t="shared" si="103"/>
        <v>1</v>
      </c>
      <c r="AH302" t="s">
        <v>44</v>
      </c>
      <c r="AI302">
        <f t="shared" si="104"/>
        <v>0</v>
      </c>
      <c r="AJ302" t="s">
        <v>43</v>
      </c>
      <c r="AK302">
        <f t="shared" si="105"/>
        <v>1</v>
      </c>
      <c r="AL302">
        <f t="shared" si="106"/>
        <v>0</v>
      </c>
      <c r="AM302">
        <v>14</v>
      </c>
      <c r="AN302">
        <f t="shared" si="107"/>
        <v>1</v>
      </c>
      <c r="AO302">
        <f t="shared" si="108"/>
        <v>0</v>
      </c>
      <c r="AP302">
        <f t="shared" si="109"/>
        <v>0</v>
      </c>
      <c r="AQ302">
        <v>12</v>
      </c>
      <c r="AR302">
        <v>10</v>
      </c>
      <c r="AS302">
        <v>11</v>
      </c>
    </row>
    <row r="303" spans="1:45" x14ac:dyDescent="0.2">
      <c r="A303" t="s">
        <v>34</v>
      </c>
      <c r="B303" t="s">
        <v>51</v>
      </c>
      <c r="C303">
        <v>17</v>
      </c>
      <c r="D303" t="s">
        <v>36</v>
      </c>
      <c r="E303" t="s">
        <v>48</v>
      </c>
      <c r="F303" t="s">
        <v>45</v>
      </c>
      <c r="G303">
        <f t="shared" si="93"/>
        <v>1</v>
      </c>
      <c r="H303">
        <v>4</v>
      </c>
      <c r="I303">
        <f t="shared" si="94"/>
        <v>0</v>
      </c>
      <c r="J303">
        <f t="shared" si="95"/>
        <v>0</v>
      </c>
      <c r="K303">
        <f t="shared" si="96"/>
        <v>0</v>
      </c>
      <c r="L303">
        <f t="shared" si="97"/>
        <v>0</v>
      </c>
      <c r="M303">
        <f t="shared" si="98"/>
        <v>1</v>
      </c>
      <c r="N303">
        <v>4</v>
      </c>
      <c r="O303">
        <f t="shared" si="88"/>
        <v>0</v>
      </c>
      <c r="P303">
        <f t="shared" si="89"/>
        <v>0</v>
      </c>
      <c r="Q303">
        <f t="shared" si="90"/>
        <v>0</v>
      </c>
      <c r="R303">
        <f t="shared" si="91"/>
        <v>0</v>
      </c>
      <c r="S303">
        <f t="shared" si="92"/>
        <v>1</v>
      </c>
      <c r="T303">
        <f t="shared" si="99"/>
        <v>1</v>
      </c>
      <c r="U303">
        <f t="shared" si="100"/>
        <v>0</v>
      </c>
      <c r="V303">
        <f t="shared" si="101"/>
        <v>0</v>
      </c>
      <c r="W303">
        <f t="shared" si="102"/>
        <v>0</v>
      </c>
      <c r="X303" t="s">
        <v>46</v>
      </c>
      <c r="Y303" t="s">
        <v>40</v>
      </c>
      <c r="Z303" t="s">
        <v>50</v>
      </c>
      <c r="AA303" t="s">
        <v>47</v>
      </c>
      <c r="AB303">
        <v>2</v>
      </c>
      <c r="AC303">
        <v>1</v>
      </c>
      <c r="AD303">
        <v>0</v>
      </c>
      <c r="AE303" t="s">
        <v>44</v>
      </c>
      <c r="AF303" t="s">
        <v>44</v>
      </c>
      <c r="AG303">
        <f t="shared" si="103"/>
        <v>0</v>
      </c>
      <c r="AH303" t="s">
        <v>43</v>
      </c>
      <c r="AI303">
        <f t="shared" si="104"/>
        <v>1</v>
      </c>
      <c r="AJ303" t="s">
        <v>43</v>
      </c>
      <c r="AK303">
        <f t="shared" si="105"/>
        <v>1</v>
      </c>
      <c r="AL303">
        <f t="shared" si="106"/>
        <v>1</v>
      </c>
      <c r="AM303">
        <v>0</v>
      </c>
      <c r="AN303">
        <f t="shared" si="107"/>
        <v>0</v>
      </c>
      <c r="AO303">
        <f t="shared" si="108"/>
        <v>1</v>
      </c>
      <c r="AP303">
        <f t="shared" si="109"/>
        <v>0</v>
      </c>
      <c r="AQ303">
        <v>11</v>
      </c>
      <c r="AR303">
        <v>11</v>
      </c>
      <c r="AS303">
        <v>10</v>
      </c>
    </row>
    <row r="304" spans="1:45" x14ac:dyDescent="0.2">
      <c r="A304" t="s">
        <v>34</v>
      </c>
      <c r="B304" t="s">
        <v>35</v>
      </c>
      <c r="C304">
        <v>17</v>
      </c>
      <c r="D304" t="s">
        <v>36</v>
      </c>
      <c r="E304" t="s">
        <v>37</v>
      </c>
      <c r="F304" t="s">
        <v>45</v>
      </c>
      <c r="G304">
        <f t="shared" si="93"/>
        <v>1</v>
      </c>
      <c r="H304">
        <v>4</v>
      </c>
      <c r="I304">
        <f t="shared" si="94"/>
        <v>0</v>
      </c>
      <c r="J304">
        <f t="shared" si="95"/>
        <v>0</v>
      </c>
      <c r="K304">
        <f t="shared" si="96"/>
        <v>0</v>
      </c>
      <c r="L304">
        <f t="shared" si="97"/>
        <v>0</v>
      </c>
      <c r="M304">
        <f t="shared" si="98"/>
        <v>1</v>
      </c>
      <c r="N304">
        <v>2</v>
      </c>
      <c r="O304">
        <f t="shared" si="88"/>
        <v>0</v>
      </c>
      <c r="P304">
        <f t="shared" si="89"/>
        <v>0</v>
      </c>
      <c r="Q304">
        <f t="shared" si="90"/>
        <v>1</v>
      </c>
      <c r="R304">
        <f t="shared" si="91"/>
        <v>0</v>
      </c>
      <c r="S304">
        <f t="shared" si="92"/>
        <v>0</v>
      </c>
      <c r="T304">
        <f t="shared" si="99"/>
        <v>0</v>
      </c>
      <c r="U304">
        <f t="shared" si="100"/>
        <v>0</v>
      </c>
      <c r="V304">
        <f t="shared" si="101"/>
        <v>1</v>
      </c>
      <c r="W304">
        <f t="shared" si="102"/>
        <v>0</v>
      </c>
      <c r="X304" t="s">
        <v>46</v>
      </c>
      <c r="Y304" t="s">
        <v>46</v>
      </c>
      <c r="Z304" t="s">
        <v>52</v>
      </c>
      <c r="AA304" t="s">
        <v>42</v>
      </c>
      <c r="AB304">
        <v>2</v>
      </c>
      <c r="AC304">
        <v>3</v>
      </c>
      <c r="AD304">
        <v>0</v>
      </c>
      <c r="AE304" t="s">
        <v>44</v>
      </c>
      <c r="AF304" t="s">
        <v>43</v>
      </c>
      <c r="AG304">
        <f t="shared" si="103"/>
        <v>1</v>
      </c>
      <c r="AH304" t="s">
        <v>43</v>
      </c>
      <c r="AI304">
        <f t="shared" si="104"/>
        <v>1</v>
      </c>
      <c r="AJ304" t="s">
        <v>43</v>
      </c>
      <c r="AK304">
        <f t="shared" si="105"/>
        <v>1</v>
      </c>
      <c r="AL304">
        <f t="shared" si="106"/>
        <v>1</v>
      </c>
      <c r="AM304">
        <v>0</v>
      </c>
      <c r="AN304">
        <f t="shared" si="107"/>
        <v>0</v>
      </c>
      <c r="AO304">
        <f t="shared" si="108"/>
        <v>1</v>
      </c>
      <c r="AP304">
        <f t="shared" si="109"/>
        <v>0</v>
      </c>
      <c r="AQ304">
        <v>15</v>
      </c>
      <c r="AR304">
        <v>12</v>
      </c>
      <c r="AS304">
        <v>14</v>
      </c>
    </row>
    <row r="305" spans="1:45" x14ac:dyDescent="0.2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f t="shared" si="93"/>
        <v>1</v>
      </c>
      <c r="H305">
        <v>3</v>
      </c>
      <c r="I305">
        <f t="shared" si="94"/>
        <v>0</v>
      </c>
      <c r="J305">
        <f t="shared" si="95"/>
        <v>0</v>
      </c>
      <c r="K305">
        <f t="shared" si="96"/>
        <v>0</v>
      </c>
      <c r="L305">
        <f t="shared" si="97"/>
        <v>1</v>
      </c>
      <c r="M305">
        <f t="shared" si="98"/>
        <v>0</v>
      </c>
      <c r="N305">
        <v>2</v>
      </c>
      <c r="O305">
        <f t="shared" si="88"/>
        <v>0</v>
      </c>
      <c r="P305">
        <f t="shared" si="89"/>
        <v>0</v>
      </c>
      <c r="Q305">
        <f t="shared" si="90"/>
        <v>1</v>
      </c>
      <c r="R305">
        <f t="shared" si="91"/>
        <v>0</v>
      </c>
      <c r="S305">
        <f t="shared" si="92"/>
        <v>0</v>
      </c>
      <c r="T305">
        <f t="shared" si="99"/>
        <v>0</v>
      </c>
      <c r="U305">
        <f t="shared" si="100"/>
        <v>0</v>
      </c>
      <c r="V305">
        <f t="shared" si="101"/>
        <v>0</v>
      </c>
      <c r="W305">
        <f t="shared" si="102"/>
        <v>0</v>
      </c>
      <c r="X305" t="s">
        <v>29</v>
      </c>
      <c r="Y305" t="s">
        <v>29</v>
      </c>
      <c r="Z305" t="s">
        <v>52</v>
      </c>
      <c r="AA305" t="s">
        <v>47</v>
      </c>
      <c r="AB305">
        <v>1</v>
      </c>
      <c r="AC305">
        <v>4</v>
      </c>
      <c r="AD305">
        <v>0</v>
      </c>
      <c r="AE305" t="s">
        <v>44</v>
      </c>
      <c r="AF305" t="s">
        <v>43</v>
      </c>
      <c r="AG305">
        <f t="shared" si="103"/>
        <v>1</v>
      </c>
      <c r="AH305" t="s">
        <v>43</v>
      </c>
      <c r="AI305">
        <f t="shared" si="104"/>
        <v>1</v>
      </c>
      <c r="AJ305" t="s">
        <v>43</v>
      </c>
      <c r="AK305">
        <f t="shared" si="105"/>
        <v>1</v>
      </c>
      <c r="AL305">
        <f t="shared" si="106"/>
        <v>1</v>
      </c>
      <c r="AM305">
        <v>0</v>
      </c>
      <c r="AN305">
        <f t="shared" si="107"/>
        <v>0</v>
      </c>
      <c r="AO305">
        <f t="shared" si="108"/>
        <v>0</v>
      </c>
      <c r="AP305">
        <f t="shared" si="109"/>
        <v>1</v>
      </c>
      <c r="AQ305">
        <v>17</v>
      </c>
      <c r="AR305">
        <v>17</v>
      </c>
      <c r="AS305">
        <v>18</v>
      </c>
    </row>
    <row r="306" spans="1:45" x14ac:dyDescent="0.2">
      <c r="A306" t="s">
        <v>34</v>
      </c>
      <c r="B306" t="s">
        <v>51</v>
      </c>
      <c r="C306">
        <v>19</v>
      </c>
      <c r="D306" t="s">
        <v>36</v>
      </c>
      <c r="E306" t="s">
        <v>37</v>
      </c>
      <c r="F306" t="s">
        <v>45</v>
      </c>
      <c r="G306">
        <f t="shared" si="93"/>
        <v>1</v>
      </c>
      <c r="H306">
        <v>3</v>
      </c>
      <c r="I306">
        <f t="shared" si="94"/>
        <v>0</v>
      </c>
      <c r="J306">
        <f t="shared" si="95"/>
        <v>0</v>
      </c>
      <c r="K306">
        <f t="shared" si="96"/>
        <v>0</v>
      </c>
      <c r="L306">
        <f t="shared" si="97"/>
        <v>1</v>
      </c>
      <c r="M306">
        <f t="shared" si="98"/>
        <v>0</v>
      </c>
      <c r="N306">
        <v>3</v>
      </c>
      <c r="O306">
        <f t="shared" si="88"/>
        <v>0</v>
      </c>
      <c r="P306">
        <f t="shared" si="89"/>
        <v>0</v>
      </c>
      <c r="Q306">
        <f t="shared" si="90"/>
        <v>0</v>
      </c>
      <c r="R306">
        <f t="shared" si="91"/>
        <v>1</v>
      </c>
      <c r="S306">
        <f t="shared" si="92"/>
        <v>0</v>
      </c>
      <c r="T306">
        <f t="shared" si="99"/>
        <v>0</v>
      </c>
      <c r="U306">
        <f t="shared" si="100"/>
        <v>0</v>
      </c>
      <c r="V306">
        <f t="shared" si="101"/>
        <v>0</v>
      </c>
      <c r="W306">
        <f t="shared" si="102"/>
        <v>0</v>
      </c>
      <c r="X306" t="s">
        <v>46</v>
      </c>
      <c r="Y306" t="s">
        <v>46</v>
      </c>
      <c r="Z306" t="s">
        <v>50</v>
      </c>
      <c r="AA306" t="s">
        <v>46</v>
      </c>
      <c r="AB306">
        <v>1</v>
      </c>
      <c r="AC306">
        <v>2</v>
      </c>
      <c r="AD306">
        <v>1</v>
      </c>
      <c r="AE306" t="s">
        <v>44</v>
      </c>
      <c r="AF306" t="s">
        <v>43</v>
      </c>
      <c r="AG306">
        <f t="shared" si="103"/>
        <v>1</v>
      </c>
      <c r="AH306" t="s">
        <v>44</v>
      </c>
      <c r="AI306">
        <f t="shared" si="104"/>
        <v>0</v>
      </c>
      <c r="AJ306" t="s">
        <v>43</v>
      </c>
      <c r="AK306">
        <f t="shared" si="105"/>
        <v>1</v>
      </c>
      <c r="AL306">
        <f t="shared" si="106"/>
        <v>0</v>
      </c>
      <c r="AM306">
        <v>20</v>
      </c>
      <c r="AN306">
        <f t="shared" si="107"/>
        <v>0</v>
      </c>
      <c r="AO306">
        <f t="shared" si="108"/>
        <v>0</v>
      </c>
      <c r="AP306">
        <f t="shared" si="109"/>
        <v>0</v>
      </c>
      <c r="AQ306">
        <v>15</v>
      </c>
      <c r="AR306">
        <v>14</v>
      </c>
      <c r="AS306">
        <v>13</v>
      </c>
    </row>
    <row r="307" spans="1:45" x14ac:dyDescent="0.2">
      <c r="A307" t="s">
        <v>34</v>
      </c>
      <c r="B307" t="s">
        <v>35</v>
      </c>
      <c r="C307">
        <v>18</v>
      </c>
      <c r="D307" t="s">
        <v>36</v>
      </c>
      <c r="E307" t="s">
        <v>37</v>
      </c>
      <c r="F307" t="s">
        <v>45</v>
      </c>
      <c r="G307">
        <f t="shared" si="93"/>
        <v>1</v>
      </c>
      <c r="H307">
        <v>2</v>
      </c>
      <c r="I307">
        <f t="shared" si="94"/>
        <v>0</v>
      </c>
      <c r="J307">
        <f t="shared" si="95"/>
        <v>0</v>
      </c>
      <c r="K307">
        <f t="shared" si="96"/>
        <v>1</v>
      </c>
      <c r="L307">
        <f t="shared" si="97"/>
        <v>0</v>
      </c>
      <c r="M307">
        <f t="shared" si="98"/>
        <v>0</v>
      </c>
      <c r="N307">
        <v>4</v>
      </c>
      <c r="O307">
        <f t="shared" si="88"/>
        <v>0</v>
      </c>
      <c r="P307">
        <f t="shared" si="89"/>
        <v>0</v>
      </c>
      <c r="Q307">
        <f t="shared" si="90"/>
        <v>0</v>
      </c>
      <c r="R307">
        <f t="shared" si="91"/>
        <v>0</v>
      </c>
      <c r="S307">
        <f t="shared" si="92"/>
        <v>1</v>
      </c>
      <c r="T307">
        <f t="shared" si="99"/>
        <v>0</v>
      </c>
      <c r="U307">
        <f t="shared" si="100"/>
        <v>0</v>
      </c>
      <c r="V307">
        <f t="shared" si="101"/>
        <v>0</v>
      </c>
      <c r="W307">
        <f t="shared" si="102"/>
        <v>0</v>
      </c>
      <c r="X307" t="s">
        <v>49</v>
      </c>
      <c r="Y307" t="s">
        <v>39</v>
      </c>
      <c r="Z307" t="s">
        <v>52</v>
      </c>
      <c r="AA307" t="s">
        <v>46</v>
      </c>
      <c r="AB307">
        <v>1</v>
      </c>
      <c r="AC307">
        <v>2</v>
      </c>
      <c r="AD307">
        <v>1</v>
      </c>
      <c r="AE307" t="s">
        <v>44</v>
      </c>
      <c r="AF307" t="s">
        <v>43</v>
      </c>
      <c r="AG307">
        <f t="shared" si="103"/>
        <v>1</v>
      </c>
      <c r="AH307" t="s">
        <v>43</v>
      </c>
      <c r="AI307">
        <f t="shared" si="104"/>
        <v>1</v>
      </c>
      <c r="AJ307" t="s">
        <v>43</v>
      </c>
      <c r="AK307">
        <f t="shared" si="105"/>
        <v>1</v>
      </c>
      <c r="AL307">
        <f t="shared" si="106"/>
        <v>1</v>
      </c>
      <c r="AM307">
        <v>8</v>
      </c>
      <c r="AN307">
        <f t="shared" si="107"/>
        <v>0</v>
      </c>
      <c r="AO307">
        <f t="shared" si="108"/>
        <v>0</v>
      </c>
      <c r="AP307">
        <f t="shared" si="109"/>
        <v>0</v>
      </c>
      <c r="AQ307">
        <v>14</v>
      </c>
      <c r="AR307">
        <v>12</v>
      </c>
      <c r="AS307">
        <v>12</v>
      </c>
    </row>
    <row r="308" spans="1:45" x14ac:dyDescent="0.2">
      <c r="A308" t="s">
        <v>34</v>
      </c>
      <c r="B308" t="s">
        <v>51</v>
      </c>
      <c r="C308">
        <v>20</v>
      </c>
      <c r="D308" t="s">
        <v>36</v>
      </c>
      <c r="E308" t="s">
        <v>37</v>
      </c>
      <c r="F308" t="s">
        <v>38</v>
      </c>
      <c r="G308">
        <f t="shared" si="93"/>
        <v>0</v>
      </c>
      <c r="H308">
        <v>3</v>
      </c>
      <c r="I308">
        <f t="shared" si="94"/>
        <v>0</v>
      </c>
      <c r="J308">
        <f t="shared" si="95"/>
        <v>0</v>
      </c>
      <c r="K308">
        <f t="shared" si="96"/>
        <v>0</v>
      </c>
      <c r="L308">
        <f t="shared" si="97"/>
        <v>1</v>
      </c>
      <c r="M308">
        <f t="shared" si="98"/>
        <v>0</v>
      </c>
      <c r="N308">
        <v>2</v>
      </c>
      <c r="O308">
        <f t="shared" si="88"/>
        <v>0</v>
      </c>
      <c r="P308">
        <f t="shared" si="89"/>
        <v>0</v>
      </c>
      <c r="Q308">
        <f t="shared" si="90"/>
        <v>1</v>
      </c>
      <c r="R308">
        <f t="shared" si="91"/>
        <v>0</v>
      </c>
      <c r="S308">
        <f t="shared" si="92"/>
        <v>0</v>
      </c>
      <c r="T308">
        <f t="shared" si="99"/>
        <v>0</v>
      </c>
      <c r="U308">
        <f t="shared" si="100"/>
        <v>0</v>
      </c>
      <c r="V308">
        <f t="shared" si="101"/>
        <v>0</v>
      </c>
      <c r="W308">
        <f t="shared" si="102"/>
        <v>0</v>
      </c>
      <c r="X308" t="s">
        <v>49</v>
      </c>
      <c r="Y308" t="s">
        <v>46</v>
      </c>
      <c r="Z308" t="s">
        <v>41</v>
      </c>
      <c r="AA308" t="s">
        <v>46</v>
      </c>
      <c r="AB308">
        <v>1</v>
      </c>
      <c r="AC308">
        <v>1</v>
      </c>
      <c r="AD308">
        <v>0</v>
      </c>
      <c r="AE308" t="s">
        <v>44</v>
      </c>
      <c r="AF308" t="s">
        <v>44</v>
      </c>
      <c r="AG308">
        <f t="shared" si="103"/>
        <v>0</v>
      </c>
      <c r="AH308" t="s">
        <v>44</v>
      </c>
      <c r="AI308">
        <f t="shared" si="104"/>
        <v>0</v>
      </c>
      <c r="AJ308" t="s">
        <v>44</v>
      </c>
      <c r="AK308">
        <f t="shared" si="105"/>
        <v>0</v>
      </c>
      <c r="AL308">
        <f t="shared" si="106"/>
        <v>0</v>
      </c>
      <c r="AM308">
        <v>0</v>
      </c>
      <c r="AN308">
        <f t="shared" si="107"/>
        <v>0</v>
      </c>
      <c r="AO308">
        <f t="shared" si="108"/>
        <v>0</v>
      </c>
      <c r="AP308">
        <f t="shared" si="109"/>
        <v>0</v>
      </c>
      <c r="AQ308">
        <v>17</v>
      </c>
      <c r="AR308">
        <v>18</v>
      </c>
      <c r="AS308">
        <v>18</v>
      </c>
    </row>
    <row r="309" spans="1:45" x14ac:dyDescent="0.2">
      <c r="A309" t="s">
        <v>34</v>
      </c>
      <c r="B309" t="s">
        <v>51</v>
      </c>
      <c r="C309">
        <v>19</v>
      </c>
      <c r="D309" t="s">
        <v>36</v>
      </c>
      <c r="E309" t="s">
        <v>37</v>
      </c>
      <c r="F309" t="s">
        <v>45</v>
      </c>
      <c r="G309">
        <f t="shared" si="93"/>
        <v>1</v>
      </c>
      <c r="H309">
        <v>4</v>
      </c>
      <c r="I309">
        <f t="shared" si="94"/>
        <v>0</v>
      </c>
      <c r="J309">
        <f t="shared" si="95"/>
        <v>0</v>
      </c>
      <c r="K309">
        <f t="shared" si="96"/>
        <v>0</v>
      </c>
      <c r="L309">
        <f t="shared" si="97"/>
        <v>0</v>
      </c>
      <c r="M309">
        <f t="shared" si="98"/>
        <v>1</v>
      </c>
      <c r="N309">
        <v>4</v>
      </c>
      <c r="O309">
        <f t="shared" si="88"/>
        <v>0</v>
      </c>
      <c r="P309">
        <f t="shared" si="89"/>
        <v>0</v>
      </c>
      <c r="Q309">
        <f t="shared" si="90"/>
        <v>0</v>
      </c>
      <c r="R309">
        <f t="shared" si="91"/>
        <v>0</v>
      </c>
      <c r="S309">
        <f t="shared" si="92"/>
        <v>1</v>
      </c>
      <c r="T309">
        <f t="shared" si="99"/>
        <v>1</v>
      </c>
      <c r="U309">
        <f t="shared" si="100"/>
        <v>0</v>
      </c>
      <c r="V309">
        <f t="shared" si="101"/>
        <v>0</v>
      </c>
      <c r="W309">
        <f t="shared" si="102"/>
        <v>0</v>
      </c>
      <c r="X309" t="s">
        <v>40</v>
      </c>
      <c r="Y309" t="s">
        <v>49</v>
      </c>
      <c r="Z309" t="s">
        <v>52</v>
      </c>
      <c r="AA309" t="s">
        <v>46</v>
      </c>
      <c r="AB309">
        <v>2</v>
      </c>
      <c r="AC309">
        <v>1</v>
      </c>
      <c r="AD309">
        <v>1</v>
      </c>
      <c r="AE309" t="s">
        <v>44</v>
      </c>
      <c r="AF309" t="s">
        <v>43</v>
      </c>
      <c r="AG309">
        <f t="shared" si="103"/>
        <v>1</v>
      </c>
      <c r="AH309" t="s">
        <v>43</v>
      </c>
      <c r="AI309">
        <f t="shared" si="104"/>
        <v>1</v>
      </c>
      <c r="AJ309" t="s">
        <v>43</v>
      </c>
      <c r="AK309">
        <f t="shared" si="105"/>
        <v>1</v>
      </c>
      <c r="AL309">
        <f t="shared" si="106"/>
        <v>1</v>
      </c>
      <c r="AM309">
        <v>38</v>
      </c>
      <c r="AN309">
        <f t="shared" si="107"/>
        <v>0</v>
      </c>
      <c r="AO309">
        <f t="shared" si="108"/>
        <v>1</v>
      </c>
      <c r="AP309">
        <f t="shared" si="109"/>
        <v>0</v>
      </c>
      <c r="AQ309">
        <v>8</v>
      </c>
      <c r="AR309">
        <v>9</v>
      </c>
      <c r="AS309">
        <v>8</v>
      </c>
    </row>
    <row r="310" spans="1:45" x14ac:dyDescent="0.2">
      <c r="A310" t="s">
        <v>34</v>
      </c>
      <c r="B310" t="s">
        <v>51</v>
      </c>
      <c r="C310">
        <v>19</v>
      </c>
      <c r="D310" t="s">
        <v>53</v>
      </c>
      <c r="E310" t="s">
        <v>37</v>
      </c>
      <c r="F310" t="s">
        <v>45</v>
      </c>
      <c r="G310">
        <f t="shared" si="93"/>
        <v>1</v>
      </c>
      <c r="H310">
        <v>3</v>
      </c>
      <c r="I310">
        <f t="shared" si="94"/>
        <v>0</v>
      </c>
      <c r="J310">
        <f t="shared" si="95"/>
        <v>0</v>
      </c>
      <c r="K310">
        <f t="shared" si="96"/>
        <v>0</v>
      </c>
      <c r="L310">
        <f t="shared" si="97"/>
        <v>1</v>
      </c>
      <c r="M310">
        <f t="shared" si="98"/>
        <v>0</v>
      </c>
      <c r="N310">
        <v>3</v>
      </c>
      <c r="O310">
        <f t="shared" si="88"/>
        <v>0</v>
      </c>
      <c r="P310">
        <f t="shared" si="89"/>
        <v>0</v>
      </c>
      <c r="Q310">
        <f t="shared" si="90"/>
        <v>0</v>
      </c>
      <c r="R310">
        <f t="shared" si="91"/>
        <v>1</v>
      </c>
      <c r="S310">
        <f t="shared" si="92"/>
        <v>0</v>
      </c>
      <c r="T310">
        <f t="shared" si="99"/>
        <v>0</v>
      </c>
      <c r="U310">
        <f t="shared" si="100"/>
        <v>0</v>
      </c>
      <c r="V310">
        <f t="shared" si="101"/>
        <v>0</v>
      </c>
      <c r="W310">
        <f t="shared" si="102"/>
        <v>0</v>
      </c>
      <c r="X310" t="s">
        <v>46</v>
      </c>
      <c r="Y310" t="s">
        <v>49</v>
      </c>
      <c r="Z310" t="s">
        <v>52</v>
      </c>
      <c r="AA310" t="s">
        <v>47</v>
      </c>
      <c r="AB310">
        <v>1</v>
      </c>
      <c r="AC310">
        <v>2</v>
      </c>
      <c r="AD310">
        <v>1</v>
      </c>
      <c r="AE310" t="s">
        <v>44</v>
      </c>
      <c r="AF310" t="s">
        <v>44</v>
      </c>
      <c r="AG310">
        <f t="shared" si="103"/>
        <v>0</v>
      </c>
      <c r="AH310" t="s">
        <v>44</v>
      </c>
      <c r="AI310">
        <f t="shared" si="104"/>
        <v>0</v>
      </c>
      <c r="AJ310" t="s">
        <v>44</v>
      </c>
      <c r="AK310">
        <f t="shared" si="105"/>
        <v>0</v>
      </c>
      <c r="AL310">
        <f t="shared" si="106"/>
        <v>0</v>
      </c>
      <c r="AM310">
        <v>0</v>
      </c>
      <c r="AN310">
        <f t="shared" si="107"/>
        <v>0</v>
      </c>
      <c r="AO310">
        <f t="shared" si="108"/>
        <v>0</v>
      </c>
      <c r="AP310">
        <f t="shared" si="109"/>
        <v>0</v>
      </c>
      <c r="AQ310">
        <v>15</v>
      </c>
      <c r="AR310">
        <v>12</v>
      </c>
      <c r="AS310">
        <v>12</v>
      </c>
    </row>
    <row r="311" spans="1:45" x14ac:dyDescent="0.2">
      <c r="A311" t="s">
        <v>34</v>
      </c>
      <c r="B311" t="s">
        <v>35</v>
      </c>
      <c r="C311">
        <v>19</v>
      </c>
      <c r="D311" t="s">
        <v>36</v>
      </c>
      <c r="E311" t="s">
        <v>48</v>
      </c>
      <c r="F311" t="s">
        <v>45</v>
      </c>
      <c r="G311">
        <f t="shared" si="93"/>
        <v>1</v>
      </c>
      <c r="H311">
        <v>1</v>
      </c>
      <c r="I311">
        <f t="shared" si="94"/>
        <v>0</v>
      </c>
      <c r="J311">
        <f t="shared" si="95"/>
        <v>1</v>
      </c>
      <c r="K311">
        <f t="shared" si="96"/>
        <v>0</v>
      </c>
      <c r="L311">
        <f t="shared" si="97"/>
        <v>0</v>
      </c>
      <c r="M311">
        <f t="shared" si="98"/>
        <v>0</v>
      </c>
      <c r="N311">
        <v>1</v>
      </c>
      <c r="O311">
        <f t="shared" si="88"/>
        <v>0</v>
      </c>
      <c r="P311">
        <f t="shared" si="89"/>
        <v>1</v>
      </c>
      <c r="Q311">
        <f t="shared" si="90"/>
        <v>0</v>
      </c>
      <c r="R311">
        <f t="shared" si="91"/>
        <v>0</v>
      </c>
      <c r="S311">
        <f t="shared" si="92"/>
        <v>0</v>
      </c>
      <c r="T311">
        <f t="shared" si="99"/>
        <v>0</v>
      </c>
      <c r="U311">
        <f t="shared" si="100"/>
        <v>0</v>
      </c>
      <c r="V311">
        <f t="shared" si="101"/>
        <v>0</v>
      </c>
      <c r="W311">
        <f t="shared" si="102"/>
        <v>0</v>
      </c>
      <c r="X311" t="s">
        <v>39</v>
      </c>
      <c r="Y311" t="s">
        <v>46</v>
      </c>
      <c r="Z311" t="s">
        <v>52</v>
      </c>
      <c r="AA311" t="s">
        <v>46</v>
      </c>
      <c r="AB311">
        <v>1</v>
      </c>
      <c r="AC311">
        <v>2</v>
      </c>
      <c r="AD311">
        <v>1</v>
      </c>
      <c r="AE311" t="s">
        <v>43</v>
      </c>
      <c r="AF311" t="s">
        <v>43</v>
      </c>
      <c r="AG311">
        <f t="shared" si="103"/>
        <v>1</v>
      </c>
      <c r="AH311" t="s">
        <v>44</v>
      </c>
      <c r="AI311">
        <f t="shared" si="104"/>
        <v>0</v>
      </c>
      <c r="AJ311" t="s">
        <v>43</v>
      </c>
      <c r="AK311">
        <f t="shared" si="105"/>
        <v>1</v>
      </c>
      <c r="AL311">
        <f t="shared" si="106"/>
        <v>0</v>
      </c>
      <c r="AM311">
        <v>18</v>
      </c>
      <c r="AN311">
        <f t="shared" si="107"/>
        <v>0</v>
      </c>
      <c r="AO311">
        <f t="shared" si="108"/>
        <v>0</v>
      </c>
      <c r="AP311">
        <f t="shared" si="109"/>
        <v>0</v>
      </c>
      <c r="AQ311">
        <v>12</v>
      </c>
      <c r="AR311">
        <v>10</v>
      </c>
      <c r="AS311">
        <v>10</v>
      </c>
    </row>
    <row r="312" spans="1:45" x14ac:dyDescent="0.2">
      <c r="A312" t="s">
        <v>34</v>
      </c>
      <c r="B312" t="s">
        <v>35</v>
      </c>
      <c r="C312">
        <v>19</v>
      </c>
      <c r="D312" t="s">
        <v>36</v>
      </c>
      <c r="E312" t="s">
        <v>48</v>
      </c>
      <c r="F312" t="s">
        <v>45</v>
      </c>
      <c r="G312">
        <f t="shared" si="93"/>
        <v>1</v>
      </c>
      <c r="H312">
        <v>1</v>
      </c>
      <c r="I312">
        <f t="shared" si="94"/>
        <v>0</v>
      </c>
      <c r="J312">
        <f t="shared" si="95"/>
        <v>1</v>
      </c>
      <c r="K312">
        <f t="shared" si="96"/>
        <v>0</v>
      </c>
      <c r="L312">
        <f t="shared" si="97"/>
        <v>0</v>
      </c>
      <c r="M312">
        <f t="shared" si="98"/>
        <v>0</v>
      </c>
      <c r="N312">
        <v>2</v>
      </c>
      <c r="O312">
        <f t="shared" si="88"/>
        <v>0</v>
      </c>
      <c r="P312">
        <f t="shared" si="89"/>
        <v>0</v>
      </c>
      <c r="Q312">
        <f t="shared" si="90"/>
        <v>1</v>
      </c>
      <c r="R312">
        <f t="shared" si="91"/>
        <v>0</v>
      </c>
      <c r="S312">
        <f t="shared" si="92"/>
        <v>0</v>
      </c>
      <c r="T312">
        <f t="shared" si="99"/>
        <v>0</v>
      </c>
      <c r="U312">
        <f t="shared" si="100"/>
        <v>0</v>
      </c>
      <c r="V312">
        <f t="shared" si="101"/>
        <v>0</v>
      </c>
      <c r="W312">
        <f t="shared" si="102"/>
        <v>0</v>
      </c>
      <c r="X312" t="s">
        <v>49</v>
      </c>
      <c r="Y312" t="s">
        <v>49</v>
      </c>
      <c r="Z312" t="s">
        <v>50</v>
      </c>
      <c r="AA312" t="s">
        <v>46</v>
      </c>
      <c r="AB312">
        <v>1</v>
      </c>
      <c r="AC312">
        <v>2</v>
      </c>
      <c r="AD312">
        <v>1</v>
      </c>
      <c r="AE312" t="s">
        <v>44</v>
      </c>
      <c r="AF312" t="s">
        <v>44</v>
      </c>
      <c r="AG312">
        <f t="shared" si="103"/>
        <v>0</v>
      </c>
      <c r="AH312" t="s">
        <v>44</v>
      </c>
      <c r="AI312">
        <f t="shared" si="104"/>
        <v>0</v>
      </c>
      <c r="AJ312" t="s">
        <v>44</v>
      </c>
      <c r="AK312">
        <f t="shared" si="105"/>
        <v>0</v>
      </c>
      <c r="AL312">
        <f t="shared" si="106"/>
        <v>0</v>
      </c>
      <c r="AM312">
        <v>0</v>
      </c>
      <c r="AN312">
        <f t="shared" si="107"/>
        <v>0</v>
      </c>
      <c r="AO312">
        <f t="shared" si="108"/>
        <v>0</v>
      </c>
      <c r="AP312">
        <f t="shared" si="109"/>
        <v>0</v>
      </c>
      <c r="AQ312">
        <v>9</v>
      </c>
      <c r="AR312">
        <v>9</v>
      </c>
      <c r="AS312">
        <v>0</v>
      </c>
    </row>
    <row r="313" spans="1:45" x14ac:dyDescent="0.2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f t="shared" si="93"/>
        <v>1</v>
      </c>
      <c r="H313">
        <v>2</v>
      </c>
      <c r="I313">
        <f t="shared" si="94"/>
        <v>0</v>
      </c>
      <c r="J313">
        <f t="shared" si="95"/>
        <v>0</v>
      </c>
      <c r="K313">
        <f t="shared" si="96"/>
        <v>1</v>
      </c>
      <c r="L313">
        <f t="shared" si="97"/>
        <v>0</v>
      </c>
      <c r="M313">
        <f t="shared" si="98"/>
        <v>0</v>
      </c>
      <c r="N313">
        <v>1</v>
      </c>
      <c r="O313">
        <f t="shared" si="88"/>
        <v>0</v>
      </c>
      <c r="P313">
        <f t="shared" si="89"/>
        <v>1</v>
      </c>
      <c r="Q313">
        <f t="shared" si="90"/>
        <v>0</v>
      </c>
      <c r="R313">
        <f t="shared" si="91"/>
        <v>0</v>
      </c>
      <c r="S313">
        <f t="shared" si="92"/>
        <v>0</v>
      </c>
      <c r="T313">
        <f t="shared" si="99"/>
        <v>0</v>
      </c>
      <c r="U313">
        <f t="shared" si="100"/>
        <v>0</v>
      </c>
      <c r="V313">
        <f t="shared" si="101"/>
        <v>0</v>
      </c>
      <c r="W313">
        <f t="shared" si="102"/>
        <v>0</v>
      </c>
      <c r="X313" t="s">
        <v>39</v>
      </c>
      <c r="Y313" t="s">
        <v>46</v>
      </c>
      <c r="Z313" t="s">
        <v>46</v>
      </c>
      <c r="AA313" t="s">
        <v>46</v>
      </c>
      <c r="AB313">
        <v>3</v>
      </c>
      <c r="AC313">
        <v>2</v>
      </c>
      <c r="AD313">
        <v>0</v>
      </c>
      <c r="AE313" t="s">
        <v>44</v>
      </c>
      <c r="AF313" t="s">
        <v>43</v>
      </c>
      <c r="AG313">
        <f t="shared" si="103"/>
        <v>1</v>
      </c>
      <c r="AH313" t="s">
        <v>44</v>
      </c>
      <c r="AI313">
        <f t="shared" si="104"/>
        <v>0</v>
      </c>
      <c r="AJ313" t="s">
        <v>43</v>
      </c>
      <c r="AK313">
        <f t="shared" si="105"/>
        <v>1</v>
      </c>
      <c r="AL313">
        <f t="shared" si="106"/>
        <v>0</v>
      </c>
      <c r="AM313">
        <v>20</v>
      </c>
      <c r="AN313">
        <f t="shared" si="107"/>
        <v>0</v>
      </c>
      <c r="AO313">
        <f t="shared" si="108"/>
        <v>0</v>
      </c>
      <c r="AP313">
        <f t="shared" si="109"/>
        <v>0</v>
      </c>
      <c r="AQ313">
        <v>14</v>
      </c>
      <c r="AR313">
        <v>12</v>
      </c>
      <c r="AS313">
        <v>13</v>
      </c>
    </row>
    <row r="314" spans="1:45" x14ac:dyDescent="0.2">
      <c r="A314" t="s">
        <v>34</v>
      </c>
      <c r="B314" t="s">
        <v>51</v>
      </c>
      <c r="C314">
        <v>19</v>
      </c>
      <c r="D314" t="s">
        <v>36</v>
      </c>
      <c r="E314" t="s">
        <v>37</v>
      </c>
      <c r="F314" t="s">
        <v>45</v>
      </c>
      <c r="G314">
        <f t="shared" si="93"/>
        <v>1</v>
      </c>
      <c r="H314">
        <v>1</v>
      </c>
      <c r="I314">
        <f t="shared" si="94"/>
        <v>0</v>
      </c>
      <c r="J314">
        <f t="shared" si="95"/>
        <v>1</v>
      </c>
      <c r="K314">
        <f t="shared" si="96"/>
        <v>0</v>
      </c>
      <c r="L314">
        <f t="shared" si="97"/>
        <v>0</v>
      </c>
      <c r="M314">
        <f t="shared" si="98"/>
        <v>0</v>
      </c>
      <c r="N314">
        <v>2</v>
      </c>
      <c r="O314">
        <f t="shared" si="88"/>
        <v>0</v>
      </c>
      <c r="P314">
        <f t="shared" si="89"/>
        <v>0</v>
      </c>
      <c r="Q314">
        <f t="shared" si="90"/>
        <v>1</v>
      </c>
      <c r="R314">
        <f t="shared" si="91"/>
        <v>0</v>
      </c>
      <c r="S314">
        <f t="shared" si="92"/>
        <v>0</v>
      </c>
      <c r="T314">
        <f t="shared" si="99"/>
        <v>0</v>
      </c>
      <c r="U314">
        <f t="shared" si="100"/>
        <v>0</v>
      </c>
      <c r="V314">
        <f t="shared" si="101"/>
        <v>0</v>
      </c>
      <c r="W314">
        <f t="shared" si="102"/>
        <v>0</v>
      </c>
      <c r="X314" t="s">
        <v>46</v>
      </c>
      <c r="Y314" t="s">
        <v>49</v>
      </c>
      <c r="Z314" t="s">
        <v>41</v>
      </c>
      <c r="AA314" t="s">
        <v>46</v>
      </c>
      <c r="AB314">
        <v>1</v>
      </c>
      <c r="AC314">
        <v>2</v>
      </c>
      <c r="AD314">
        <v>1</v>
      </c>
      <c r="AE314" t="s">
        <v>44</v>
      </c>
      <c r="AF314" t="s">
        <v>44</v>
      </c>
      <c r="AG314">
        <f t="shared" si="103"/>
        <v>0</v>
      </c>
      <c r="AH314" t="s">
        <v>44</v>
      </c>
      <c r="AI314">
        <f t="shared" si="104"/>
        <v>0</v>
      </c>
      <c r="AJ314" t="s">
        <v>43</v>
      </c>
      <c r="AK314">
        <f t="shared" si="105"/>
        <v>1</v>
      </c>
      <c r="AL314">
        <f t="shared" si="106"/>
        <v>0</v>
      </c>
      <c r="AM314">
        <v>3</v>
      </c>
      <c r="AN314">
        <f t="shared" si="107"/>
        <v>0</v>
      </c>
      <c r="AO314">
        <f t="shared" si="108"/>
        <v>0</v>
      </c>
      <c r="AP314">
        <f t="shared" si="109"/>
        <v>0</v>
      </c>
      <c r="AQ314">
        <v>13</v>
      </c>
      <c r="AR314">
        <v>11</v>
      </c>
      <c r="AS314">
        <v>11</v>
      </c>
    </row>
    <row r="315" spans="1:45" x14ac:dyDescent="0.2">
      <c r="A315" t="s">
        <v>34</v>
      </c>
      <c r="B315" t="s">
        <v>35</v>
      </c>
      <c r="C315">
        <v>19</v>
      </c>
      <c r="D315" t="s">
        <v>36</v>
      </c>
      <c r="E315" t="s">
        <v>48</v>
      </c>
      <c r="F315" t="s">
        <v>45</v>
      </c>
      <c r="G315">
        <f t="shared" si="93"/>
        <v>1</v>
      </c>
      <c r="H315">
        <v>3</v>
      </c>
      <c r="I315">
        <f t="shared" si="94"/>
        <v>0</v>
      </c>
      <c r="J315">
        <f t="shared" si="95"/>
        <v>0</v>
      </c>
      <c r="K315">
        <f t="shared" si="96"/>
        <v>0</v>
      </c>
      <c r="L315">
        <f t="shared" si="97"/>
        <v>1</v>
      </c>
      <c r="M315">
        <f t="shared" si="98"/>
        <v>0</v>
      </c>
      <c r="N315">
        <v>2</v>
      </c>
      <c r="O315">
        <f t="shared" si="88"/>
        <v>0</v>
      </c>
      <c r="P315">
        <f t="shared" si="89"/>
        <v>0</v>
      </c>
      <c r="Q315">
        <f t="shared" si="90"/>
        <v>1</v>
      </c>
      <c r="R315">
        <f t="shared" si="91"/>
        <v>0</v>
      </c>
      <c r="S315">
        <f t="shared" si="92"/>
        <v>0</v>
      </c>
      <c r="T315">
        <f t="shared" si="99"/>
        <v>0</v>
      </c>
      <c r="U315">
        <f t="shared" si="100"/>
        <v>0</v>
      </c>
      <c r="V315">
        <f t="shared" si="101"/>
        <v>0</v>
      </c>
      <c r="W315">
        <f t="shared" si="102"/>
        <v>0</v>
      </c>
      <c r="X315" t="s">
        <v>49</v>
      </c>
      <c r="Y315" t="s">
        <v>46</v>
      </c>
      <c r="Z315" t="s">
        <v>52</v>
      </c>
      <c r="AA315" t="s">
        <v>46</v>
      </c>
      <c r="AB315">
        <v>2</v>
      </c>
      <c r="AC315">
        <v>2</v>
      </c>
      <c r="AD315">
        <v>1</v>
      </c>
      <c r="AE315" t="s">
        <v>44</v>
      </c>
      <c r="AF315" t="s">
        <v>43</v>
      </c>
      <c r="AG315">
        <f t="shared" si="103"/>
        <v>1</v>
      </c>
      <c r="AH315" t="s">
        <v>43</v>
      </c>
      <c r="AI315">
        <f t="shared" si="104"/>
        <v>1</v>
      </c>
      <c r="AJ315" t="s">
        <v>43</v>
      </c>
      <c r="AK315">
        <f t="shared" si="105"/>
        <v>1</v>
      </c>
      <c r="AL315">
        <f t="shared" si="106"/>
        <v>1</v>
      </c>
      <c r="AM315">
        <v>22</v>
      </c>
      <c r="AN315">
        <f t="shared" si="107"/>
        <v>0</v>
      </c>
      <c r="AO315">
        <f t="shared" si="108"/>
        <v>0</v>
      </c>
      <c r="AP315">
        <f t="shared" si="109"/>
        <v>1</v>
      </c>
      <c r="AQ315">
        <v>13</v>
      </c>
      <c r="AR315">
        <v>10</v>
      </c>
      <c r="AS315">
        <v>11</v>
      </c>
    </row>
    <row r="316" spans="1:45" x14ac:dyDescent="0.2">
      <c r="A316" t="s">
        <v>34</v>
      </c>
      <c r="B316" t="s">
        <v>35</v>
      </c>
      <c r="C316">
        <v>19</v>
      </c>
      <c r="D316" t="s">
        <v>36</v>
      </c>
      <c r="E316" t="s">
        <v>37</v>
      </c>
      <c r="F316" t="s">
        <v>45</v>
      </c>
      <c r="G316">
        <f t="shared" si="93"/>
        <v>1</v>
      </c>
      <c r="H316">
        <v>1</v>
      </c>
      <c r="I316">
        <f t="shared" si="94"/>
        <v>0</v>
      </c>
      <c r="J316">
        <f t="shared" si="95"/>
        <v>1</v>
      </c>
      <c r="K316">
        <f t="shared" si="96"/>
        <v>0</v>
      </c>
      <c r="L316">
        <f t="shared" si="97"/>
        <v>0</v>
      </c>
      <c r="M316">
        <f t="shared" si="98"/>
        <v>0</v>
      </c>
      <c r="N316">
        <v>1</v>
      </c>
      <c r="O316">
        <f t="shared" si="88"/>
        <v>0</v>
      </c>
      <c r="P316">
        <f t="shared" si="89"/>
        <v>1</v>
      </c>
      <c r="Q316">
        <f t="shared" si="90"/>
        <v>0</v>
      </c>
      <c r="R316">
        <f t="shared" si="91"/>
        <v>0</v>
      </c>
      <c r="S316">
        <f t="shared" si="92"/>
        <v>0</v>
      </c>
      <c r="T316">
        <f t="shared" si="99"/>
        <v>0</v>
      </c>
      <c r="U316">
        <f t="shared" si="100"/>
        <v>0</v>
      </c>
      <c r="V316">
        <f t="shared" si="101"/>
        <v>0</v>
      </c>
      <c r="W316">
        <f t="shared" si="102"/>
        <v>0</v>
      </c>
      <c r="X316" t="s">
        <v>39</v>
      </c>
      <c r="Y316" t="s">
        <v>29</v>
      </c>
      <c r="Z316" t="s">
        <v>50</v>
      </c>
      <c r="AA316" t="s">
        <v>46</v>
      </c>
      <c r="AB316">
        <v>1</v>
      </c>
      <c r="AC316">
        <v>3</v>
      </c>
      <c r="AD316">
        <v>2</v>
      </c>
      <c r="AE316" t="s">
        <v>44</v>
      </c>
      <c r="AF316" t="s">
        <v>44</v>
      </c>
      <c r="AG316">
        <f t="shared" si="103"/>
        <v>0</v>
      </c>
      <c r="AH316" t="s">
        <v>44</v>
      </c>
      <c r="AI316">
        <f t="shared" si="104"/>
        <v>0</v>
      </c>
      <c r="AJ316" t="s">
        <v>43</v>
      </c>
      <c r="AK316">
        <f t="shared" si="105"/>
        <v>1</v>
      </c>
      <c r="AL316">
        <f t="shared" si="106"/>
        <v>0</v>
      </c>
      <c r="AM316">
        <v>14</v>
      </c>
      <c r="AN316">
        <f t="shared" si="107"/>
        <v>0</v>
      </c>
      <c r="AO316">
        <f t="shared" si="108"/>
        <v>0</v>
      </c>
      <c r="AP316">
        <f t="shared" si="109"/>
        <v>0</v>
      </c>
      <c r="AQ316">
        <v>15</v>
      </c>
      <c r="AR316">
        <v>13</v>
      </c>
      <c r="AS316">
        <v>13</v>
      </c>
    </row>
    <row r="317" spans="1:45" x14ac:dyDescent="0.2">
      <c r="A317" t="s">
        <v>34</v>
      </c>
      <c r="B317" t="s">
        <v>35</v>
      </c>
      <c r="C317">
        <v>19</v>
      </c>
      <c r="D317" t="s">
        <v>53</v>
      </c>
      <c r="E317" t="s">
        <v>37</v>
      </c>
      <c r="F317" t="s">
        <v>45</v>
      </c>
      <c r="G317">
        <f t="shared" si="93"/>
        <v>1</v>
      </c>
      <c r="H317">
        <v>2</v>
      </c>
      <c r="I317">
        <f t="shared" si="94"/>
        <v>0</v>
      </c>
      <c r="J317">
        <f t="shared" si="95"/>
        <v>0</v>
      </c>
      <c r="K317">
        <f t="shared" si="96"/>
        <v>1</v>
      </c>
      <c r="L317">
        <f t="shared" si="97"/>
        <v>0</v>
      </c>
      <c r="M317">
        <f t="shared" si="98"/>
        <v>0</v>
      </c>
      <c r="N317">
        <v>3</v>
      </c>
      <c r="O317">
        <f t="shared" si="88"/>
        <v>0</v>
      </c>
      <c r="P317">
        <f t="shared" si="89"/>
        <v>0</v>
      </c>
      <c r="Q317">
        <f t="shared" si="90"/>
        <v>0</v>
      </c>
      <c r="R317">
        <f t="shared" si="91"/>
        <v>1</v>
      </c>
      <c r="S317">
        <f t="shared" si="92"/>
        <v>0</v>
      </c>
      <c r="T317">
        <f t="shared" si="99"/>
        <v>0</v>
      </c>
      <c r="U317">
        <f t="shared" si="100"/>
        <v>0</v>
      </c>
      <c r="V317">
        <f t="shared" si="101"/>
        <v>0</v>
      </c>
      <c r="W317">
        <f t="shared" si="102"/>
        <v>0</v>
      </c>
      <c r="X317" t="s">
        <v>46</v>
      </c>
      <c r="Y317" t="s">
        <v>46</v>
      </c>
      <c r="Z317" t="s">
        <v>52</v>
      </c>
      <c r="AA317" t="s">
        <v>46</v>
      </c>
      <c r="AB317">
        <v>1</v>
      </c>
      <c r="AC317">
        <v>3</v>
      </c>
      <c r="AD317">
        <v>1</v>
      </c>
      <c r="AE317" t="s">
        <v>44</v>
      </c>
      <c r="AF317" t="s">
        <v>44</v>
      </c>
      <c r="AG317">
        <f t="shared" si="103"/>
        <v>0</v>
      </c>
      <c r="AH317" t="s">
        <v>44</v>
      </c>
      <c r="AI317">
        <f t="shared" si="104"/>
        <v>0</v>
      </c>
      <c r="AJ317" t="s">
        <v>43</v>
      </c>
      <c r="AK317">
        <f t="shared" si="105"/>
        <v>1</v>
      </c>
      <c r="AL317">
        <f t="shared" si="106"/>
        <v>0</v>
      </c>
      <c r="AM317">
        <v>40</v>
      </c>
      <c r="AN317">
        <f t="shared" si="107"/>
        <v>0</v>
      </c>
      <c r="AO317">
        <f t="shared" si="108"/>
        <v>0</v>
      </c>
      <c r="AP317">
        <f t="shared" si="109"/>
        <v>0</v>
      </c>
      <c r="AQ317">
        <v>13</v>
      </c>
      <c r="AR317">
        <v>11</v>
      </c>
      <c r="AS317">
        <v>11</v>
      </c>
    </row>
    <row r="318" spans="1:45" x14ac:dyDescent="0.2">
      <c r="A318" t="s">
        <v>34</v>
      </c>
      <c r="B318" t="s">
        <v>35</v>
      </c>
      <c r="C318">
        <v>18</v>
      </c>
      <c r="D318" t="s">
        <v>36</v>
      </c>
      <c r="E318" t="s">
        <v>37</v>
      </c>
      <c r="F318" t="s">
        <v>45</v>
      </c>
      <c r="G318">
        <f t="shared" si="93"/>
        <v>1</v>
      </c>
      <c r="H318">
        <v>2</v>
      </c>
      <c r="I318">
        <f t="shared" si="94"/>
        <v>0</v>
      </c>
      <c r="J318">
        <f t="shared" si="95"/>
        <v>0</v>
      </c>
      <c r="K318">
        <f t="shared" si="96"/>
        <v>1</v>
      </c>
      <c r="L318">
        <f t="shared" si="97"/>
        <v>0</v>
      </c>
      <c r="M318">
        <f t="shared" si="98"/>
        <v>0</v>
      </c>
      <c r="N318">
        <v>1</v>
      </c>
      <c r="O318">
        <f t="shared" si="88"/>
        <v>0</v>
      </c>
      <c r="P318">
        <f t="shared" si="89"/>
        <v>1</v>
      </c>
      <c r="Q318">
        <f t="shared" si="90"/>
        <v>0</v>
      </c>
      <c r="R318">
        <f t="shared" si="91"/>
        <v>0</v>
      </c>
      <c r="S318">
        <f t="shared" si="92"/>
        <v>0</v>
      </c>
      <c r="T318">
        <f t="shared" si="99"/>
        <v>0</v>
      </c>
      <c r="U318">
        <f t="shared" si="100"/>
        <v>0</v>
      </c>
      <c r="V318">
        <f t="shared" si="101"/>
        <v>0</v>
      </c>
      <c r="W318">
        <f t="shared" si="102"/>
        <v>0</v>
      </c>
      <c r="X318" t="s">
        <v>49</v>
      </c>
      <c r="Y318" t="s">
        <v>46</v>
      </c>
      <c r="Z318" t="s">
        <v>41</v>
      </c>
      <c r="AA318" t="s">
        <v>42</v>
      </c>
      <c r="AB318">
        <v>2</v>
      </c>
      <c r="AC318">
        <v>2</v>
      </c>
      <c r="AD318">
        <v>0</v>
      </c>
      <c r="AE318" t="s">
        <v>44</v>
      </c>
      <c r="AF318" t="s">
        <v>43</v>
      </c>
      <c r="AG318">
        <f t="shared" si="103"/>
        <v>1</v>
      </c>
      <c r="AH318" t="s">
        <v>43</v>
      </c>
      <c r="AI318">
        <f t="shared" si="104"/>
        <v>1</v>
      </c>
      <c r="AJ318" t="s">
        <v>43</v>
      </c>
      <c r="AK318">
        <f t="shared" si="105"/>
        <v>1</v>
      </c>
      <c r="AL318">
        <f t="shared" si="106"/>
        <v>1</v>
      </c>
      <c r="AM318">
        <v>0</v>
      </c>
      <c r="AN318">
        <f t="shared" si="107"/>
        <v>0</v>
      </c>
      <c r="AO318">
        <f t="shared" si="108"/>
        <v>0</v>
      </c>
      <c r="AP318">
        <f t="shared" si="109"/>
        <v>0</v>
      </c>
      <c r="AQ318">
        <v>8</v>
      </c>
      <c r="AR318">
        <v>8</v>
      </c>
      <c r="AS318">
        <v>0</v>
      </c>
    </row>
    <row r="319" spans="1:45" x14ac:dyDescent="0.2">
      <c r="A319" t="s">
        <v>34</v>
      </c>
      <c r="B319" t="s">
        <v>35</v>
      </c>
      <c r="C319">
        <v>18</v>
      </c>
      <c r="D319" t="s">
        <v>36</v>
      </c>
      <c r="E319" t="s">
        <v>37</v>
      </c>
      <c r="F319" t="s">
        <v>45</v>
      </c>
      <c r="G319">
        <f t="shared" si="93"/>
        <v>1</v>
      </c>
      <c r="H319">
        <v>4</v>
      </c>
      <c r="I319">
        <f t="shared" si="94"/>
        <v>0</v>
      </c>
      <c r="J319">
        <f t="shared" si="95"/>
        <v>0</v>
      </c>
      <c r="K319">
        <f t="shared" si="96"/>
        <v>0</v>
      </c>
      <c r="L319">
        <f t="shared" si="97"/>
        <v>0</v>
      </c>
      <c r="M319">
        <f t="shared" si="98"/>
        <v>1</v>
      </c>
      <c r="N319">
        <v>3</v>
      </c>
      <c r="O319">
        <f t="shared" si="88"/>
        <v>0</v>
      </c>
      <c r="P319">
        <f t="shared" si="89"/>
        <v>0</v>
      </c>
      <c r="Q319">
        <f t="shared" si="90"/>
        <v>0</v>
      </c>
      <c r="R319">
        <f t="shared" si="91"/>
        <v>1</v>
      </c>
      <c r="S319">
        <f t="shared" si="92"/>
        <v>0</v>
      </c>
      <c r="T319">
        <f t="shared" si="99"/>
        <v>0</v>
      </c>
      <c r="U319">
        <f t="shared" si="100"/>
        <v>1</v>
      </c>
      <c r="V319">
        <f t="shared" si="101"/>
        <v>0</v>
      </c>
      <c r="W319">
        <f t="shared" si="102"/>
        <v>0</v>
      </c>
      <c r="X319" t="s">
        <v>46</v>
      </c>
      <c r="Y319" t="s">
        <v>46</v>
      </c>
      <c r="Z319" t="s">
        <v>41</v>
      </c>
      <c r="AA319" t="s">
        <v>42</v>
      </c>
      <c r="AB319">
        <v>1</v>
      </c>
      <c r="AC319">
        <v>3</v>
      </c>
      <c r="AD319">
        <v>0</v>
      </c>
      <c r="AE319" t="s">
        <v>44</v>
      </c>
      <c r="AF319" t="s">
        <v>43</v>
      </c>
      <c r="AG319">
        <f t="shared" si="103"/>
        <v>1</v>
      </c>
      <c r="AH319" t="s">
        <v>43</v>
      </c>
      <c r="AI319">
        <f t="shared" si="104"/>
        <v>1</v>
      </c>
      <c r="AJ319" t="s">
        <v>43</v>
      </c>
      <c r="AK319">
        <f t="shared" si="105"/>
        <v>1</v>
      </c>
      <c r="AL319">
        <f t="shared" si="106"/>
        <v>1</v>
      </c>
      <c r="AM319">
        <v>9</v>
      </c>
      <c r="AN319">
        <f t="shared" si="107"/>
        <v>0</v>
      </c>
      <c r="AO319">
        <f t="shared" si="108"/>
        <v>1</v>
      </c>
      <c r="AP319">
        <f t="shared" si="109"/>
        <v>0</v>
      </c>
      <c r="AQ319">
        <v>9</v>
      </c>
      <c r="AR319">
        <v>10</v>
      </c>
      <c r="AS319">
        <v>9</v>
      </c>
    </row>
    <row r="320" spans="1:45" x14ac:dyDescent="0.2">
      <c r="A320" t="s">
        <v>34</v>
      </c>
      <c r="B320" t="s">
        <v>35</v>
      </c>
      <c r="C320">
        <v>17</v>
      </c>
      <c r="D320" t="s">
        <v>53</v>
      </c>
      <c r="E320" t="s">
        <v>37</v>
      </c>
      <c r="F320" t="s">
        <v>45</v>
      </c>
      <c r="G320">
        <f t="shared" si="93"/>
        <v>1</v>
      </c>
      <c r="H320">
        <v>3</v>
      </c>
      <c r="I320">
        <f t="shared" si="94"/>
        <v>0</v>
      </c>
      <c r="J320">
        <f t="shared" si="95"/>
        <v>0</v>
      </c>
      <c r="K320">
        <f t="shared" si="96"/>
        <v>0</v>
      </c>
      <c r="L320">
        <f t="shared" si="97"/>
        <v>1</v>
      </c>
      <c r="M320">
        <f t="shared" si="98"/>
        <v>0</v>
      </c>
      <c r="N320">
        <v>4</v>
      </c>
      <c r="O320">
        <f t="shared" si="88"/>
        <v>0</v>
      </c>
      <c r="P320">
        <f t="shared" si="89"/>
        <v>0</v>
      </c>
      <c r="Q320">
        <f t="shared" si="90"/>
        <v>0</v>
      </c>
      <c r="R320">
        <f t="shared" si="91"/>
        <v>0</v>
      </c>
      <c r="S320">
        <f t="shared" si="92"/>
        <v>1</v>
      </c>
      <c r="T320">
        <f t="shared" si="99"/>
        <v>0</v>
      </c>
      <c r="U320">
        <f t="shared" si="100"/>
        <v>0</v>
      </c>
      <c r="V320">
        <f t="shared" si="101"/>
        <v>0</v>
      </c>
      <c r="W320">
        <f t="shared" si="102"/>
        <v>1</v>
      </c>
      <c r="X320" t="s">
        <v>39</v>
      </c>
      <c r="Y320" t="s">
        <v>49</v>
      </c>
      <c r="Z320" t="s">
        <v>41</v>
      </c>
      <c r="AA320" t="s">
        <v>47</v>
      </c>
      <c r="AB320">
        <v>1</v>
      </c>
      <c r="AC320">
        <v>3</v>
      </c>
      <c r="AD320">
        <v>0</v>
      </c>
      <c r="AE320" t="s">
        <v>44</v>
      </c>
      <c r="AF320" t="s">
        <v>43</v>
      </c>
      <c r="AG320">
        <f t="shared" si="103"/>
        <v>1</v>
      </c>
      <c r="AH320" t="s">
        <v>43</v>
      </c>
      <c r="AI320">
        <f t="shared" si="104"/>
        <v>1</v>
      </c>
      <c r="AJ320" t="s">
        <v>43</v>
      </c>
      <c r="AK320">
        <f t="shared" si="105"/>
        <v>1</v>
      </c>
      <c r="AL320">
        <f t="shared" si="106"/>
        <v>1</v>
      </c>
      <c r="AM320">
        <v>0</v>
      </c>
      <c r="AN320">
        <f t="shared" si="107"/>
        <v>0</v>
      </c>
      <c r="AO320">
        <f t="shared" si="108"/>
        <v>0</v>
      </c>
      <c r="AP320">
        <f t="shared" si="109"/>
        <v>1</v>
      </c>
      <c r="AQ320">
        <v>11</v>
      </c>
      <c r="AR320">
        <v>11</v>
      </c>
      <c r="AS320">
        <v>10</v>
      </c>
    </row>
    <row r="321" spans="1:45" x14ac:dyDescent="0.2">
      <c r="A321" t="s">
        <v>34</v>
      </c>
      <c r="B321" t="s">
        <v>35</v>
      </c>
      <c r="C321">
        <v>18</v>
      </c>
      <c r="D321" t="s">
        <v>36</v>
      </c>
      <c r="E321" t="s">
        <v>37</v>
      </c>
      <c r="F321" t="s">
        <v>45</v>
      </c>
      <c r="G321">
        <f t="shared" si="93"/>
        <v>1</v>
      </c>
      <c r="H321">
        <v>4</v>
      </c>
      <c r="I321">
        <f t="shared" si="94"/>
        <v>0</v>
      </c>
      <c r="J321">
        <f t="shared" si="95"/>
        <v>0</v>
      </c>
      <c r="K321">
        <f t="shared" si="96"/>
        <v>0</v>
      </c>
      <c r="L321">
        <f t="shared" si="97"/>
        <v>0</v>
      </c>
      <c r="M321">
        <f t="shared" si="98"/>
        <v>1</v>
      </c>
      <c r="N321">
        <v>4</v>
      </c>
      <c r="O321">
        <f t="shared" si="88"/>
        <v>0</v>
      </c>
      <c r="P321">
        <f t="shared" si="89"/>
        <v>0</v>
      </c>
      <c r="Q321">
        <f t="shared" si="90"/>
        <v>0</v>
      </c>
      <c r="R321">
        <f t="shared" si="91"/>
        <v>0</v>
      </c>
      <c r="S321">
        <f t="shared" si="92"/>
        <v>1</v>
      </c>
      <c r="T321">
        <f t="shared" si="99"/>
        <v>1</v>
      </c>
      <c r="U321">
        <f t="shared" si="100"/>
        <v>0</v>
      </c>
      <c r="V321">
        <f t="shared" si="101"/>
        <v>0</v>
      </c>
      <c r="W321">
        <f t="shared" si="102"/>
        <v>0</v>
      </c>
      <c r="X321" t="s">
        <v>40</v>
      </c>
      <c r="Y321" t="s">
        <v>46</v>
      </c>
      <c r="Z321" t="s">
        <v>41</v>
      </c>
      <c r="AA321" t="s">
        <v>42</v>
      </c>
      <c r="AB321">
        <v>1</v>
      </c>
      <c r="AC321">
        <v>2</v>
      </c>
      <c r="AD321">
        <v>0</v>
      </c>
      <c r="AE321" t="s">
        <v>44</v>
      </c>
      <c r="AF321" t="s">
        <v>43</v>
      </c>
      <c r="AG321">
        <f t="shared" si="103"/>
        <v>1</v>
      </c>
      <c r="AH321" t="s">
        <v>43</v>
      </c>
      <c r="AI321">
        <f t="shared" si="104"/>
        <v>1</v>
      </c>
      <c r="AJ321" t="s">
        <v>43</v>
      </c>
      <c r="AK321">
        <f t="shared" si="105"/>
        <v>1</v>
      </c>
      <c r="AL321">
        <f t="shared" si="106"/>
        <v>1</v>
      </c>
      <c r="AM321">
        <v>2</v>
      </c>
      <c r="AN321">
        <f t="shared" si="107"/>
        <v>0</v>
      </c>
      <c r="AO321">
        <f t="shared" si="108"/>
        <v>1</v>
      </c>
      <c r="AP321">
        <f t="shared" si="109"/>
        <v>0</v>
      </c>
      <c r="AQ321">
        <v>11</v>
      </c>
      <c r="AR321">
        <v>11</v>
      </c>
      <c r="AS321">
        <v>11</v>
      </c>
    </row>
    <row r="322" spans="1:45" x14ac:dyDescent="0.2">
      <c r="A322" t="s">
        <v>34</v>
      </c>
      <c r="B322" t="s">
        <v>35</v>
      </c>
      <c r="C322">
        <v>17</v>
      </c>
      <c r="D322" t="s">
        <v>36</v>
      </c>
      <c r="E322" t="s">
        <v>37</v>
      </c>
      <c r="F322" t="s">
        <v>38</v>
      </c>
      <c r="G322">
        <f t="shared" si="93"/>
        <v>0</v>
      </c>
      <c r="H322">
        <v>4</v>
      </c>
      <c r="I322">
        <f t="shared" si="94"/>
        <v>0</v>
      </c>
      <c r="J322">
        <f t="shared" si="95"/>
        <v>0</v>
      </c>
      <c r="K322">
        <f t="shared" si="96"/>
        <v>0</v>
      </c>
      <c r="L322">
        <f t="shared" si="97"/>
        <v>0</v>
      </c>
      <c r="M322">
        <f t="shared" si="98"/>
        <v>1</v>
      </c>
      <c r="N322">
        <v>3</v>
      </c>
      <c r="O322">
        <f t="shared" ref="O322:O385" si="110" xml:space="preserve"> IF($N322=0,1,0)</f>
        <v>0</v>
      </c>
      <c r="P322">
        <f t="shared" ref="P322:P385" si="111" xml:space="preserve"> IF($N322=1,1,0)</f>
        <v>0</v>
      </c>
      <c r="Q322">
        <f t="shared" ref="Q322:Q385" si="112" xml:space="preserve"> IF($N322=2,1,0)</f>
        <v>0</v>
      </c>
      <c r="R322">
        <f t="shared" ref="R322:R385" si="113" xml:space="preserve"> IF($N322=3,1,0)</f>
        <v>1</v>
      </c>
      <c r="S322">
        <f t="shared" ref="S322:S385" si="114" xml:space="preserve"> IF($N322=4,1,0)</f>
        <v>0</v>
      </c>
      <c r="T322">
        <f t="shared" si="99"/>
        <v>0</v>
      </c>
      <c r="U322">
        <f t="shared" si="100"/>
        <v>1</v>
      </c>
      <c r="V322">
        <f t="shared" si="101"/>
        <v>0</v>
      </c>
      <c r="W322">
        <f t="shared" si="102"/>
        <v>0</v>
      </c>
      <c r="X322" t="s">
        <v>49</v>
      </c>
      <c r="Y322" t="s">
        <v>49</v>
      </c>
      <c r="Z322" t="s">
        <v>41</v>
      </c>
      <c r="AA322" t="s">
        <v>42</v>
      </c>
      <c r="AB322">
        <v>1</v>
      </c>
      <c r="AC322">
        <v>2</v>
      </c>
      <c r="AD322">
        <v>0</v>
      </c>
      <c r="AE322" t="s">
        <v>44</v>
      </c>
      <c r="AF322" t="s">
        <v>43</v>
      </c>
      <c r="AG322">
        <f t="shared" si="103"/>
        <v>1</v>
      </c>
      <c r="AH322" t="s">
        <v>43</v>
      </c>
      <c r="AI322">
        <f t="shared" si="104"/>
        <v>1</v>
      </c>
      <c r="AJ322" t="s">
        <v>43</v>
      </c>
      <c r="AK322">
        <f t="shared" si="105"/>
        <v>1</v>
      </c>
      <c r="AL322">
        <f t="shared" si="106"/>
        <v>1</v>
      </c>
      <c r="AM322">
        <v>23</v>
      </c>
      <c r="AN322">
        <f t="shared" si="107"/>
        <v>1</v>
      </c>
      <c r="AO322">
        <f t="shared" si="108"/>
        <v>1</v>
      </c>
      <c r="AP322">
        <f t="shared" si="109"/>
        <v>0</v>
      </c>
      <c r="AQ322">
        <v>13</v>
      </c>
      <c r="AR322">
        <v>13</v>
      </c>
      <c r="AS322">
        <v>13</v>
      </c>
    </row>
    <row r="323" spans="1:45" x14ac:dyDescent="0.2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f t="shared" ref="G323:G386" si="115">IF(F323="T",1,0)</f>
        <v>1</v>
      </c>
      <c r="H323">
        <v>2</v>
      </c>
      <c r="I323">
        <f t="shared" ref="I323:I386" si="116" xml:space="preserve"> IF($H323=0,1,0)</f>
        <v>0</v>
      </c>
      <c r="J323">
        <f t="shared" ref="J323:J386" si="117" xml:space="preserve"> IF($H323=1,1,0)</f>
        <v>0</v>
      </c>
      <c r="K323">
        <f t="shared" ref="K323:K386" si="118" xml:space="preserve"> IF($H323=2,1,0)</f>
        <v>1</v>
      </c>
      <c r="L323">
        <f t="shared" ref="L323:L386" si="119" xml:space="preserve"> IF($H323=3,1,0)</f>
        <v>0</v>
      </c>
      <c r="M323">
        <f t="shared" ref="M323:M386" si="120" xml:space="preserve"> IF($H323=4,1,0)</f>
        <v>0</v>
      </c>
      <c r="N323">
        <v>2</v>
      </c>
      <c r="O323">
        <f t="shared" si="110"/>
        <v>0</v>
      </c>
      <c r="P323">
        <f t="shared" si="111"/>
        <v>0</v>
      </c>
      <c r="Q323">
        <f t="shared" si="112"/>
        <v>1</v>
      </c>
      <c r="R323">
        <f t="shared" si="113"/>
        <v>0</v>
      </c>
      <c r="S323">
        <f t="shared" si="114"/>
        <v>0</v>
      </c>
      <c r="T323">
        <f t="shared" ref="T323:T386" si="121">IF(AND(M323=1,S323=1),1,0)</f>
        <v>0</v>
      </c>
      <c r="U323">
        <f t="shared" ref="U323:U386" si="122">IF(AND(M323=1,R323=1),1,0)</f>
        <v>0</v>
      </c>
      <c r="V323">
        <f t="shared" ref="V323:V386" si="123">IF(OR(AND(M323=1,Q323=1),AND(M323=1,P323=1)),1,0)</f>
        <v>0</v>
      </c>
      <c r="W323">
        <f t="shared" ref="W323:W386" si="124">IF(AND(L323=1,S323=1),1,0)</f>
        <v>0</v>
      </c>
      <c r="X323" t="s">
        <v>46</v>
      </c>
      <c r="Y323" t="s">
        <v>46</v>
      </c>
      <c r="Z323" t="s">
        <v>41</v>
      </c>
      <c r="AA323" t="s">
        <v>42</v>
      </c>
      <c r="AB323">
        <v>1</v>
      </c>
      <c r="AC323">
        <v>2</v>
      </c>
      <c r="AD323">
        <v>0</v>
      </c>
      <c r="AE323" t="s">
        <v>44</v>
      </c>
      <c r="AF323" t="s">
        <v>43</v>
      </c>
      <c r="AG323">
        <f t="shared" ref="AG323:AG386" si="125">IF(AF323="yes",1,0)</f>
        <v>1</v>
      </c>
      <c r="AH323" t="s">
        <v>44</v>
      </c>
      <c r="AI323">
        <f t="shared" ref="AI323:AI386" si="126">IF(AH323="yes",1,0)</f>
        <v>0</v>
      </c>
      <c r="AJ323" t="s">
        <v>44</v>
      </c>
      <c r="AK323">
        <f t="shared" ref="AK323:AK386" si="127">IF(AJ323="yes",1,0)</f>
        <v>0</v>
      </c>
      <c r="AL323">
        <f t="shared" ref="AL323:AL386" si="128">IF(AND(AI323=1,AK323=1),1,0)</f>
        <v>0</v>
      </c>
      <c r="AM323">
        <v>12</v>
      </c>
      <c r="AN323">
        <f t="shared" ref="AN323:AN386" si="129">IF(AND(M323=1,G323=0),1,0)</f>
        <v>0</v>
      </c>
      <c r="AO323">
        <f t="shared" ref="AO323:AO386" si="130">IF(AND(M323=1,AI323=1),1,0)</f>
        <v>0</v>
      </c>
      <c r="AP323">
        <f t="shared" ref="AP323:AP386" si="131">IF(AND(L323=1,AI323=1),1,0)</f>
        <v>0</v>
      </c>
      <c r="AQ323">
        <v>11</v>
      </c>
      <c r="AR323">
        <v>9</v>
      </c>
      <c r="AS323">
        <v>9</v>
      </c>
    </row>
    <row r="324" spans="1:45" x14ac:dyDescent="0.2">
      <c r="A324" t="s">
        <v>34</v>
      </c>
      <c r="B324" t="s">
        <v>35</v>
      </c>
      <c r="C324">
        <v>17</v>
      </c>
      <c r="D324" t="s">
        <v>53</v>
      </c>
      <c r="E324" t="s">
        <v>48</v>
      </c>
      <c r="F324" t="s">
        <v>45</v>
      </c>
      <c r="G324">
        <f t="shared" si="115"/>
        <v>1</v>
      </c>
      <c r="H324">
        <v>2</v>
      </c>
      <c r="I324">
        <f t="shared" si="116"/>
        <v>0</v>
      </c>
      <c r="J324">
        <f t="shared" si="117"/>
        <v>0</v>
      </c>
      <c r="K324">
        <f t="shared" si="118"/>
        <v>1</v>
      </c>
      <c r="L324">
        <f t="shared" si="119"/>
        <v>0</v>
      </c>
      <c r="M324">
        <f t="shared" si="120"/>
        <v>0</v>
      </c>
      <c r="N324">
        <v>2</v>
      </c>
      <c r="O324">
        <f t="shared" si="110"/>
        <v>0</v>
      </c>
      <c r="P324">
        <f t="shared" si="111"/>
        <v>0</v>
      </c>
      <c r="Q324">
        <f t="shared" si="112"/>
        <v>1</v>
      </c>
      <c r="R324">
        <f t="shared" si="113"/>
        <v>0</v>
      </c>
      <c r="S324">
        <f t="shared" si="114"/>
        <v>0</v>
      </c>
      <c r="T324">
        <f t="shared" si="121"/>
        <v>0</v>
      </c>
      <c r="U324">
        <f t="shared" si="122"/>
        <v>0</v>
      </c>
      <c r="V324">
        <f t="shared" si="123"/>
        <v>0</v>
      </c>
      <c r="W324">
        <f t="shared" si="124"/>
        <v>0</v>
      </c>
      <c r="X324" t="s">
        <v>49</v>
      </c>
      <c r="Y324" t="s">
        <v>49</v>
      </c>
      <c r="Z324" t="s">
        <v>41</v>
      </c>
      <c r="AA324" t="s">
        <v>42</v>
      </c>
      <c r="AB324">
        <v>1</v>
      </c>
      <c r="AC324">
        <v>3</v>
      </c>
      <c r="AD324">
        <v>0</v>
      </c>
      <c r="AE324" t="s">
        <v>44</v>
      </c>
      <c r="AF324" t="s">
        <v>43</v>
      </c>
      <c r="AG324">
        <f t="shared" si="125"/>
        <v>1</v>
      </c>
      <c r="AH324" t="s">
        <v>43</v>
      </c>
      <c r="AI324">
        <f t="shared" si="126"/>
        <v>1</v>
      </c>
      <c r="AJ324" t="s">
        <v>43</v>
      </c>
      <c r="AK324">
        <f t="shared" si="127"/>
        <v>1</v>
      </c>
      <c r="AL324">
        <f t="shared" si="128"/>
        <v>1</v>
      </c>
      <c r="AM324">
        <v>3</v>
      </c>
      <c r="AN324">
        <f t="shared" si="129"/>
        <v>0</v>
      </c>
      <c r="AO324">
        <f t="shared" si="130"/>
        <v>0</v>
      </c>
      <c r="AP324">
        <f t="shared" si="131"/>
        <v>0</v>
      </c>
      <c r="AQ324">
        <v>11</v>
      </c>
      <c r="AR324">
        <v>11</v>
      </c>
      <c r="AS324">
        <v>11</v>
      </c>
    </row>
    <row r="325" spans="1:45" x14ac:dyDescent="0.2">
      <c r="A325" t="s">
        <v>34</v>
      </c>
      <c r="B325" t="s">
        <v>35</v>
      </c>
      <c r="C325">
        <v>17</v>
      </c>
      <c r="D325" t="s">
        <v>36</v>
      </c>
      <c r="E325" t="s">
        <v>37</v>
      </c>
      <c r="F325" t="s">
        <v>45</v>
      </c>
      <c r="G325">
        <f t="shared" si="115"/>
        <v>1</v>
      </c>
      <c r="H325">
        <v>3</v>
      </c>
      <c r="I325">
        <f t="shared" si="116"/>
        <v>0</v>
      </c>
      <c r="J325">
        <f t="shared" si="117"/>
        <v>0</v>
      </c>
      <c r="K325">
        <f t="shared" si="118"/>
        <v>0</v>
      </c>
      <c r="L325">
        <f t="shared" si="119"/>
        <v>1</v>
      </c>
      <c r="M325">
        <f t="shared" si="120"/>
        <v>0</v>
      </c>
      <c r="N325">
        <v>1</v>
      </c>
      <c r="O325">
        <f t="shared" si="110"/>
        <v>0</v>
      </c>
      <c r="P325">
        <f t="shared" si="111"/>
        <v>1</v>
      </c>
      <c r="Q325">
        <f t="shared" si="112"/>
        <v>0</v>
      </c>
      <c r="R325">
        <f t="shared" si="113"/>
        <v>0</v>
      </c>
      <c r="S325">
        <f t="shared" si="114"/>
        <v>0</v>
      </c>
      <c r="T325">
        <f t="shared" si="121"/>
        <v>0</v>
      </c>
      <c r="U325">
        <f t="shared" si="122"/>
        <v>0</v>
      </c>
      <c r="V325">
        <f t="shared" si="123"/>
        <v>0</v>
      </c>
      <c r="W325">
        <f t="shared" si="124"/>
        <v>0</v>
      </c>
      <c r="X325" t="s">
        <v>49</v>
      </c>
      <c r="Y325" t="s">
        <v>49</v>
      </c>
      <c r="Z325" t="s">
        <v>41</v>
      </c>
      <c r="AA325" t="s">
        <v>47</v>
      </c>
      <c r="AB325">
        <v>1</v>
      </c>
      <c r="AC325">
        <v>3</v>
      </c>
      <c r="AD325">
        <v>0</v>
      </c>
      <c r="AE325" t="s">
        <v>44</v>
      </c>
      <c r="AF325" t="s">
        <v>43</v>
      </c>
      <c r="AG325">
        <f t="shared" si="125"/>
        <v>1</v>
      </c>
      <c r="AH325" t="s">
        <v>44</v>
      </c>
      <c r="AI325">
        <f t="shared" si="126"/>
        <v>0</v>
      </c>
      <c r="AJ325" t="s">
        <v>43</v>
      </c>
      <c r="AK325">
        <f t="shared" si="127"/>
        <v>1</v>
      </c>
      <c r="AL325">
        <f t="shared" si="128"/>
        <v>0</v>
      </c>
      <c r="AM325">
        <v>1</v>
      </c>
      <c r="AN325">
        <f t="shared" si="129"/>
        <v>0</v>
      </c>
      <c r="AO325">
        <f t="shared" si="130"/>
        <v>0</v>
      </c>
      <c r="AP325">
        <f t="shared" si="131"/>
        <v>0</v>
      </c>
      <c r="AQ325">
        <v>12</v>
      </c>
      <c r="AR325">
        <v>14</v>
      </c>
      <c r="AS325">
        <v>15</v>
      </c>
    </row>
    <row r="326" spans="1:45" x14ac:dyDescent="0.2">
      <c r="A326" t="s">
        <v>34</v>
      </c>
      <c r="B326" t="s">
        <v>35</v>
      </c>
      <c r="C326">
        <v>17</v>
      </c>
      <c r="D326" t="s">
        <v>36</v>
      </c>
      <c r="E326" t="s">
        <v>48</v>
      </c>
      <c r="F326" t="s">
        <v>45</v>
      </c>
      <c r="G326">
        <f t="shared" si="115"/>
        <v>1</v>
      </c>
      <c r="H326">
        <v>0</v>
      </c>
      <c r="I326">
        <f t="shared" si="116"/>
        <v>1</v>
      </c>
      <c r="J326">
        <f t="shared" si="117"/>
        <v>0</v>
      </c>
      <c r="K326">
        <f t="shared" si="118"/>
        <v>0</v>
      </c>
      <c r="L326">
        <f t="shared" si="119"/>
        <v>0</v>
      </c>
      <c r="M326">
        <f t="shared" si="120"/>
        <v>0</v>
      </c>
      <c r="N326">
        <v>2</v>
      </c>
      <c r="O326">
        <f t="shared" si="110"/>
        <v>0</v>
      </c>
      <c r="P326">
        <f t="shared" si="111"/>
        <v>0</v>
      </c>
      <c r="Q326">
        <f t="shared" si="112"/>
        <v>1</v>
      </c>
      <c r="R326">
        <f t="shared" si="113"/>
        <v>0</v>
      </c>
      <c r="S326">
        <f t="shared" si="114"/>
        <v>0</v>
      </c>
      <c r="T326">
        <f t="shared" si="121"/>
        <v>0</v>
      </c>
      <c r="U326">
        <f t="shared" si="122"/>
        <v>0</v>
      </c>
      <c r="V326">
        <f t="shared" si="123"/>
        <v>0</v>
      </c>
      <c r="W326">
        <f t="shared" si="124"/>
        <v>0</v>
      </c>
      <c r="X326" t="s">
        <v>39</v>
      </c>
      <c r="Y326" t="s">
        <v>39</v>
      </c>
      <c r="Z326" t="s">
        <v>50</v>
      </c>
      <c r="AA326" t="s">
        <v>47</v>
      </c>
      <c r="AB326">
        <v>2</v>
      </c>
      <c r="AC326">
        <v>3</v>
      </c>
      <c r="AD326">
        <v>0</v>
      </c>
      <c r="AE326" t="s">
        <v>44</v>
      </c>
      <c r="AF326" t="s">
        <v>44</v>
      </c>
      <c r="AG326">
        <f t="shared" si="125"/>
        <v>0</v>
      </c>
      <c r="AH326" t="s">
        <v>44</v>
      </c>
      <c r="AI326">
        <f t="shared" si="126"/>
        <v>0</v>
      </c>
      <c r="AJ326" t="s">
        <v>43</v>
      </c>
      <c r="AK326">
        <f t="shared" si="127"/>
        <v>1</v>
      </c>
      <c r="AL326">
        <f t="shared" si="128"/>
        <v>0</v>
      </c>
      <c r="AM326">
        <v>0</v>
      </c>
      <c r="AN326">
        <f t="shared" si="129"/>
        <v>0</v>
      </c>
      <c r="AO326">
        <f t="shared" si="130"/>
        <v>0</v>
      </c>
      <c r="AP326">
        <f t="shared" si="131"/>
        <v>0</v>
      </c>
      <c r="AQ326">
        <v>16</v>
      </c>
      <c r="AR326">
        <v>15</v>
      </c>
      <c r="AS326">
        <v>15</v>
      </c>
    </row>
    <row r="327" spans="1:45" x14ac:dyDescent="0.2">
      <c r="A327" t="s">
        <v>34</v>
      </c>
      <c r="B327" t="s">
        <v>51</v>
      </c>
      <c r="C327">
        <v>18</v>
      </c>
      <c r="D327" t="s">
        <v>36</v>
      </c>
      <c r="E327" t="s">
        <v>37</v>
      </c>
      <c r="F327" t="s">
        <v>45</v>
      </c>
      <c r="G327">
        <f t="shared" si="115"/>
        <v>1</v>
      </c>
      <c r="H327">
        <v>4</v>
      </c>
      <c r="I327">
        <f t="shared" si="116"/>
        <v>0</v>
      </c>
      <c r="J327">
        <f t="shared" si="117"/>
        <v>0</v>
      </c>
      <c r="K327">
        <f t="shared" si="118"/>
        <v>0</v>
      </c>
      <c r="L327">
        <f t="shared" si="119"/>
        <v>0</v>
      </c>
      <c r="M327">
        <f t="shared" si="120"/>
        <v>1</v>
      </c>
      <c r="N327">
        <v>4</v>
      </c>
      <c r="O327">
        <f t="shared" si="110"/>
        <v>0</v>
      </c>
      <c r="P327">
        <f t="shared" si="111"/>
        <v>0</v>
      </c>
      <c r="Q327">
        <f t="shared" si="112"/>
        <v>0</v>
      </c>
      <c r="R327">
        <f t="shared" si="113"/>
        <v>0</v>
      </c>
      <c r="S327">
        <f t="shared" si="114"/>
        <v>1</v>
      </c>
      <c r="T327">
        <f t="shared" si="121"/>
        <v>1</v>
      </c>
      <c r="U327">
        <f t="shared" si="122"/>
        <v>0</v>
      </c>
      <c r="V327">
        <f t="shared" si="123"/>
        <v>0</v>
      </c>
      <c r="W327">
        <f t="shared" si="124"/>
        <v>0</v>
      </c>
      <c r="X327" t="s">
        <v>46</v>
      </c>
      <c r="Y327" t="s">
        <v>46</v>
      </c>
      <c r="Z327" t="s">
        <v>41</v>
      </c>
      <c r="AA327" t="s">
        <v>42</v>
      </c>
      <c r="AB327">
        <v>1</v>
      </c>
      <c r="AC327">
        <v>3</v>
      </c>
      <c r="AD327">
        <v>0</v>
      </c>
      <c r="AE327" t="s">
        <v>44</v>
      </c>
      <c r="AF327" t="s">
        <v>44</v>
      </c>
      <c r="AG327">
        <f t="shared" si="125"/>
        <v>0</v>
      </c>
      <c r="AH327" t="s">
        <v>44</v>
      </c>
      <c r="AI327">
        <f t="shared" si="126"/>
        <v>0</v>
      </c>
      <c r="AJ327" t="s">
        <v>43</v>
      </c>
      <c r="AK327">
        <f t="shared" si="127"/>
        <v>1</v>
      </c>
      <c r="AL327">
        <f t="shared" si="128"/>
        <v>0</v>
      </c>
      <c r="AM327">
        <v>3</v>
      </c>
      <c r="AN327">
        <f t="shared" si="129"/>
        <v>0</v>
      </c>
      <c r="AO327">
        <f t="shared" si="130"/>
        <v>0</v>
      </c>
      <c r="AP327">
        <f t="shared" si="131"/>
        <v>0</v>
      </c>
      <c r="AQ327">
        <v>9</v>
      </c>
      <c r="AR327">
        <v>12</v>
      </c>
      <c r="AS327">
        <v>11</v>
      </c>
    </row>
    <row r="328" spans="1:45" x14ac:dyDescent="0.2">
      <c r="A328" t="s">
        <v>34</v>
      </c>
      <c r="B328" t="s">
        <v>51</v>
      </c>
      <c r="C328">
        <v>17</v>
      </c>
      <c r="D328" t="s">
        <v>36</v>
      </c>
      <c r="E328" t="s">
        <v>37</v>
      </c>
      <c r="F328" t="s">
        <v>45</v>
      </c>
      <c r="G328">
        <f t="shared" si="115"/>
        <v>1</v>
      </c>
      <c r="H328">
        <v>3</v>
      </c>
      <c r="I328">
        <f t="shared" si="116"/>
        <v>0</v>
      </c>
      <c r="J328">
        <f t="shared" si="117"/>
        <v>0</v>
      </c>
      <c r="K328">
        <f t="shared" si="118"/>
        <v>0</v>
      </c>
      <c r="L328">
        <f t="shared" si="119"/>
        <v>1</v>
      </c>
      <c r="M328">
        <f t="shared" si="120"/>
        <v>0</v>
      </c>
      <c r="N328">
        <v>3</v>
      </c>
      <c r="O328">
        <f t="shared" si="110"/>
        <v>0</v>
      </c>
      <c r="P328">
        <f t="shared" si="111"/>
        <v>0</v>
      </c>
      <c r="Q328">
        <f t="shared" si="112"/>
        <v>0</v>
      </c>
      <c r="R328">
        <f t="shared" si="113"/>
        <v>1</v>
      </c>
      <c r="S328">
        <f t="shared" si="114"/>
        <v>0</v>
      </c>
      <c r="T328">
        <f t="shared" si="121"/>
        <v>0</v>
      </c>
      <c r="U328">
        <f t="shared" si="122"/>
        <v>0</v>
      </c>
      <c r="V328">
        <f t="shared" si="123"/>
        <v>0</v>
      </c>
      <c r="W328">
        <f t="shared" si="124"/>
        <v>0</v>
      </c>
      <c r="X328" t="s">
        <v>46</v>
      </c>
      <c r="Y328" t="s">
        <v>49</v>
      </c>
      <c r="Z328" t="s">
        <v>52</v>
      </c>
      <c r="AA328" t="s">
        <v>42</v>
      </c>
      <c r="AB328">
        <v>1</v>
      </c>
      <c r="AC328">
        <v>1</v>
      </c>
      <c r="AD328">
        <v>0</v>
      </c>
      <c r="AE328" t="s">
        <v>44</v>
      </c>
      <c r="AF328" t="s">
        <v>44</v>
      </c>
      <c r="AG328">
        <f t="shared" si="125"/>
        <v>0</v>
      </c>
      <c r="AH328" t="s">
        <v>44</v>
      </c>
      <c r="AI328">
        <f t="shared" si="126"/>
        <v>0</v>
      </c>
      <c r="AJ328" t="s">
        <v>43</v>
      </c>
      <c r="AK328">
        <f t="shared" si="127"/>
        <v>1</v>
      </c>
      <c r="AL328">
        <f t="shared" si="128"/>
        <v>0</v>
      </c>
      <c r="AM328">
        <v>3</v>
      </c>
      <c r="AN328">
        <f t="shared" si="129"/>
        <v>0</v>
      </c>
      <c r="AO328">
        <f t="shared" si="130"/>
        <v>0</v>
      </c>
      <c r="AP328">
        <f t="shared" si="131"/>
        <v>0</v>
      </c>
      <c r="AQ328">
        <v>14</v>
      </c>
      <c r="AR328">
        <v>15</v>
      </c>
      <c r="AS328">
        <v>16</v>
      </c>
    </row>
    <row r="329" spans="1:45" x14ac:dyDescent="0.2">
      <c r="A329" t="s">
        <v>34</v>
      </c>
      <c r="B329" t="s">
        <v>51</v>
      </c>
      <c r="C329">
        <v>17</v>
      </c>
      <c r="D329" t="s">
        <v>53</v>
      </c>
      <c r="E329" t="s">
        <v>37</v>
      </c>
      <c r="F329" t="s">
        <v>45</v>
      </c>
      <c r="G329">
        <f t="shared" si="115"/>
        <v>1</v>
      </c>
      <c r="H329">
        <v>2</v>
      </c>
      <c r="I329">
        <f t="shared" si="116"/>
        <v>0</v>
      </c>
      <c r="J329">
        <f t="shared" si="117"/>
        <v>0</v>
      </c>
      <c r="K329">
        <f t="shared" si="118"/>
        <v>1</v>
      </c>
      <c r="L329">
        <f t="shared" si="119"/>
        <v>0</v>
      </c>
      <c r="M329">
        <f t="shared" si="120"/>
        <v>0</v>
      </c>
      <c r="N329">
        <v>2</v>
      </c>
      <c r="O329">
        <f t="shared" si="110"/>
        <v>0</v>
      </c>
      <c r="P329">
        <f t="shared" si="111"/>
        <v>0</v>
      </c>
      <c r="Q329">
        <f t="shared" si="112"/>
        <v>1</v>
      </c>
      <c r="R329">
        <f t="shared" si="113"/>
        <v>0</v>
      </c>
      <c r="S329">
        <f t="shared" si="114"/>
        <v>0</v>
      </c>
      <c r="T329">
        <f t="shared" si="121"/>
        <v>0</v>
      </c>
      <c r="U329">
        <f t="shared" si="122"/>
        <v>0</v>
      </c>
      <c r="V329">
        <f t="shared" si="123"/>
        <v>0</v>
      </c>
      <c r="W329">
        <f t="shared" si="124"/>
        <v>0</v>
      </c>
      <c r="X329" t="s">
        <v>49</v>
      </c>
      <c r="Y329" t="s">
        <v>46</v>
      </c>
      <c r="Z329" t="s">
        <v>41</v>
      </c>
      <c r="AA329" t="s">
        <v>42</v>
      </c>
      <c r="AB329">
        <v>4</v>
      </c>
      <c r="AC329">
        <v>1</v>
      </c>
      <c r="AD329">
        <v>0</v>
      </c>
      <c r="AE329" t="s">
        <v>44</v>
      </c>
      <c r="AF329" t="s">
        <v>43</v>
      </c>
      <c r="AG329">
        <f t="shared" si="125"/>
        <v>1</v>
      </c>
      <c r="AH329" t="s">
        <v>44</v>
      </c>
      <c r="AI329">
        <f t="shared" si="126"/>
        <v>0</v>
      </c>
      <c r="AJ329" t="s">
        <v>43</v>
      </c>
      <c r="AK329">
        <f t="shared" si="127"/>
        <v>1</v>
      </c>
      <c r="AL329">
        <f t="shared" si="128"/>
        <v>0</v>
      </c>
      <c r="AM329">
        <v>8</v>
      </c>
      <c r="AN329">
        <f t="shared" si="129"/>
        <v>0</v>
      </c>
      <c r="AO329">
        <f t="shared" si="130"/>
        <v>0</v>
      </c>
      <c r="AP329">
        <f t="shared" si="131"/>
        <v>0</v>
      </c>
      <c r="AQ329">
        <v>11</v>
      </c>
      <c r="AR329">
        <v>10</v>
      </c>
      <c r="AS329">
        <v>10</v>
      </c>
    </row>
    <row r="330" spans="1:45" x14ac:dyDescent="0.2">
      <c r="A330" t="s">
        <v>34</v>
      </c>
      <c r="B330" t="s">
        <v>35</v>
      </c>
      <c r="C330">
        <v>17</v>
      </c>
      <c r="D330" t="s">
        <v>36</v>
      </c>
      <c r="E330" t="s">
        <v>37</v>
      </c>
      <c r="F330" t="s">
        <v>45</v>
      </c>
      <c r="G330">
        <f t="shared" si="115"/>
        <v>1</v>
      </c>
      <c r="H330">
        <v>4</v>
      </c>
      <c r="I330">
        <f t="shared" si="116"/>
        <v>0</v>
      </c>
      <c r="J330">
        <f t="shared" si="117"/>
        <v>0</v>
      </c>
      <c r="K330">
        <f t="shared" si="118"/>
        <v>0</v>
      </c>
      <c r="L330">
        <f t="shared" si="119"/>
        <v>0</v>
      </c>
      <c r="M330">
        <f t="shared" si="120"/>
        <v>1</v>
      </c>
      <c r="N330">
        <v>4</v>
      </c>
      <c r="O330">
        <f t="shared" si="110"/>
        <v>0</v>
      </c>
      <c r="P330">
        <f t="shared" si="111"/>
        <v>0</v>
      </c>
      <c r="Q330">
        <f t="shared" si="112"/>
        <v>0</v>
      </c>
      <c r="R330">
        <f t="shared" si="113"/>
        <v>0</v>
      </c>
      <c r="S330">
        <f t="shared" si="114"/>
        <v>1</v>
      </c>
      <c r="T330">
        <f t="shared" si="121"/>
        <v>1</v>
      </c>
      <c r="U330">
        <f t="shared" si="122"/>
        <v>0</v>
      </c>
      <c r="V330">
        <f t="shared" si="123"/>
        <v>0</v>
      </c>
      <c r="W330">
        <f t="shared" si="124"/>
        <v>0</v>
      </c>
      <c r="X330" t="s">
        <v>40</v>
      </c>
      <c r="Y330" t="s">
        <v>49</v>
      </c>
      <c r="Z330" t="s">
        <v>41</v>
      </c>
      <c r="AA330" t="s">
        <v>42</v>
      </c>
      <c r="AB330">
        <v>1</v>
      </c>
      <c r="AC330">
        <v>3</v>
      </c>
      <c r="AD330">
        <v>0</v>
      </c>
      <c r="AE330" t="s">
        <v>44</v>
      </c>
      <c r="AF330" t="s">
        <v>43</v>
      </c>
      <c r="AG330">
        <f t="shared" si="125"/>
        <v>1</v>
      </c>
      <c r="AH330" t="s">
        <v>43</v>
      </c>
      <c r="AI330">
        <f t="shared" si="126"/>
        <v>1</v>
      </c>
      <c r="AJ330" t="s">
        <v>43</v>
      </c>
      <c r="AK330">
        <f t="shared" si="127"/>
        <v>1</v>
      </c>
      <c r="AL330">
        <f t="shared" si="128"/>
        <v>1</v>
      </c>
      <c r="AM330">
        <v>7</v>
      </c>
      <c r="AN330">
        <f t="shared" si="129"/>
        <v>0</v>
      </c>
      <c r="AO330">
        <f t="shared" si="130"/>
        <v>1</v>
      </c>
      <c r="AP330">
        <f t="shared" si="131"/>
        <v>0</v>
      </c>
      <c r="AQ330">
        <v>10</v>
      </c>
      <c r="AR330">
        <v>9</v>
      </c>
      <c r="AS330">
        <v>9</v>
      </c>
    </row>
    <row r="331" spans="1:45" x14ac:dyDescent="0.2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f t="shared" si="115"/>
        <v>1</v>
      </c>
      <c r="H331">
        <v>4</v>
      </c>
      <c r="I331">
        <f t="shared" si="116"/>
        <v>0</v>
      </c>
      <c r="J331">
        <f t="shared" si="117"/>
        <v>0</v>
      </c>
      <c r="K331">
        <f t="shared" si="118"/>
        <v>0</v>
      </c>
      <c r="L331">
        <f t="shared" si="119"/>
        <v>0</v>
      </c>
      <c r="M331">
        <f t="shared" si="120"/>
        <v>1</v>
      </c>
      <c r="N331">
        <v>4</v>
      </c>
      <c r="O331">
        <f t="shared" si="110"/>
        <v>0</v>
      </c>
      <c r="P331">
        <f t="shared" si="111"/>
        <v>0</v>
      </c>
      <c r="Q331">
        <f t="shared" si="112"/>
        <v>0</v>
      </c>
      <c r="R331">
        <f t="shared" si="113"/>
        <v>0</v>
      </c>
      <c r="S331">
        <f t="shared" si="114"/>
        <v>1</v>
      </c>
      <c r="T331">
        <f t="shared" si="121"/>
        <v>1</v>
      </c>
      <c r="U331">
        <f t="shared" si="122"/>
        <v>0</v>
      </c>
      <c r="V331">
        <f t="shared" si="123"/>
        <v>0</v>
      </c>
      <c r="W331">
        <f t="shared" si="124"/>
        <v>0</v>
      </c>
      <c r="X331" t="s">
        <v>40</v>
      </c>
      <c r="Y331" t="s">
        <v>40</v>
      </c>
      <c r="Z331" t="s">
        <v>41</v>
      </c>
      <c r="AA331" t="s">
        <v>42</v>
      </c>
      <c r="AB331">
        <v>2</v>
      </c>
      <c r="AC331">
        <v>3</v>
      </c>
      <c r="AD331">
        <v>0</v>
      </c>
      <c r="AE331" t="s">
        <v>44</v>
      </c>
      <c r="AF331" t="s">
        <v>43</v>
      </c>
      <c r="AG331">
        <f t="shared" si="125"/>
        <v>1</v>
      </c>
      <c r="AH331" t="s">
        <v>43</v>
      </c>
      <c r="AI331">
        <f t="shared" si="126"/>
        <v>1</v>
      </c>
      <c r="AJ331" t="s">
        <v>43</v>
      </c>
      <c r="AK331">
        <f t="shared" si="127"/>
        <v>1</v>
      </c>
      <c r="AL331">
        <f t="shared" si="128"/>
        <v>1</v>
      </c>
      <c r="AM331">
        <v>4</v>
      </c>
      <c r="AN331">
        <f t="shared" si="129"/>
        <v>0</v>
      </c>
      <c r="AO331">
        <f t="shared" si="130"/>
        <v>1</v>
      </c>
      <c r="AP331">
        <f t="shared" si="131"/>
        <v>0</v>
      </c>
      <c r="AQ331">
        <v>14</v>
      </c>
      <c r="AR331">
        <v>14</v>
      </c>
      <c r="AS331">
        <v>14</v>
      </c>
    </row>
    <row r="332" spans="1:45" x14ac:dyDescent="0.2">
      <c r="A332" t="s">
        <v>34</v>
      </c>
      <c r="B332" t="s">
        <v>51</v>
      </c>
      <c r="C332">
        <v>18</v>
      </c>
      <c r="D332" t="s">
        <v>36</v>
      </c>
      <c r="E332" t="s">
        <v>48</v>
      </c>
      <c r="F332" t="s">
        <v>45</v>
      </c>
      <c r="G332">
        <f t="shared" si="115"/>
        <v>1</v>
      </c>
      <c r="H332">
        <v>2</v>
      </c>
      <c r="I332">
        <f t="shared" si="116"/>
        <v>0</v>
      </c>
      <c r="J332">
        <f t="shared" si="117"/>
        <v>0</v>
      </c>
      <c r="K332">
        <f t="shared" si="118"/>
        <v>1</v>
      </c>
      <c r="L332">
        <f t="shared" si="119"/>
        <v>0</v>
      </c>
      <c r="M332">
        <f t="shared" si="120"/>
        <v>0</v>
      </c>
      <c r="N332">
        <v>2</v>
      </c>
      <c r="O332">
        <f t="shared" si="110"/>
        <v>0</v>
      </c>
      <c r="P332">
        <f t="shared" si="111"/>
        <v>0</v>
      </c>
      <c r="Q332">
        <f t="shared" si="112"/>
        <v>1</v>
      </c>
      <c r="R332">
        <f t="shared" si="113"/>
        <v>0</v>
      </c>
      <c r="S332">
        <f t="shared" si="114"/>
        <v>0</v>
      </c>
      <c r="T332">
        <f t="shared" si="121"/>
        <v>0</v>
      </c>
      <c r="U332">
        <f t="shared" si="122"/>
        <v>0</v>
      </c>
      <c r="V332">
        <f t="shared" si="123"/>
        <v>0</v>
      </c>
      <c r="W332">
        <f t="shared" si="124"/>
        <v>0</v>
      </c>
      <c r="X332" t="s">
        <v>46</v>
      </c>
      <c r="Y332" t="s">
        <v>46</v>
      </c>
      <c r="Z332" t="s">
        <v>41</v>
      </c>
      <c r="AA332" t="s">
        <v>42</v>
      </c>
      <c r="AB332">
        <v>1</v>
      </c>
      <c r="AC332">
        <v>4</v>
      </c>
      <c r="AD332">
        <v>0</v>
      </c>
      <c r="AE332" t="s">
        <v>44</v>
      </c>
      <c r="AF332" t="s">
        <v>43</v>
      </c>
      <c r="AG332">
        <f t="shared" si="125"/>
        <v>1</v>
      </c>
      <c r="AH332" t="s">
        <v>44</v>
      </c>
      <c r="AI332">
        <f t="shared" si="126"/>
        <v>0</v>
      </c>
      <c r="AJ332" t="s">
        <v>43</v>
      </c>
      <c r="AK332">
        <f t="shared" si="127"/>
        <v>1</v>
      </c>
      <c r="AL332">
        <f t="shared" si="128"/>
        <v>0</v>
      </c>
      <c r="AM332">
        <v>2</v>
      </c>
      <c r="AN332">
        <f t="shared" si="129"/>
        <v>0</v>
      </c>
      <c r="AO332">
        <f t="shared" si="130"/>
        <v>0</v>
      </c>
      <c r="AP332">
        <f t="shared" si="131"/>
        <v>0</v>
      </c>
      <c r="AQ332">
        <v>9</v>
      </c>
      <c r="AR332">
        <v>8</v>
      </c>
      <c r="AS332">
        <v>8</v>
      </c>
    </row>
    <row r="333" spans="1:45" x14ac:dyDescent="0.2">
      <c r="A333" t="s">
        <v>34</v>
      </c>
      <c r="B333" t="s">
        <v>35</v>
      </c>
      <c r="C333">
        <v>17</v>
      </c>
      <c r="D333" t="s">
        <v>53</v>
      </c>
      <c r="E333" t="s">
        <v>37</v>
      </c>
      <c r="F333" t="s">
        <v>45</v>
      </c>
      <c r="G333">
        <f t="shared" si="115"/>
        <v>1</v>
      </c>
      <c r="H333">
        <v>2</v>
      </c>
      <c r="I333">
        <f t="shared" si="116"/>
        <v>0</v>
      </c>
      <c r="J333">
        <f t="shared" si="117"/>
        <v>0</v>
      </c>
      <c r="K333">
        <f t="shared" si="118"/>
        <v>1</v>
      </c>
      <c r="L333">
        <f t="shared" si="119"/>
        <v>0</v>
      </c>
      <c r="M333">
        <f t="shared" si="120"/>
        <v>0</v>
      </c>
      <c r="N333">
        <v>4</v>
      </c>
      <c r="O333">
        <f t="shared" si="110"/>
        <v>0</v>
      </c>
      <c r="P333">
        <f t="shared" si="111"/>
        <v>0</v>
      </c>
      <c r="Q333">
        <f t="shared" si="112"/>
        <v>0</v>
      </c>
      <c r="R333">
        <f t="shared" si="113"/>
        <v>0</v>
      </c>
      <c r="S333">
        <f t="shared" si="114"/>
        <v>1</v>
      </c>
      <c r="T333">
        <f t="shared" si="121"/>
        <v>0</v>
      </c>
      <c r="U333">
        <f t="shared" si="122"/>
        <v>0</v>
      </c>
      <c r="V333">
        <f t="shared" si="123"/>
        <v>0</v>
      </c>
      <c r="W333">
        <f t="shared" si="124"/>
        <v>0</v>
      </c>
      <c r="X333" t="s">
        <v>39</v>
      </c>
      <c r="Y333" t="s">
        <v>46</v>
      </c>
      <c r="Z333" t="s">
        <v>41</v>
      </c>
      <c r="AA333" t="s">
        <v>47</v>
      </c>
      <c r="AB333">
        <v>1</v>
      </c>
      <c r="AC333">
        <v>3</v>
      </c>
      <c r="AD333">
        <v>0</v>
      </c>
      <c r="AE333" t="s">
        <v>44</v>
      </c>
      <c r="AF333" t="s">
        <v>43</v>
      </c>
      <c r="AG333">
        <f t="shared" si="125"/>
        <v>1</v>
      </c>
      <c r="AH333" t="s">
        <v>44</v>
      </c>
      <c r="AI333">
        <f t="shared" si="126"/>
        <v>0</v>
      </c>
      <c r="AJ333" t="s">
        <v>43</v>
      </c>
      <c r="AK333">
        <f t="shared" si="127"/>
        <v>1</v>
      </c>
      <c r="AL333">
        <f t="shared" si="128"/>
        <v>0</v>
      </c>
      <c r="AM333">
        <v>7</v>
      </c>
      <c r="AN333">
        <f t="shared" si="129"/>
        <v>0</v>
      </c>
      <c r="AO333">
        <f t="shared" si="130"/>
        <v>0</v>
      </c>
      <c r="AP333">
        <f t="shared" si="131"/>
        <v>0</v>
      </c>
      <c r="AQ333">
        <v>12</v>
      </c>
      <c r="AR333">
        <v>14</v>
      </c>
      <c r="AS333">
        <v>14</v>
      </c>
    </row>
    <row r="334" spans="1:45" x14ac:dyDescent="0.2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f t="shared" si="115"/>
        <v>1</v>
      </c>
      <c r="H334">
        <v>3</v>
      </c>
      <c r="I334">
        <f t="shared" si="116"/>
        <v>0</v>
      </c>
      <c r="J334">
        <f t="shared" si="117"/>
        <v>0</v>
      </c>
      <c r="K334">
        <f t="shared" si="118"/>
        <v>0</v>
      </c>
      <c r="L334">
        <f t="shared" si="119"/>
        <v>1</v>
      </c>
      <c r="M334">
        <f t="shared" si="120"/>
        <v>0</v>
      </c>
      <c r="N334">
        <v>3</v>
      </c>
      <c r="O334">
        <f t="shared" si="110"/>
        <v>0</v>
      </c>
      <c r="P334">
        <f t="shared" si="111"/>
        <v>0</v>
      </c>
      <c r="Q334">
        <f t="shared" si="112"/>
        <v>0</v>
      </c>
      <c r="R334">
        <f t="shared" si="113"/>
        <v>1</v>
      </c>
      <c r="S334">
        <f t="shared" si="114"/>
        <v>0</v>
      </c>
      <c r="T334">
        <f t="shared" si="121"/>
        <v>0</v>
      </c>
      <c r="U334">
        <f t="shared" si="122"/>
        <v>0</v>
      </c>
      <c r="V334">
        <f t="shared" si="123"/>
        <v>0</v>
      </c>
      <c r="W334">
        <f t="shared" si="124"/>
        <v>0</v>
      </c>
      <c r="X334" t="s">
        <v>49</v>
      </c>
      <c r="Y334" t="s">
        <v>49</v>
      </c>
      <c r="Z334" t="s">
        <v>50</v>
      </c>
      <c r="AA334" t="s">
        <v>42</v>
      </c>
      <c r="AB334">
        <v>1</v>
      </c>
      <c r="AC334">
        <v>2</v>
      </c>
      <c r="AD334">
        <v>0</v>
      </c>
      <c r="AE334" t="s">
        <v>44</v>
      </c>
      <c r="AF334" t="s">
        <v>44</v>
      </c>
      <c r="AG334">
        <f t="shared" si="125"/>
        <v>0</v>
      </c>
      <c r="AH334" t="s">
        <v>44</v>
      </c>
      <c r="AI334">
        <f t="shared" si="126"/>
        <v>0</v>
      </c>
      <c r="AJ334" t="s">
        <v>43</v>
      </c>
      <c r="AK334">
        <f t="shared" si="127"/>
        <v>1</v>
      </c>
      <c r="AL334">
        <f t="shared" si="128"/>
        <v>0</v>
      </c>
      <c r="AM334">
        <v>0</v>
      </c>
      <c r="AN334">
        <f t="shared" si="129"/>
        <v>0</v>
      </c>
      <c r="AO334">
        <f t="shared" si="130"/>
        <v>0</v>
      </c>
      <c r="AP334">
        <f t="shared" si="131"/>
        <v>0</v>
      </c>
      <c r="AQ334">
        <v>7</v>
      </c>
      <c r="AR334">
        <v>0</v>
      </c>
      <c r="AS334">
        <v>0</v>
      </c>
    </row>
    <row r="335" spans="1:45" x14ac:dyDescent="0.2">
      <c r="A335" t="s">
        <v>34</v>
      </c>
      <c r="B335" t="s">
        <v>35</v>
      </c>
      <c r="C335">
        <v>18</v>
      </c>
      <c r="D335" t="s">
        <v>36</v>
      </c>
      <c r="E335" t="s">
        <v>48</v>
      </c>
      <c r="F335" t="s">
        <v>45</v>
      </c>
      <c r="G335">
        <f t="shared" si="115"/>
        <v>1</v>
      </c>
      <c r="H335">
        <v>2</v>
      </c>
      <c r="I335">
        <f t="shared" si="116"/>
        <v>0</v>
      </c>
      <c r="J335">
        <f t="shared" si="117"/>
        <v>0</v>
      </c>
      <c r="K335">
        <f t="shared" si="118"/>
        <v>1</v>
      </c>
      <c r="L335">
        <f t="shared" si="119"/>
        <v>0</v>
      </c>
      <c r="M335">
        <f t="shared" si="120"/>
        <v>0</v>
      </c>
      <c r="N335">
        <v>2</v>
      </c>
      <c r="O335">
        <f t="shared" si="110"/>
        <v>0</v>
      </c>
      <c r="P335">
        <f t="shared" si="111"/>
        <v>0</v>
      </c>
      <c r="Q335">
        <f t="shared" si="112"/>
        <v>1</v>
      </c>
      <c r="R335">
        <f t="shared" si="113"/>
        <v>0</v>
      </c>
      <c r="S335">
        <f t="shared" si="114"/>
        <v>0</v>
      </c>
      <c r="T335">
        <f t="shared" si="121"/>
        <v>0</v>
      </c>
      <c r="U335">
        <f t="shared" si="122"/>
        <v>0</v>
      </c>
      <c r="V335">
        <f t="shared" si="123"/>
        <v>0</v>
      </c>
      <c r="W335">
        <f t="shared" si="124"/>
        <v>0</v>
      </c>
      <c r="X335" t="s">
        <v>46</v>
      </c>
      <c r="Y335" t="s">
        <v>46</v>
      </c>
      <c r="Z335" t="s">
        <v>50</v>
      </c>
      <c r="AA335" t="s">
        <v>46</v>
      </c>
      <c r="AB335">
        <v>1</v>
      </c>
      <c r="AC335">
        <v>2</v>
      </c>
      <c r="AD335">
        <v>0</v>
      </c>
      <c r="AE335" t="s">
        <v>44</v>
      </c>
      <c r="AF335" t="s">
        <v>44</v>
      </c>
      <c r="AG335">
        <f t="shared" si="125"/>
        <v>0</v>
      </c>
      <c r="AH335" t="s">
        <v>44</v>
      </c>
      <c r="AI335">
        <f t="shared" si="126"/>
        <v>0</v>
      </c>
      <c r="AJ335" t="s">
        <v>43</v>
      </c>
      <c r="AK335">
        <f t="shared" si="127"/>
        <v>1</v>
      </c>
      <c r="AL335">
        <f t="shared" si="128"/>
        <v>0</v>
      </c>
      <c r="AM335">
        <v>0</v>
      </c>
      <c r="AN335">
        <f t="shared" si="129"/>
        <v>0</v>
      </c>
      <c r="AO335">
        <f t="shared" si="130"/>
        <v>0</v>
      </c>
      <c r="AP335">
        <f t="shared" si="131"/>
        <v>0</v>
      </c>
      <c r="AQ335">
        <v>8</v>
      </c>
      <c r="AR335">
        <v>8</v>
      </c>
      <c r="AS335">
        <v>0</v>
      </c>
    </row>
    <row r="336" spans="1:45" x14ac:dyDescent="0.2">
      <c r="A336" t="s">
        <v>34</v>
      </c>
      <c r="B336" t="s">
        <v>35</v>
      </c>
      <c r="C336">
        <v>18</v>
      </c>
      <c r="D336" t="s">
        <v>53</v>
      </c>
      <c r="E336" t="s">
        <v>37</v>
      </c>
      <c r="F336" t="s">
        <v>45</v>
      </c>
      <c r="G336">
        <f t="shared" si="115"/>
        <v>1</v>
      </c>
      <c r="H336">
        <v>2</v>
      </c>
      <c r="I336">
        <f t="shared" si="116"/>
        <v>0</v>
      </c>
      <c r="J336">
        <f t="shared" si="117"/>
        <v>0</v>
      </c>
      <c r="K336">
        <f t="shared" si="118"/>
        <v>1</v>
      </c>
      <c r="L336">
        <f t="shared" si="119"/>
        <v>0</v>
      </c>
      <c r="M336">
        <f t="shared" si="120"/>
        <v>0</v>
      </c>
      <c r="N336">
        <v>2</v>
      </c>
      <c r="O336">
        <f t="shared" si="110"/>
        <v>0</v>
      </c>
      <c r="P336">
        <f t="shared" si="111"/>
        <v>0</v>
      </c>
      <c r="Q336">
        <f t="shared" si="112"/>
        <v>1</v>
      </c>
      <c r="R336">
        <f t="shared" si="113"/>
        <v>0</v>
      </c>
      <c r="S336">
        <f t="shared" si="114"/>
        <v>0</v>
      </c>
      <c r="T336">
        <f t="shared" si="121"/>
        <v>0</v>
      </c>
      <c r="U336">
        <f t="shared" si="122"/>
        <v>0</v>
      </c>
      <c r="V336">
        <f t="shared" si="123"/>
        <v>0</v>
      </c>
      <c r="W336">
        <f t="shared" si="124"/>
        <v>0</v>
      </c>
      <c r="X336" t="s">
        <v>39</v>
      </c>
      <c r="Y336" t="s">
        <v>46</v>
      </c>
      <c r="Z336" t="s">
        <v>41</v>
      </c>
      <c r="AA336" t="s">
        <v>42</v>
      </c>
      <c r="AB336">
        <v>2</v>
      </c>
      <c r="AC336">
        <v>4</v>
      </c>
      <c r="AD336">
        <v>0</v>
      </c>
      <c r="AE336" t="s">
        <v>44</v>
      </c>
      <c r="AF336" t="s">
        <v>44</v>
      </c>
      <c r="AG336">
        <f t="shared" si="125"/>
        <v>0</v>
      </c>
      <c r="AH336" t="s">
        <v>44</v>
      </c>
      <c r="AI336">
        <f t="shared" si="126"/>
        <v>0</v>
      </c>
      <c r="AJ336" t="s">
        <v>44</v>
      </c>
      <c r="AK336">
        <f t="shared" si="127"/>
        <v>0</v>
      </c>
      <c r="AL336">
        <f t="shared" si="128"/>
        <v>0</v>
      </c>
      <c r="AM336">
        <v>0</v>
      </c>
      <c r="AN336">
        <f t="shared" si="129"/>
        <v>0</v>
      </c>
      <c r="AO336">
        <f t="shared" si="130"/>
        <v>0</v>
      </c>
      <c r="AP336">
        <f t="shared" si="131"/>
        <v>0</v>
      </c>
      <c r="AQ336">
        <v>10</v>
      </c>
      <c r="AR336">
        <v>9</v>
      </c>
      <c r="AS336">
        <v>0</v>
      </c>
    </row>
    <row r="337" spans="1:45" x14ac:dyDescent="0.2">
      <c r="A337" t="s">
        <v>34</v>
      </c>
      <c r="B337" t="s">
        <v>35</v>
      </c>
      <c r="C337">
        <v>17</v>
      </c>
      <c r="D337" t="s">
        <v>36</v>
      </c>
      <c r="E337" t="s">
        <v>37</v>
      </c>
      <c r="F337" t="s">
        <v>45</v>
      </c>
      <c r="G337">
        <f t="shared" si="115"/>
        <v>1</v>
      </c>
      <c r="H337">
        <v>3</v>
      </c>
      <c r="I337">
        <f t="shared" si="116"/>
        <v>0</v>
      </c>
      <c r="J337">
        <f t="shared" si="117"/>
        <v>0</v>
      </c>
      <c r="K337">
        <f t="shared" si="118"/>
        <v>0</v>
      </c>
      <c r="L337">
        <f t="shared" si="119"/>
        <v>1</v>
      </c>
      <c r="M337">
        <f t="shared" si="120"/>
        <v>0</v>
      </c>
      <c r="N337">
        <v>4</v>
      </c>
      <c r="O337">
        <f t="shared" si="110"/>
        <v>0</v>
      </c>
      <c r="P337">
        <f t="shared" si="111"/>
        <v>0</v>
      </c>
      <c r="Q337">
        <f t="shared" si="112"/>
        <v>0</v>
      </c>
      <c r="R337">
        <f t="shared" si="113"/>
        <v>0</v>
      </c>
      <c r="S337">
        <f t="shared" si="114"/>
        <v>1</v>
      </c>
      <c r="T337">
        <f t="shared" si="121"/>
        <v>0</v>
      </c>
      <c r="U337">
        <f t="shared" si="122"/>
        <v>0</v>
      </c>
      <c r="V337">
        <f t="shared" si="123"/>
        <v>0</v>
      </c>
      <c r="W337">
        <f t="shared" si="124"/>
        <v>1</v>
      </c>
      <c r="X337" t="s">
        <v>49</v>
      </c>
      <c r="Y337" t="s">
        <v>46</v>
      </c>
      <c r="Z337" t="s">
        <v>41</v>
      </c>
      <c r="AA337" t="s">
        <v>42</v>
      </c>
      <c r="AB337">
        <v>1</v>
      </c>
      <c r="AC337">
        <v>3</v>
      </c>
      <c r="AD337">
        <v>0</v>
      </c>
      <c r="AE337" t="s">
        <v>44</v>
      </c>
      <c r="AF337" t="s">
        <v>44</v>
      </c>
      <c r="AG337">
        <f t="shared" si="125"/>
        <v>0</v>
      </c>
      <c r="AH337" t="s">
        <v>44</v>
      </c>
      <c r="AI337">
        <f t="shared" si="126"/>
        <v>0</v>
      </c>
      <c r="AJ337" t="s">
        <v>43</v>
      </c>
      <c r="AK337">
        <f t="shared" si="127"/>
        <v>1</v>
      </c>
      <c r="AL337">
        <f t="shared" si="128"/>
        <v>0</v>
      </c>
      <c r="AM337">
        <v>16</v>
      </c>
      <c r="AN337">
        <f t="shared" si="129"/>
        <v>0</v>
      </c>
      <c r="AO337">
        <f t="shared" si="130"/>
        <v>0</v>
      </c>
      <c r="AP337">
        <f t="shared" si="131"/>
        <v>0</v>
      </c>
      <c r="AQ337">
        <v>16</v>
      </c>
      <c r="AR337">
        <v>15</v>
      </c>
      <c r="AS337">
        <v>15</v>
      </c>
    </row>
    <row r="338" spans="1:45" x14ac:dyDescent="0.2">
      <c r="A338" t="s">
        <v>34</v>
      </c>
      <c r="B338" t="s">
        <v>35</v>
      </c>
      <c r="C338">
        <v>19</v>
      </c>
      <c r="D338" t="s">
        <v>53</v>
      </c>
      <c r="E338" t="s">
        <v>37</v>
      </c>
      <c r="F338" t="s">
        <v>38</v>
      </c>
      <c r="G338">
        <f t="shared" si="115"/>
        <v>0</v>
      </c>
      <c r="H338">
        <v>3</v>
      </c>
      <c r="I338">
        <f t="shared" si="116"/>
        <v>0</v>
      </c>
      <c r="J338">
        <f t="shared" si="117"/>
        <v>0</v>
      </c>
      <c r="K338">
        <f t="shared" si="118"/>
        <v>0</v>
      </c>
      <c r="L338">
        <f t="shared" si="119"/>
        <v>1</v>
      </c>
      <c r="M338">
        <f t="shared" si="120"/>
        <v>0</v>
      </c>
      <c r="N338">
        <v>1</v>
      </c>
      <c r="O338">
        <f t="shared" si="110"/>
        <v>0</v>
      </c>
      <c r="P338">
        <f t="shared" si="111"/>
        <v>1</v>
      </c>
      <c r="Q338">
        <f t="shared" si="112"/>
        <v>0</v>
      </c>
      <c r="R338">
        <f t="shared" si="113"/>
        <v>0</v>
      </c>
      <c r="S338">
        <f t="shared" si="114"/>
        <v>0</v>
      </c>
      <c r="T338">
        <f t="shared" si="121"/>
        <v>0</v>
      </c>
      <c r="U338">
        <f t="shared" si="122"/>
        <v>0</v>
      </c>
      <c r="V338">
        <f t="shared" si="123"/>
        <v>0</v>
      </c>
      <c r="W338">
        <f t="shared" si="124"/>
        <v>0</v>
      </c>
      <c r="X338" t="s">
        <v>49</v>
      </c>
      <c r="Y338" t="s">
        <v>39</v>
      </c>
      <c r="Z338" t="s">
        <v>50</v>
      </c>
      <c r="AA338" t="s">
        <v>46</v>
      </c>
      <c r="AB338">
        <v>1</v>
      </c>
      <c r="AC338">
        <v>3</v>
      </c>
      <c r="AD338">
        <v>1</v>
      </c>
      <c r="AE338" t="s">
        <v>44</v>
      </c>
      <c r="AF338" t="s">
        <v>44</v>
      </c>
      <c r="AG338">
        <f t="shared" si="125"/>
        <v>0</v>
      </c>
      <c r="AH338" t="s">
        <v>43</v>
      </c>
      <c r="AI338">
        <f t="shared" si="126"/>
        <v>1</v>
      </c>
      <c r="AJ338" t="s">
        <v>44</v>
      </c>
      <c r="AK338">
        <f t="shared" si="127"/>
        <v>0</v>
      </c>
      <c r="AL338">
        <f t="shared" si="128"/>
        <v>0</v>
      </c>
      <c r="AM338">
        <v>12</v>
      </c>
      <c r="AN338">
        <f t="shared" si="129"/>
        <v>0</v>
      </c>
      <c r="AO338">
        <f t="shared" si="130"/>
        <v>0</v>
      </c>
      <c r="AP338">
        <f t="shared" si="131"/>
        <v>1</v>
      </c>
      <c r="AQ338">
        <v>14</v>
      </c>
      <c r="AR338">
        <v>13</v>
      </c>
      <c r="AS338">
        <v>13</v>
      </c>
    </row>
    <row r="339" spans="1:45" x14ac:dyDescent="0.2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f t="shared" si="115"/>
        <v>1</v>
      </c>
      <c r="H339">
        <v>3</v>
      </c>
      <c r="I339">
        <f t="shared" si="116"/>
        <v>0</v>
      </c>
      <c r="J339">
        <f t="shared" si="117"/>
        <v>0</v>
      </c>
      <c r="K339">
        <f t="shared" si="118"/>
        <v>0</v>
      </c>
      <c r="L339">
        <f t="shared" si="119"/>
        <v>1</v>
      </c>
      <c r="M339">
        <f t="shared" si="120"/>
        <v>0</v>
      </c>
      <c r="N339">
        <v>2</v>
      </c>
      <c r="O339">
        <f t="shared" si="110"/>
        <v>0</v>
      </c>
      <c r="P339">
        <f t="shared" si="111"/>
        <v>0</v>
      </c>
      <c r="Q339">
        <f t="shared" si="112"/>
        <v>1</v>
      </c>
      <c r="R339">
        <f t="shared" si="113"/>
        <v>0</v>
      </c>
      <c r="S339">
        <f t="shared" si="114"/>
        <v>0</v>
      </c>
      <c r="T339">
        <f t="shared" si="121"/>
        <v>0</v>
      </c>
      <c r="U339">
        <f t="shared" si="122"/>
        <v>0</v>
      </c>
      <c r="V339">
        <f t="shared" si="123"/>
        <v>0</v>
      </c>
      <c r="W339">
        <f t="shared" si="124"/>
        <v>0</v>
      </c>
      <c r="X339" t="s">
        <v>46</v>
      </c>
      <c r="Y339" t="s">
        <v>46</v>
      </c>
      <c r="Z339" t="s">
        <v>50</v>
      </c>
      <c r="AA339" t="s">
        <v>42</v>
      </c>
      <c r="AB339">
        <v>1</v>
      </c>
      <c r="AC339">
        <v>2</v>
      </c>
      <c r="AD339">
        <v>0</v>
      </c>
      <c r="AE339" t="s">
        <v>44</v>
      </c>
      <c r="AF339" t="s">
        <v>43</v>
      </c>
      <c r="AG339">
        <f t="shared" si="125"/>
        <v>1</v>
      </c>
      <c r="AH339" t="s">
        <v>43</v>
      </c>
      <c r="AI339">
        <f t="shared" si="126"/>
        <v>1</v>
      </c>
      <c r="AJ339" t="s">
        <v>43</v>
      </c>
      <c r="AK339">
        <f t="shared" si="127"/>
        <v>1</v>
      </c>
      <c r="AL339">
        <f t="shared" si="128"/>
        <v>1</v>
      </c>
      <c r="AM339">
        <v>0</v>
      </c>
      <c r="AN339">
        <f t="shared" si="129"/>
        <v>0</v>
      </c>
      <c r="AO339">
        <f t="shared" si="130"/>
        <v>0</v>
      </c>
      <c r="AP339">
        <f t="shared" si="131"/>
        <v>1</v>
      </c>
      <c r="AQ339">
        <v>7</v>
      </c>
      <c r="AR339">
        <v>8</v>
      </c>
      <c r="AS339">
        <v>0</v>
      </c>
    </row>
    <row r="340" spans="1:45" x14ac:dyDescent="0.2">
      <c r="A340" t="s">
        <v>34</v>
      </c>
      <c r="B340" t="s">
        <v>35</v>
      </c>
      <c r="C340">
        <v>18</v>
      </c>
      <c r="D340" t="s">
        <v>36</v>
      </c>
      <c r="E340" t="s">
        <v>48</v>
      </c>
      <c r="F340" t="s">
        <v>45</v>
      </c>
      <c r="G340">
        <f t="shared" si="115"/>
        <v>1</v>
      </c>
      <c r="H340">
        <v>3</v>
      </c>
      <c r="I340">
        <f t="shared" si="116"/>
        <v>0</v>
      </c>
      <c r="J340">
        <f t="shared" si="117"/>
        <v>0</v>
      </c>
      <c r="K340">
        <f t="shared" si="118"/>
        <v>0</v>
      </c>
      <c r="L340">
        <f t="shared" si="119"/>
        <v>1</v>
      </c>
      <c r="M340">
        <f t="shared" si="120"/>
        <v>0</v>
      </c>
      <c r="N340">
        <v>3</v>
      </c>
      <c r="O340">
        <f t="shared" si="110"/>
        <v>0</v>
      </c>
      <c r="P340">
        <f t="shared" si="111"/>
        <v>0</v>
      </c>
      <c r="Q340">
        <f t="shared" si="112"/>
        <v>0</v>
      </c>
      <c r="R340">
        <f t="shared" si="113"/>
        <v>1</v>
      </c>
      <c r="S340">
        <f t="shared" si="114"/>
        <v>0</v>
      </c>
      <c r="T340">
        <f t="shared" si="121"/>
        <v>0</v>
      </c>
      <c r="U340">
        <f t="shared" si="122"/>
        <v>0</v>
      </c>
      <c r="V340">
        <f t="shared" si="123"/>
        <v>0</v>
      </c>
      <c r="W340">
        <f t="shared" si="124"/>
        <v>0</v>
      </c>
      <c r="X340" t="s">
        <v>49</v>
      </c>
      <c r="Y340" t="s">
        <v>49</v>
      </c>
      <c r="Z340" t="s">
        <v>50</v>
      </c>
      <c r="AA340" t="s">
        <v>42</v>
      </c>
      <c r="AB340">
        <v>1</v>
      </c>
      <c r="AC340">
        <v>4</v>
      </c>
      <c r="AD340">
        <v>0</v>
      </c>
      <c r="AE340" t="s">
        <v>44</v>
      </c>
      <c r="AF340" t="s">
        <v>43</v>
      </c>
      <c r="AG340">
        <f t="shared" si="125"/>
        <v>1</v>
      </c>
      <c r="AH340" t="s">
        <v>44</v>
      </c>
      <c r="AI340">
        <f t="shared" si="126"/>
        <v>0</v>
      </c>
      <c r="AJ340" t="s">
        <v>43</v>
      </c>
      <c r="AK340">
        <f t="shared" si="127"/>
        <v>1</v>
      </c>
      <c r="AL340">
        <f t="shared" si="128"/>
        <v>0</v>
      </c>
      <c r="AM340">
        <v>7</v>
      </c>
      <c r="AN340">
        <f t="shared" si="129"/>
        <v>0</v>
      </c>
      <c r="AO340">
        <f t="shared" si="130"/>
        <v>0</v>
      </c>
      <c r="AP340">
        <f t="shared" si="131"/>
        <v>0</v>
      </c>
      <c r="AQ340">
        <v>16</v>
      </c>
      <c r="AR340">
        <v>15</v>
      </c>
      <c r="AS340">
        <v>17</v>
      </c>
    </row>
    <row r="341" spans="1:45" x14ac:dyDescent="0.2">
      <c r="A341" t="s">
        <v>34</v>
      </c>
      <c r="B341" t="s">
        <v>35</v>
      </c>
      <c r="C341">
        <v>17</v>
      </c>
      <c r="D341" t="s">
        <v>53</v>
      </c>
      <c r="E341" t="s">
        <v>37</v>
      </c>
      <c r="F341" t="s">
        <v>38</v>
      </c>
      <c r="G341">
        <f t="shared" si="115"/>
        <v>0</v>
      </c>
      <c r="H341">
        <v>3</v>
      </c>
      <c r="I341">
        <f t="shared" si="116"/>
        <v>0</v>
      </c>
      <c r="J341">
        <f t="shared" si="117"/>
        <v>0</v>
      </c>
      <c r="K341">
        <f t="shared" si="118"/>
        <v>0</v>
      </c>
      <c r="L341">
        <f t="shared" si="119"/>
        <v>1</v>
      </c>
      <c r="M341">
        <f t="shared" si="120"/>
        <v>0</v>
      </c>
      <c r="N341">
        <v>2</v>
      </c>
      <c r="O341">
        <f t="shared" si="110"/>
        <v>0</v>
      </c>
      <c r="P341">
        <f t="shared" si="111"/>
        <v>0</v>
      </c>
      <c r="Q341">
        <f t="shared" si="112"/>
        <v>1</v>
      </c>
      <c r="R341">
        <f t="shared" si="113"/>
        <v>0</v>
      </c>
      <c r="S341">
        <f t="shared" si="114"/>
        <v>0</v>
      </c>
      <c r="T341">
        <f t="shared" si="121"/>
        <v>0</v>
      </c>
      <c r="U341">
        <f t="shared" si="122"/>
        <v>0</v>
      </c>
      <c r="V341">
        <f t="shared" si="123"/>
        <v>0</v>
      </c>
      <c r="W341">
        <f t="shared" si="124"/>
        <v>0</v>
      </c>
      <c r="X341" t="s">
        <v>46</v>
      </c>
      <c r="Y341" t="s">
        <v>46</v>
      </c>
      <c r="Z341" t="s">
        <v>50</v>
      </c>
      <c r="AA341" t="s">
        <v>42</v>
      </c>
      <c r="AB341">
        <v>1</v>
      </c>
      <c r="AC341">
        <v>2</v>
      </c>
      <c r="AD341">
        <v>0</v>
      </c>
      <c r="AE341" t="s">
        <v>44</v>
      </c>
      <c r="AF341" t="s">
        <v>43</v>
      </c>
      <c r="AG341">
        <f t="shared" si="125"/>
        <v>1</v>
      </c>
      <c r="AH341" t="s">
        <v>43</v>
      </c>
      <c r="AI341">
        <f t="shared" si="126"/>
        <v>1</v>
      </c>
      <c r="AJ341" t="s">
        <v>43</v>
      </c>
      <c r="AK341">
        <f t="shared" si="127"/>
        <v>1</v>
      </c>
      <c r="AL341">
        <f t="shared" si="128"/>
        <v>1</v>
      </c>
      <c r="AM341">
        <v>4</v>
      </c>
      <c r="AN341">
        <f t="shared" si="129"/>
        <v>0</v>
      </c>
      <c r="AO341">
        <f t="shared" si="130"/>
        <v>0</v>
      </c>
      <c r="AP341">
        <f t="shared" si="131"/>
        <v>1</v>
      </c>
      <c r="AQ341">
        <v>9</v>
      </c>
      <c r="AR341">
        <v>10</v>
      </c>
      <c r="AS341">
        <v>10</v>
      </c>
    </row>
    <row r="342" spans="1:45" x14ac:dyDescent="0.2">
      <c r="A342" t="s">
        <v>34</v>
      </c>
      <c r="B342" t="s">
        <v>35</v>
      </c>
      <c r="C342">
        <v>19</v>
      </c>
      <c r="D342" t="s">
        <v>36</v>
      </c>
      <c r="E342" t="s">
        <v>37</v>
      </c>
      <c r="F342" t="s">
        <v>45</v>
      </c>
      <c r="G342">
        <f t="shared" si="115"/>
        <v>1</v>
      </c>
      <c r="H342">
        <v>2</v>
      </c>
      <c r="I342">
        <f t="shared" si="116"/>
        <v>0</v>
      </c>
      <c r="J342">
        <f t="shared" si="117"/>
        <v>0</v>
      </c>
      <c r="K342">
        <f t="shared" si="118"/>
        <v>1</v>
      </c>
      <c r="L342">
        <f t="shared" si="119"/>
        <v>0</v>
      </c>
      <c r="M342">
        <f t="shared" si="120"/>
        <v>0</v>
      </c>
      <c r="N342">
        <v>1</v>
      </c>
      <c r="O342">
        <f t="shared" si="110"/>
        <v>0</v>
      </c>
      <c r="P342">
        <f t="shared" si="111"/>
        <v>1</v>
      </c>
      <c r="Q342">
        <f t="shared" si="112"/>
        <v>0</v>
      </c>
      <c r="R342">
        <f t="shared" si="113"/>
        <v>0</v>
      </c>
      <c r="S342">
        <f t="shared" si="114"/>
        <v>0</v>
      </c>
      <c r="T342">
        <f t="shared" si="121"/>
        <v>0</v>
      </c>
      <c r="U342">
        <f t="shared" si="122"/>
        <v>0</v>
      </c>
      <c r="V342">
        <f t="shared" si="123"/>
        <v>0</v>
      </c>
      <c r="W342">
        <f t="shared" si="124"/>
        <v>0</v>
      </c>
      <c r="X342" t="s">
        <v>49</v>
      </c>
      <c r="Y342" t="s">
        <v>49</v>
      </c>
      <c r="Z342" t="s">
        <v>50</v>
      </c>
      <c r="AA342" t="s">
        <v>46</v>
      </c>
      <c r="AB342">
        <v>1</v>
      </c>
      <c r="AC342">
        <v>3</v>
      </c>
      <c r="AD342">
        <v>1</v>
      </c>
      <c r="AE342" t="s">
        <v>44</v>
      </c>
      <c r="AF342" t="s">
        <v>44</v>
      </c>
      <c r="AG342">
        <f t="shared" si="125"/>
        <v>0</v>
      </c>
      <c r="AH342" t="s">
        <v>43</v>
      </c>
      <c r="AI342">
        <f t="shared" si="126"/>
        <v>1</v>
      </c>
      <c r="AJ342" t="s">
        <v>43</v>
      </c>
      <c r="AK342">
        <f t="shared" si="127"/>
        <v>1</v>
      </c>
      <c r="AL342">
        <f t="shared" si="128"/>
        <v>1</v>
      </c>
      <c r="AM342">
        <v>4</v>
      </c>
      <c r="AN342">
        <f t="shared" si="129"/>
        <v>0</v>
      </c>
      <c r="AO342">
        <f t="shared" si="130"/>
        <v>0</v>
      </c>
      <c r="AP342">
        <f t="shared" si="131"/>
        <v>0</v>
      </c>
      <c r="AQ342">
        <v>11</v>
      </c>
      <c r="AR342">
        <v>12</v>
      </c>
      <c r="AS342">
        <v>11</v>
      </c>
    </row>
    <row r="343" spans="1:45" x14ac:dyDescent="0.2">
      <c r="A343" t="s">
        <v>34</v>
      </c>
      <c r="B343" t="s">
        <v>51</v>
      </c>
      <c r="C343">
        <v>18</v>
      </c>
      <c r="D343" t="s">
        <v>36</v>
      </c>
      <c r="E343" t="s">
        <v>37</v>
      </c>
      <c r="F343" t="s">
        <v>45</v>
      </c>
      <c r="G343">
        <f t="shared" si="115"/>
        <v>1</v>
      </c>
      <c r="H343">
        <v>4</v>
      </c>
      <c r="I343">
        <f t="shared" si="116"/>
        <v>0</v>
      </c>
      <c r="J343">
        <f t="shared" si="117"/>
        <v>0</v>
      </c>
      <c r="K343">
        <f t="shared" si="118"/>
        <v>0</v>
      </c>
      <c r="L343">
        <f t="shared" si="119"/>
        <v>0</v>
      </c>
      <c r="M343">
        <f t="shared" si="120"/>
        <v>1</v>
      </c>
      <c r="N343">
        <v>4</v>
      </c>
      <c r="O343">
        <f t="shared" si="110"/>
        <v>0</v>
      </c>
      <c r="P343">
        <f t="shared" si="111"/>
        <v>0</v>
      </c>
      <c r="Q343">
        <f t="shared" si="112"/>
        <v>0</v>
      </c>
      <c r="R343">
        <f t="shared" si="113"/>
        <v>0</v>
      </c>
      <c r="S343">
        <f t="shared" si="114"/>
        <v>1</v>
      </c>
      <c r="T343">
        <f t="shared" si="121"/>
        <v>1</v>
      </c>
      <c r="U343">
        <f t="shared" si="122"/>
        <v>0</v>
      </c>
      <c r="V343">
        <f t="shared" si="123"/>
        <v>0</v>
      </c>
      <c r="W343">
        <f t="shared" si="124"/>
        <v>0</v>
      </c>
      <c r="X343" t="s">
        <v>40</v>
      </c>
      <c r="Y343" t="s">
        <v>49</v>
      </c>
      <c r="Z343" t="s">
        <v>50</v>
      </c>
      <c r="AA343" t="s">
        <v>47</v>
      </c>
      <c r="AB343">
        <v>1</v>
      </c>
      <c r="AC343">
        <v>2</v>
      </c>
      <c r="AD343">
        <v>1</v>
      </c>
      <c r="AE343" t="s">
        <v>44</v>
      </c>
      <c r="AF343" t="s">
        <v>43</v>
      </c>
      <c r="AG343">
        <f t="shared" si="125"/>
        <v>1</v>
      </c>
      <c r="AH343" t="s">
        <v>44</v>
      </c>
      <c r="AI343">
        <f t="shared" si="126"/>
        <v>0</v>
      </c>
      <c r="AJ343" t="s">
        <v>43</v>
      </c>
      <c r="AK343">
        <f t="shared" si="127"/>
        <v>1</v>
      </c>
      <c r="AL343">
        <f t="shared" si="128"/>
        <v>0</v>
      </c>
      <c r="AM343">
        <v>0</v>
      </c>
      <c r="AN343">
        <f t="shared" si="129"/>
        <v>0</v>
      </c>
      <c r="AO343">
        <f t="shared" si="130"/>
        <v>0</v>
      </c>
      <c r="AP343">
        <f t="shared" si="131"/>
        <v>0</v>
      </c>
      <c r="AQ343">
        <v>10</v>
      </c>
      <c r="AR343">
        <v>10</v>
      </c>
      <c r="AS343">
        <v>0</v>
      </c>
    </row>
    <row r="344" spans="1:45" x14ac:dyDescent="0.2">
      <c r="A344" t="s">
        <v>34</v>
      </c>
      <c r="B344" t="s">
        <v>51</v>
      </c>
      <c r="C344">
        <v>18</v>
      </c>
      <c r="D344" t="s">
        <v>36</v>
      </c>
      <c r="E344" t="s">
        <v>48</v>
      </c>
      <c r="F344" t="s">
        <v>45</v>
      </c>
      <c r="G344">
        <f t="shared" si="115"/>
        <v>1</v>
      </c>
      <c r="H344">
        <v>3</v>
      </c>
      <c r="I344">
        <f t="shared" si="116"/>
        <v>0</v>
      </c>
      <c r="J344">
        <f t="shared" si="117"/>
        <v>0</v>
      </c>
      <c r="K344">
        <f t="shared" si="118"/>
        <v>0</v>
      </c>
      <c r="L344">
        <f t="shared" si="119"/>
        <v>1</v>
      </c>
      <c r="M344">
        <f t="shared" si="120"/>
        <v>0</v>
      </c>
      <c r="N344">
        <v>4</v>
      </c>
      <c r="O344">
        <f t="shared" si="110"/>
        <v>0</v>
      </c>
      <c r="P344">
        <f t="shared" si="111"/>
        <v>0</v>
      </c>
      <c r="Q344">
        <f t="shared" si="112"/>
        <v>0</v>
      </c>
      <c r="R344">
        <f t="shared" si="113"/>
        <v>0</v>
      </c>
      <c r="S344">
        <f t="shared" si="114"/>
        <v>1</v>
      </c>
      <c r="T344">
        <f t="shared" si="121"/>
        <v>0</v>
      </c>
      <c r="U344">
        <f t="shared" si="122"/>
        <v>0</v>
      </c>
      <c r="V344">
        <f t="shared" si="123"/>
        <v>0</v>
      </c>
      <c r="W344">
        <f t="shared" si="124"/>
        <v>1</v>
      </c>
      <c r="X344" t="s">
        <v>49</v>
      </c>
      <c r="Y344" t="s">
        <v>46</v>
      </c>
      <c r="Z344" t="s">
        <v>50</v>
      </c>
      <c r="AA344" t="s">
        <v>42</v>
      </c>
      <c r="AB344">
        <v>1</v>
      </c>
      <c r="AC344">
        <v>2</v>
      </c>
      <c r="AD344">
        <v>0</v>
      </c>
      <c r="AE344" t="s">
        <v>44</v>
      </c>
      <c r="AF344" t="s">
        <v>44</v>
      </c>
      <c r="AG344">
        <f t="shared" si="125"/>
        <v>0</v>
      </c>
      <c r="AH344" t="s">
        <v>44</v>
      </c>
      <c r="AI344">
        <f t="shared" si="126"/>
        <v>0</v>
      </c>
      <c r="AJ344" t="s">
        <v>43</v>
      </c>
      <c r="AK344">
        <f t="shared" si="127"/>
        <v>1</v>
      </c>
      <c r="AL344">
        <f t="shared" si="128"/>
        <v>0</v>
      </c>
      <c r="AM344">
        <v>11</v>
      </c>
      <c r="AN344">
        <f t="shared" si="129"/>
        <v>0</v>
      </c>
      <c r="AO344">
        <f t="shared" si="130"/>
        <v>0</v>
      </c>
      <c r="AP344">
        <f t="shared" si="131"/>
        <v>0</v>
      </c>
      <c r="AQ344">
        <v>16</v>
      </c>
      <c r="AR344">
        <v>15</v>
      </c>
      <c r="AS344">
        <v>15</v>
      </c>
    </row>
    <row r="345" spans="1:45" x14ac:dyDescent="0.2">
      <c r="A345" t="s">
        <v>34</v>
      </c>
      <c r="B345" t="s">
        <v>35</v>
      </c>
      <c r="C345">
        <v>17</v>
      </c>
      <c r="D345" t="s">
        <v>36</v>
      </c>
      <c r="E345" t="s">
        <v>37</v>
      </c>
      <c r="F345" t="s">
        <v>38</v>
      </c>
      <c r="G345">
        <f t="shared" si="115"/>
        <v>0</v>
      </c>
      <c r="H345">
        <v>2</v>
      </c>
      <c r="I345">
        <f t="shared" si="116"/>
        <v>0</v>
      </c>
      <c r="J345">
        <f t="shared" si="117"/>
        <v>0</v>
      </c>
      <c r="K345">
        <f t="shared" si="118"/>
        <v>1</v>
      </c>
      <c r="L345">
        <f t="shared" si="119"/>
        <v>0</v>
      </c>
      <c r="M345">
        <f t="shared" si="120"/>
        <v>0</v>
      </c>
      <c r="N345">
        <v>2</v>
      </c>
      <c r="O345">
        <f t="shared" si="110"/>
        <v>0</v>
      </c>
      <c r="P345">
        <f t="shared" si="111"/>
        <v>0</v>
      </c>
      <c r="Q345">
        <f t="shared" si="112"/>
        <v>1</v>
      </c>
      <c r="R345">
        <f t="shared" si="113"/>
        <v>0</v>
      </c>
      <c r="S345">
        <f t="shared" si="114"/>
        <v>0</v>
      </c>
      <c r="T345">
        <f t="shared" si="121"/>
        <v>0</v>
      </c>
      <c r="U345">
        <f t="shared" si="122"/>
        <v>0</v>
      </c>
      <c r="V345">
        <f t="shared" si="123"/>
        <v>0</v>
      </c>
      <c r="W345">
        <f t="shared" si="124"/>
        <v>0</v>
      </c>
      <c r="X345" t="s">
        <v>39</v>
      </c>
      <c r="Y345" t="s">
        <v>39</v>
      </c>
      <c r="Z345" t="s">
        <v>50</v>
      </c>
      <c r="AA345" t="s">
        <v>47</v>
      </c>
      <c r="AB345">
        <v>1</v>
      </c>
      <c r="AC345">
        <v>2</v>
      </c>
      <c r="AD345">
        <v>1</v>
      </c>
      <c r="AE345" t="s">
        <v>44</v>
      </c>
      <c r="AF345" t="s">
        <v>43</v>
      </c>
      <c r="AG345">
        <f t="shared" si="125"/>
        <v>1</v>
      </c>
      <c r="AH345" t="s">
        <v>44</v>
      </c>
      <c r="AI345">
        <f t="shared" si="126"/>
        <v>0</v>
      </c>
      <c r="AJ345" t="s">
        <v>43</v>
      </c>
      <c r="AK345">
        <f t="shared" si="127"/>
        <v>1</v>
      </c>
      <c r="AL345">
        <f t="shared" si="128"/>
        <v>0</v>
      </c>
      <c r="AM345">
        <v>0</v>
      </c>
      <c r="AN345">
        <f t="shared" si="129"/>
        <v>0</v>
      </c>
      <c r="AO345">
        <f t="shared" si="130"/>
        <v>0</v>
      </c>
      <c r="AP345">
        <f t="shared" si="131"/>
        <v>0</v>
      </c>
      <c r="AQ345">
        <v>9</v>
      </c>
      <c r="AR345">
        <v>8</v>
      </c>
      <c r="AS345">
        <v>0</v>
      </c>
    </row>
    <row r="346" spans="1:45" x14ac:dyDescent="0.2">
      <c r="A346" t="s">
        <v>34</v>
      </c>
      <c r="B346" t="s">
        <v>35</v>
      </c>
      <c r="C346">
        <v>18</v>
      </c>
      <c r="D346" t="s">
        <v>36</v>
      </c>
      <c r="E346" t="s">
        <v>37</v>
      </c>
      <c r="F346" t="s">
        <v>45</v>
      </c>
      <c r="G346">
        <f t="shared" si="115"/>
        <v>1</v>
      </c>
      <c r="H346">
        <v>2</v>
      </c>
      <c r="I346">
        <f t="shared" si="116"/>
        <v>0</v>
      </c>
      <c r="J346">
        <f t="shared" si="117"/>
        <v>0</v>
      </c>
      <c r="K346">
        <f t="shared" si="118"/>
        <v>1</v>
      </c>
      <c r="L346">
        <f t="shared" si="119"/>
        <v>0</v>
      </c>
      <c r="M346">
        <f t="shared" si="120"/>
        <v>0</v>
      </c>
      <c r="N346">
        <v>3</v>
      </c>
      <c r="O346">
        <f t="shared" si="110"/>
        <v>0</v>
      </c>
      <c r="P346">
        <f t="shared" si="111"/>
        <v>0</v>
      </c>
      <c r="Q346">
        <f t="shared" si="112"/>
        <v>0</v>
      </c>
      <c r="R346">
        <f t="shared" si="113"/>
        <v>1</v>
      </c>
      <c r="S346">
        <f t="shared" si="114"/>
        <v>0</v>
      </c>
      <c r="T346">
        <f t="shared" si="121"/>
        <v>0</v>
      </c>
      <c r="U346">
        <f t="shared" si="122"/>
        <v>0</v>
      </c>
      <c r="V346">
        <f t="shared" si="123"/>
        <v>0</v>
      </c>
      <c r="W346">
        <f t="shared" si="124"/>
        <v>0</v>
      </c>
      <c r="X346" t="s">
        <v>39</v>
      </c>
      <c r="Y346" t="s">
        <v>46</v>
      </c>
      <c r="Z346" t="s">
        <v>41</v>
      </c>
      <c r="AA346" t="s">
        <v>42</v>
      </c>
      <c r="AB346">
        <v>1</v>
      </c>
      <c r="AC346">
        <v>3</v>
      </c>
      <c r="AD346">
        <v>0</v>
      </c>
      <c r="AE346" t="s">
        <v>44</v>
      </c>
      <c r="AF346" t="s">
        <v>43</v>
      </c>
      <c r="AG346">
        <f t="shared" si="125"/>
        <v>1</v>
      </c>
      <c r="AH346" t="s">
        <v>44</v>
      </c>
      <c r="AI346">
        <f t="shared" si="126"/>
        <v>0</v>
      </c>
      <c r="AJ346" t="s">
        <v>43</v>
      </c>
      <c r="AK346">
        <f t="shared" si="127"/>
        <v>1</v>
      </c>
      <c r="AL346">
        <f t="shared" si="128"/>
        <v>0</v>
      </c>
      <c r="AM346">
        <v>4</v>
      </c>
      <c r="AN346">
        <f t="shared" si="129"/>
        <v>0</v>
      </c>
      <c r="AO346">
        <f t="shared" si="130"/>
        <v>0</v>
      </c>
      <c r="AP346">
        <f t="shared" si="131"/>
        <v>0</v>
      </c>
      <c r="AQ346">
        <v>11</v>
      </c>
      <c r="AR346">
        <v>10</v>
      </c>
      <c r="AS346">
        <v>10</v>
      </c>
    </row>
    <row r="347" spans="1:45" x14ac:dyDescent="0.2">
      <c r="A347" t="s">
        <v>34</v>
      </c>
      <c r="B347" t="s">
        <v>35</v>
      </c>
      <c r="C347">
        <v>18</v>
      </c>
      <c r="D347" t="s">
        <v>36</v>
      </c>
      <c r="E347" t="s">
        <v>37</v>
      </c>
      <c r="F347" t="s">
        <v>45</v>
      </c>
      <c r="G347">
        <f t="shared" si="115"/>
        <v>1</v>
      </c>
      <c r="H347">
        <v>3</v>
      </c>
      <c r="I347">
        <f t="shared" si="116"/>
        <v>0</v>
      </c>
      <c r="J347">
        <f t="shared" si="117"/>
        <v>0</v>
      </c>
      <c r="K347">
        <f t="shared" si="118"/>
        <v>0</v>
      </c>
      <c r="L347">
        <f t="shared" si="119"/>
        <v>1</v>
      </c>
      <c r="M347">
        <f t="shared" si="120"/>
        <v>0</v>
      </c>
      <c r="N347">
        <v>2</v>
      </c>
      <c r="O347">
        <f t="shared" si="110"/>
        <v>0</v>
      </c>
      <c r="P347">
        <f t="shared" si="111"/>
        <v>0</v>
      </c>
      <c r="Q347">
        <f t="shared" si="112"/>
        <v>1</v>
      </c>
      <c r="R347">
        <f t="shared" si="113"/>
        <v>0</v>
      </c>
      <c r="S347">
        <f t="shared" si="114"/>
        <v>0</v>
      </c>
      <c r="T347">
        <f t="shared" si="121"/>
        <v>0</v>
      </c>
      <c r="U347">
        <f t="shared" si="122"/>
        <v>0</v>
      </c>
      <c r="V347">
        <f t="shared" si="123"/>
        <v>0</v>
      </c>
      <c r="W347">
        <f t="shared" si="124"/>
        <v>0</v>
      </c>
      <c r="X347" t="s">
        <v>46</v>
      </c>
      <c r="Y347" t="s">
        <v>49</v>
      </c>
      <c r="Z347" t="s">
        <v>46</v>
      </c>
      <c r="AA347" t="s">
        <v>42</v>
      </c>
      <c r="AB347">
        <v>1</v>
      </c>
      <c r="AC347">
        <v>3</v>
      </c>
      <c r="AD347">
        <v>0</v>
      </c>
      <c r="AE347" t="s">
        <v>44</v>
      </c>
      <c r="AF347" t="s">
        <v>44</v>
      </c>
      <c r="AG347">
        <f t="shared" si="125"/>
        <v>0</v>
      </c>
      <c r="AH347" t="s">
        <v>44</v>
      </c>
      <c r="AI347">
        <f t="shared" si="126"/>
        <v>0</v>
      </c>
      <c r="AJ347" t="s">
        <v>43</v>
      </c>
      <c r="AK347">
        <f t="shared" si="127"/>
        <v>1</v>
      </c>
      <c r="AL347">
        <f t="shared" si="128"/>
        <v>0</v>
      </c>
      <c r="AM347">
        <v>7</v>
      </c>
      <c r="AN347">
        <f t="shared" si="129"/>
        <v>0</v>
      </c>
      <c r="AO347">
        <f t="shared" si="130"/>
        <v>0</v>
      </c>
      <c r="AP347">
        <f t="shared" si="131"/>
        <v>0</v>
      </c>
      <c r="AQ347">
        <v>13</v>
      </c>
      <c r="AR347">
        <v>13</v>
      </c>
      <c r="AS347">
        <v>14</v>
      </c>
    </row>
    <row r="348" spans="1:45" x14ac:dyDescent="0.2">
      <c r="A348" t="s">
        <v>34</v>
      </c>
      <c r="B348" t="s">
        <v>51</v>
      </c>
      <c r="C348">
        <v>18</v>
      </c>
      <c r="D348" t="s">
        <v>53</v>
      </c>
      <c r="E348" t="s">
        <v>37</v>
      </c>
      <c r="F348" t="s">
        <v>45</v>
      </c>
      <c r="G348">
        <f t="shared" si="115"/>
        <v>1</v>
      </c>
      <c r="H348">
        <v>4</v>
      </c>
      <c r="I348">
        <f t="shared" si="116"/>
        <v>0</v>
      </c>
      <c r="J348">
        <f t="shared" si="117"/>
        <v>0</v>
      </c>
      <c r="K348">
        <f t="shared" si="118"/>
        <v>0</v>
      </c>
      <c r="L348">
        <f t="shared" si="119"/>
        <v>0</v>
      </c>
      <c r="M348">
        <f t="shared" si="120"/>
        <v>1</v>
      </c>
      <c r="N348">
        <v>3</v>
      </c>
      <c r="O348">
        <f t="shared" si="110"/>
        <v>0</v>
      </c>
      <c r="P348">
        <f t="shared" si="111"/>
        <v>0</v>
      </c>
      <c r="Q348">
        <f t="shared" si="112"/>
        <v>0</v>
      </c>
      <c r="R348">
        <f t="shared" si="113"/>
        <v>1</v>
      </c>
      <c r="S348">
        <f t="shared" si="114"/>
        <v>0</v>
      </c>
      <c r="T348">
        <f t="shared" si="121"/>
        <v>0</v>
      </c>
      <c r="U348">
        <f t="shared" si="122"/>
        <v>1</v>
      </c>
      <c r="V348">
        <f t="shared" si="123"/>
        <v>0</v>
      </c>
      <c r="W348">
        <f t="shared" si="124"/>
        <v>0</v>
      </c>
      <c r="X348" t="s">
        <v>40</v>
      </c>
      <c r="Y348" t="s">
        <v>49</v>
      </c>
      <c r="Z348" t="s">
        <v>41</v>
      </c>
      <c r="AA348" t="s">
        <v>42</v>
      </c>
      <c r="AB348">
        <v>1</v>
      </c>
      <c r="AC348">
        <v>3</v>
      </c>
      <c r="AD348">
        <v>0</v>
      </c>
      <c r="AE348" t="s">
        <v>44</v>
      </c>
      <c r="AF348" t="s">
        <v>44</v>
      </c>
      <c r="AG348">
        <f t="shared" si="125"/>
        <v>0</v>
      </c>
      <c r="AH348" t="s">
        <v>44</v>
      </c>
      <c r="AI348">
        <f t="shared" si="126"/>
        <v>0</v>
      </c>
      <c r="AJ348" t="s">
        <v>43</v>
      </c>
      <c r="AK348">
        <f t="shared" si="127"/>
        <v>1</v>
      </c>
      <c r="AL348">
        <f t="shared" si="128"/>
        <v>0</v>
      </c>
      <c r="AM348">
        <v>9</v>
      </c>
      <c r="AN348">
        <f t="shared" si="129"/>
        <v>0</v>
      </c>
      <c r="AO348">
        <f t="shared" si="130"/>
        <v>0</v>
      </c>
      <c r="AP348">
        <f t="shared" si="131"/>
        <v>0</v>
      </c>
      <c r="AQ348">
        <v>16</v>
      </c>
      <c r="AR348">
        <v>15</v>
      </c>
      <c r="AS348">
        <v>16</v>
      </c>
    </row>
    <row r="349" spans="1:45" x14ac:dyDescent="0.2">
      <c r="A349" t="s">
        <v>34</v>
      </c>
      <c r="B349" t="s">
        <v>51</v>
      </c>
      <c r="C349">
        <v>18</v>
      </c>
      <c r="D349" t="s">
        <v>36</v>
      </c>
      <c r="E349" t="s">
        <v>37</v>
      </c>
      <c r="F349" t="s">
        <v>45</v>
      </c>
      <c r="G349">
        <f t="shared" si="115"/>
        <v>1</v>
      </c>
      <c r="H349">
        <v>4</v>
      </c>
      <c r="I349">
        <f t="shared" si="116"/>
        <v>0</v>
      </c>
      <c r="J349">
        <f t="shared" si="117"/>
        <v>0</v>
      </c>
      <c r="K349">
        <f t="shared" si="118"/>
        <v>0</v>
      </c>
      <c r="L349">
        <f t="shared" si="119"/>
        <v>0</v>
      </c>
      <c r="M349">
        <f t="shared" si="120"/>
        <v>1</v>
      </c>
      <c r="N349">
        <v>3</v>
      </c>
      <c r="O349">
        <f t="shared" si="110"/>
        <v>0</v>
      </c>
      <c r="P349">
        <f t="shared" si="111"/>
        <v>0</v>
      </c>
      <c r="Q349">
        <f t="shared" si="112"/>
        <v>0</v>
      </c>
      <c r="R349">
        <f t="shared" si="113"/>
        <v>1</v>
      </c>
      <c r="S349">
        <f t="shared" si="114"/>
        <v>0</v>
      </c>
      <c r="T349">
        <f t="shared" si="121"/>
        <v>0</v>
      </c>
      <c r="U349">
        <f t="shared" si="122"/>
        <v>1</v>
      </c>
      <c r="V349">
        <f t="shared" si="123"/>
        <v>0</v>
      </c>
      <c r="W349">
        <f t="shared" si="124"/>
        <v>0</v>
      </c>
      <c r="X349" t="s">
        <v>40</v>
      </c>
      <c r="Y349" t="s">
        <v>46</v>
      </c>
      <c r="Z349" t="s">
        <v>41</v>
      </c>
      <c r="AA349" t="s">
        <v>42</v>
      </c>
      <c r="AB349">
        <v>1</v>
      </c>
      <c r="AC349">
        <v>3</v>
      </c>
      <c r="AD349">
        <v>0</v>
      </c>
      <c r="AE349" t="s">
        <v>44</v>
      </c>
      <c r="AF349" t="s">
        <v>43</v>
      </c>
      <c r="AG349">
        <f t="shared" si="125"/>
        <v>1</v>
      </c>
      <c r="AH349" t="s">
        <v>43</v>
      </c>
      <c r="AI349">
        <f t="shared" si="126"/>
        <v>1</v>
      </c>
      <c r="AJ349" t="s">
        <v>43</v>
      </c>
      <c r="AK349">
        <f t="shared" si="127"/>
        <v>1</v>
      </c>
      <c r="AL349">
        <f t="shared" si="128"/>
        <v>1</v>
      </c>
      <c r="AM349">
        <v>0</v>
      </c>
      <c r="AN349">
        <f t="shared" si="129"/>
        <v>0</v>
      </c>
      <c r="AO349">
        <f t="shared" si="130"/>
        <v>1</v>
      </c>
      <c r="AP349">
        <f t="shared" si="131"/>
        <v>0</v>
      </c>
      <c r="AQ349">
        <v>10</v>
      </c>
      <c r="AR349">
        <v>10</v>
      </c>
      <c r="AS349">
        <v>9</v>
      </c>
    </row>
    <row r="350" spans="1:45" x14ac:dyDescent="0.2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f t="shared" si="115"/>
        <v>1</v>
      </c>
      <c r="H350">
        <v>4</v>
      </c>
      <c r="I350">
        <f t="shared" si="116"/>
        <v>0</v>
      </c>
      <c r="J350">
        <f t="shared" si="117"/>
        <v>0</v>
      </c>
      <c r="K350">
        <f t="shared" si="118"/>
        <v>0</v>
      </c>
      <c r="L350">
        <f t="shared" si="119"/>
        <v>0</v>
      </c>
      <c r="M350">
        <f t="shared" si="120"/>
        <v>1</v>
      </c>
      <c r="N350">
        <v>3</v>
      </c>
      <c r="O350">
        <f t="shared" si="110"/>
        <v>0</v>
      </c>
      <c r="P350">
        <f t="shared" si="111"/>
        <v>0</v>
      </c>
      <c r="Q350">
        <f t="shared" si="112"/>
        <v>0</v>
      </c>
      <c r="R350">
        <f t="shared" si="113"/>
        <v>1</v>
      </c>
      <c r="S350">
        <f t="shared" si="114"/>
        <v>0</v>
      </c>
      <c r="T350">
        <f t="shared" si="121"/>
        <v>0</v>
      </c>
      <c r="U350">
        <f t="shared" si="122"/>
        <v>1</v>
      </c>
      <c r="V350">
        <f t="shared" si="123"/>
        <v>0</v>
      </c>
      <c r="W350">
        <f t="shared" si="124"/>
        <v>0</v>
      </c>
      <c r="X350" t="s">
        <v>29</v>
      </c>
      <c r="Y350" t="s">
        <v>46</v>
      </c>
      <c r="Z350" t="s">
        <v>52</v>
      </c>
      <c r="AA350" t="s">
        <v>42</v>
      </c>
      <c r="AB350">
        <v>1</v>
      </c>
      <c r="AC350">
        <v>3</v>
      </c>
      <c r="AD350">
        <v>0</v>
      </c>
      <c r="AE350" t="s">
        <v>44</v>
      </c>
      <c r="AF350" t="s">
        <v>43</v>
      </c>
      <c r="AG350">
        <f t="shared" si="125"/>
        <v>1</v>
      </c>
      <c r="AH350" t="s">
        <v>43</v>
      </c>
      <c r="AI350">
        <f t="shared" si="126"/>
        <v>1</v>
      </c>
      <c r="AJ350" t="s">
        <v>43</v>
      </c>
      <c r="AK350">
        <f t="shared" si="127"/>
        <v>1</v>
      </c>
      <c r="AL350">
        <f t="shared" si="128"/>
        <v>1</v>
      </c>
      <c r="AM350">
        <v>0</v>
      </c>
      <c r="AN350">
        <f t="shared" si="129"/>
        <v>0</v>
      </c>
      <c r="AO350">
        <f t="shared" si="130"/>
        <v>1</v>
      </c>
      <c r="AP350">
        <f t="shared" si="131"/>
        <v>0</v>
      </c>
      <c r="AQ350">
        <v>13</v>
      </c>
      <c r="AR350">
        <v>15</v>
      </c>
      <c r="AS350">
        <v>15</v>
      </c>
    </row>
    <row r="351" spans="1:45" x14ac:dyDescent="0.2">
      <c r="A351" t="s">
        <v>54</v>
      </c>
      <c r="B351" t="s">
        <v>51</v>
      </c>
      <c r="C351">
        <v>18</v>
      </c>
      <c r="D351" t="s">
        <v>53</v>
      </c>
      <c r="E351" t="s">
        <v>37</v>
      </c>
      <c r="F351" t="s">
        <v>45</v>
      </c>
      <c r="G351">
        <f t="shared" si="115"/>
        <v>1</v>
      </c>
      <c r="H351">
        <v>3</v>
      </c>
      <c r="I351">
        <f t="shared" si="116"/>
        <v>0</v>
      </c>
      <c r="J351">
        <f t="shared" si="117"/>
        <v>0</v>
      </c>
      <c r="K351">
        <f t="shared" si="118"/>
        <v>0</v>
      </c>
      <c r="L351">
        <f t="shared" si="119"/>
        <v>1</v>
      </c>
      <c r="M351">
        <f t="shared" si="120"/>
        <v>0</v>
      </c>
      <c r="N351">
        <v>2</v>
      </c>
      <c r="O351">
        <f t="shared" si="110"/>
        <v>0</v>
      </c>
      <c r="P351">
        <f t="shared" si="111"/>
        <v>0</v>
      </c>
      <c r="Q351">
        <f t="shared" si="112"/>
        <v>1</v>
      </c>
      <c r="R351">
        <f t="shared" si="113"/>
        <v>0</v>
      </c>
      <c r="S351">
        <f t="shared" si="114"/>
        <v>0</v>
      </c>
      <c r="T351">
        <f t="shared" si="121"/>
        <v>0</v>
      </c>
      <c r="U351">
        <f t="shared" si="122"/>
        <v>0</v>
      </c>
      <c r="V351">
        <f t="shared" si="123"/>
        <v>0</v>
      </c>
      <c r="W351">
        <f t="shared" si="124"/>
        <v>0</v>
      </c>
      <c r="X351" t="s">
        <v>46</v>
      </c>
      <c r="Y351" t="s">
        <v>46</v>
      </c>
      <c r="Z351" t="s">
        <v>41</v>
      </c>
      <c r="AA351" t="s">
        <v>42</v>
      </c>
      <c r="AB351">
        <v>2</v>
      </c>
      <c r="AC351">
        <v>1</v>
      </c>
      <c r="AD351">
        <v>1</v>
      </c>
      <c r="AE351" t="s">
        <v>44</v>
      </c>
      <c r="AF351" t="s">
        <v>43</v>
      </c>
      <c r="AG351">
        <f t="shared" si="125"/>
        <v>1</v>
      </c>
      <c r="AH351" t="s">
        <v>44</v>
      </c>
      <c r="AI351">
        <f t="shared" si="126"/>
        <v>0</v>
      </c>
      <c r="AJ351" t="s">
        <v>43</v>
      </c>
      <c r="AK351">
        <f t="shared" si="127"/>
        <v>1</v>
      </c>
      <c r="AL351">
        <f t="shared" si="128"/>
        <v>0</v>
      </c>
      <c r="AM351">
        <v>10</v>
      </c>
      <c r="AN351">
        <f t="shared" si="129"/>
        <v>0</v>
      </c>
      <c r="AO351">
        <f t="shared" si="130"/>
        <v>0</v>
      </c>
      <c r="AP351">
        <f t="shared" si="131"/>
        <v>0</v>
      </c>
      <c r="AQ351">
        <v>11</v>
      </c>
      <c r="AR351">
        <v>13</v>
      </c>
      <c r="AS351">
        <v>13</v>
      </c>
    </row>
    <row r="352" spans="1:45" x14ac:dyDescent="0.2">
      <c r="A352" t="s">
        <v>54</v>
      </c>
      <c r="B352" t="s">
        <v>51</v>
      </c>
      <c r="C352">
        <v>19</v>
      </c>
      <c r="D352" t="s">
        <v>53</v>
      </c>
      <c r="E352" t="s">
        <v>37</v>
      </c>
      <c r="F352" t="s">
        <v>45</v>
      </c>
      <c r="G352">
        <f t="shared" si="115"/>
        <v>1</v>
      </c>
      <c r="H352">
        <v>1</v>
      </c>
      <c r="I352">
        <f t="shared" si="116"/>
        <v>0</v>
      </c>
      <c r="J352">
        <f t="shared" si="117"/>
        <v>1</v>
      </c>
      <c r="K352">
        <f t="shared" si="118"/>
        <v>0</v>
      </c>
      <c r="L352">
        <f t="shared" si="119"/>
        <v>0</v>
      </c>
      <c r="M352">
        <f t="shared" si="120"/>
        <v>0</v>
      </c>
      <c r="N352">
        <v>1</v>
      </c>
      <c r="O352">
        <f t="shared" si="110"/>
        <v>0</v>
      </c>
      <c r="P352">
        <f t="shared" si="111"/>
        <v>1</v>
      </c>
      <c r="Q352">
        <f t="shared" si="112"/>
        <v>0</v>
      </c>
      <c r="R352">
        <f t="shared" si="113"/>
        <v>0</v>
      </c>
      <c r="S352">
        <f t="shared" si="114"/>
        <v>0</v>
      </c>
      <c r="T352">
        <f t="shared" si="121"/>
        <v>0</v>
      </c>
      <c r="U352">
        <f t="shared" si="122"/>
        <v>0</v>
      </c>
      <c r="V352">
        <f t="shared" si="123"/>
        <v>0</v>
      </c>
      <c r="W352">
        <f t="shared" si="124"/>
        <v>0</v>
      </c>
      <c r="X352" t="s">
        <v>46</v>
      </c>
      <c r="Y352" t="s">
        <v>49</v>
      </c>
      <c r="Z352" t="s">
        <v>50</v>
      </c>
      <c r="AA352" t="s">
        <v>46</v>
      </c>
      <c r="AB352">
        <v>3</v>
      </c>
      <c r="AC352">
        <v>2</v>
      </c>
      <c r="AD352">
        <v>3</v>
      </c>
      <c r="AE352" t="s">
        <v>44</v>
      </c>
      <c r="AF352" t="s">
        <v>44</v>
      </c>
      <c r="AG352">
        <f t="shared" si="125"/>
        <v>0</v>
      </c>
      <c r="AH352" t="s">
        <v>44</v>
      </c>
      <c r="AI352">
        <f t="shared" si="126"/>
        <v>0</v>
      </c>
      <c r="AJ352" t="s">
        <v>43</v>
      </c>
      <c r="AK352">
        <f t="shared" si="127"/>
        <v>1</v>
      </c>
      <c r="AL352">
        <f t="shared" si="128"/>
        <v>0</v>
      </c>
      <c r="AM352">
        <v>8</v>
      </c>
      <c r="AN352">
        <f t="shared" si="129"/>
        <v>0</v>
      </c>
      <c r="AO352">
        <f t="shared" si="130"/>
        <v>0</v>
      </c>
      <c r="AP352">
        <f t="shared" si="131"/>
        <v>0</v>
      </c>
      <c r="AQ352">
        <v>8</v>
      </c>
      <c r="AR352">
        <v>7</v>
      </c>
      <c r="AS352">
        <v>8</v>
      </c>
    </row>
    <row r="353" spans="1:45" x14ac:dyDescent="0.2">
      <c r="A353" t="s">
        <v>54</v>
      </c>
      <c r="B353" t="s">
        <v>51</v>
      </c>
      <c r="C353">
        <v>17</v>
      </c>
      <c r="D353" t="s">
        <v>36</v>
      </c>
      <c r="E353" t="s">
        <v>37</v>
      </c>
      <c r="F353" t="s">
        <v>45</v>
      </c>
      <c r="G353">
        <f t="shared" si="115"/>
        <v>1</v>
      </c>
      <c r="H353">
        <v>3</v>
      </c>
      <c r="I353">
        <f t="shared" si="116"/>
        <v>0</v>
      </c>
      <c r="J353">
        <f t="shared" si="117"/>
        <v>0</v>
      </c>
      <c r="K353">
        <f t="shared" si="118"/>
        <v>0</v>
      </c>
      <c r="L353">
        <f t="shared" si="119"/>
        <v>1</v>
      </c>
      <c r="M353">
        <f t="shared" si="120"/>
        <v>0</v>
      </c>
      <c r="N353">
        <v>3</v>
      </c>
      <c r="O353">
        <f t="shared" si="110"/>
        <v>0</v>
      </c>
      <c r="P353">
        <f t="shared" si="111"/>
        <v>0</v>
      </c>
      <c r="Q353">
        <f t="shared" si="112"/>
        <v>0</v>
      </c>
      <c r="R353">
        <f t="shared" si="113"/>
        <v>1</v>
      </c>
      <c r="S353">
        <f t="shared" si="114"/>
        <v>0</v>
      </c>
      <c r="T353">
        <f t="shared" si="121"/>
        <v>0</v>
      </c>
      <c r="U353">
        <f t="shared" si="122"/>
        <v>0</v>
      </c>
      <c r="V353">
        <f t="shared" si="123"/>
        <v>0</v>
      </c>
      <c r="W353">
        <f t="shared" si="124"/>
        <v>0</v>
      </c>
      <c r="X353" t="s">
        <v>29</v>
      </c>
      <c r="Y353" t="s">
        <v>46</v>
      </c>
      <c r="Z353" t="s">
        <v>41</v>
      </c>
      <c r="AA353" t="s">
        <v>42</v>
      </c>
      <c r="AB353">
        <v>2</v>
      </c>
      <c r="AC353">
        <v>2</v>
      </c>
      <c r="AD353">
        <v>0</v>
      </c>
      <c r="AE353" t="s">
        <v>44</v>
      </c>
      <c r="AF353" t="s">
        <v>43</v>
      </c>
      <c r="AG353">
        <f t="shared" si="125"/>
        <v>1</v>
      </c>
      <c r="AH353" t="s">
        <v>43</v>
      </c>
      <c r="AI353">
        <f t="shared" si="126"/>
        <v>1</v>
      </c>
      <c r="AJ353" t="s">
        <v>43</v>
      </c>
      <c r="AK353">
        <f t="shared" si="127"/>
        <v>1</v>
      </c>
      <c r="AL353">
        <f t="shared" si="128"/>
        <v>1</v>
      </c>
      <c r="AM353">
        <v>2</v>
      </c>
      <c r="AN353">
        <f t="shared" si="129"/>
        <v>0</v>
      </c>
      <c r="AO353">
        <f t="shared" si="130"/>
        <v>0</v>
      </c>
      <c r="AP353">
        <f t="shared" si="131"/>
        <v>1</v>
      </c>
      <c r="AQ353">
        <v>13</v>
      </c>
      <c r="AR353">
        <v>13</v>
      </c>
      <c r="AS353">
        <v>13</v>
      </c>
    </row>
    <row r="354" spans="1:45" x14ac:dyDescent="0.2">
      <c r="A354" t="s">
        <v>54</v>
      </c>
      <c r="B354" t="s">
        <v>51</v>
      </c>
      <c r="C354">
        <v>18</v>
      </c>
      <c r="D354" t="s">
        <v>36</v>
      </c>
      <c r="E354" t="s">
        <v>48</v>
      </c>
      <c r="F354" t="s">
        <v>45</v>
      </c>
      <c r="G354">
        <f t="shared" si="115"/>
        <v>1</v>
      </c>
      <c r="H354">
        <v>1</v>
      </c>
      <c r="I354">
        <f t="shared" si="116"/>
        <v>0</v>
      </c>
      <c r="J354">
        <f t="shared" si="117"/>
        <v>1</v>
      </c>
      <c r="K354">
        <f t="shared" si="118"/>
        <v>0</v>
      </c>
      <c r="L354">
        <f t="shared" si="119"/>
        <v>0</v>
      </c>
      <c r="M354">
        <f t="shared" si="120"/>
        <v>0</v>
      </c>
      <c r="N354">
        <v>3</v>
      </c>
      <c r="O354">
        <f t="shared" si="110"/>
        <v>0</v>
      </c>
      <c r="P354">
        <f t="shared" si="111"/>
        <v>0</v>
      </c>
      <c r="Q354">
        <f t="shared" si="112"/>
        <v>0</v>
      </c>
      <c r="R354">
        <f t="shared" si="113"/>
        <v>1</v>
      </c>
      <c r="S354">
        <f t="shared" si="114"/>
        <v>0</v>
      </c>
      <c r="T354">
        <f t="shared" si="121"/>
        <v>0</v>
      </c>
      <c r="U354">
        <f t="shared" si="122"/>
        <v>0</v>
      </c>
      <c r="V354">
        <f t="shared" si="123"/>
        <v>0</v>
      </c>
      <c r="W354">
        <f t="shared" si="124"/>
        <v>0</v>
      </c>
      <c r="X354" t="s">
        <v>39</v>
      </c>
      <c r="Y354" t="s">
        <v>49</v>
      </c>
      <c r="Z354" t="s">
        <v>41</v>
      </c>
      <c r="AA354" t="s">
        <v>42</v>
      </c>
      <c r="AB354">
        <v>1</v>
      </c>
      <c r="AC354">
        <v>1</v>
      </c>
      <c r="AD354">
        <v>1</v>
      </c>
      <c r="AE354" t="s">
        <v>44</v>
      </c>
      <c r="AF354" t="s">
        <v>44</v>
      </c>
      <c r="AG354">
        <f t="shared" si="125"/>
        <v>0</v>
      </c>
      <c r="AH354" t="s">
        <v>44</v>
      </c>
      <c r="AI354">
        <f t="shared" si="126"/>
        <v>0</v>
      </c>
      <c r="AJ354" t="s">
        <v>43</v>
      </c>
      <c r="AK354">
        <f t="shared" si="127"/>
        <v>1</v>
      </c>
      <c r="AL354">
        <f t="shared" si="128"/>
        <v>0</v>
      </c>
      <c r="AM354">
        <v>7</v>
      </c>
      <c r="AN354">
        <f t="shared" si="129"/>
        <v>0</v>
      </c>
      <c r="AO354">
        <f t="shared" si="130"/>
        <v>0</v>
      </c>
      <c r="AP354">
        <f t="shared" si="131"/>
        <v>0</v>
      </c>
      <c r="AQ354">
        <v>8</v>
      </c>
      <c r="AR354">
        <v>7</v>
      </c>
      <c r="AS354">
        <v>8</v>
      </c>
    </row>
    <row r="355" spans="1:45" x14ac:dyDescent="0.2">
      <c r="A355" t="s">
        <v>54</v>
      </c>
      <c r="B355" t="s">
        <v>51</v>
      </c>
      <c r="C355">
        <v>19</v>
      </c>
      <c r="D355" t="s">
        <v>53</v>
      </c>
      <c r="E355" t="s">
        <v>37</v>
      </c>
      <c r="F355" t="s">
        <v>45</v>
      </c>
      <c r="G355">
        <f t="shared" si="115"/>
        <v>1</v>
      </c>
      <c r="H355">
        <v>1</v>
      </c>
      <c r="I355">
        <f t="shared" si="116"/>
        <v>0</v>
      </c>
      <c r="J355">
        <f t="shared" si="117"/>
        <v>1</v>
      </c>
      <c r="K355">
        <f t="shared" si="118"/>
        <v>0</v>
      </c>
      <c r="L355">
        <f t="shared" si="119"/>
        <v>0</v>
      </c>
      <c r="M355">
        <f t="shared" si="120"/>
        <v>0</v>
      </c>
      <c r="N355">
        <v>1</v>
      </c>
      <c r="O355">
        <f t="shared" si="110"/>
        <v>0</v>
      </c>
      <c r="P355">
        <f t="shared" si="111"/>
        <v>1</v>
      </c>
      <c r="Q355">
        <f t="shared" si="112"/>
        <v>0</v>
      </c>
      <c r="R355">
        <f t="shared" si="113"/>
        <v>0</v>
      </c>
      <c r="S355">
        <f t="shared" si="114"/>
        <v>0</v>
      </c>
      <c r="T355">
        <f t="shared" si="121"/>
        <v>0</v>
      </c>
      <c r="U355">
        <f t="shared" si="122"/>
        <v>0</v>
      </c>
      <c r="V355">
        <f t="shared" si="123"/>
        <v>0</v>
      </c>
      <c r="W355">
        <f t="shared" si="124"/>
        <v>0</v>
      </c>
      <c r="X355" t="s">
        <v>46</v>
      </c>
      <c r="Y355" t="s">
        <v>46</v>
      </c>
      <c r="Z355" t="s">
        <v>50</v>
      </c>
      <c r="AA355" t="s">
        <v>46</v>
      </c>
      <c r="AB355">
        <v>3</v>
      </c>
      <c r="AC355">
        <v>1</v>
      </c>
      <c r="AD355">
        <v>1</v>
      </c>
      <c r="AE355" t="s">
        <v>44</v>
      </c>
      <c r="AF355" t="s">
        <v>43</v>
      </c>
      <c r="AG355">
        <f t="shared" si="125"/>
        <v>1</v>
      </c>
      <c r="AH355" t="s">
        <v>44</v>
      </c>
      <c r="AI355">
        <f t="shared" si="126"/>
        <v>0</v>
      </c>
      <c r="AJ355" t="s">
        <v>43</v>
      </c>
      <c r="AK355">
        <f t="shared" si="127"/>
        <v>1</v>
      </c>
      <c r="AL355">
        <f t="shared" si="128"/>
        <v>0</v>
      </c>
      <c r="AM355">
        <v>4</v>
      </c>
      <c r="AN355">
        <f t="shared" si="129"/>
        <v>0</v>
      </c>
      <c r="AO355">
        <f t="shared" si="130"/>
        <v>0</v>
      </c>
      <c r="AP355">
        <f t="shared" si="131"/>
        <v>0</v>
      </c>
      <c r="AQ355">
        <v>8</v>
      </c>
      <c r="AR355">
        <v>8</v>
      </c>
      <c r="AS355">
        <v>8</v>
      </c>
    </row>
    <row r="356" spans="1:45" x14ac:dyDescent="0.2">
      <c r="A356" t="s">
        <v>54</v>
      </c>
      <c r="B356" t="s">
        <v>51</v>
      </c>
      <c r="C356">
        <v>17</v>
      </c>
      <c r="D356" t="s">
        <v>53</v>
      </c>
      <c r="E356" t="s">
        <v>37</v>
      </c>
      <c r="F356" t="s">
        <v>45</v>
      </c>
      <c r="G356">
        <f t="shared" si="115"/>
        <v>1</v>
      </c>
      <c r="H356">
        <v>4</v>
      </c>
      <c r="I356">
        <f t="shared" si="116"/>
        <v>0</v>
      </c>
      <c r="J356">
        <f t="shared" si="117"/>
        <v>0</v>
      </c>
      <c r="K356">
        <f t="shared" si="118"/>
        <v>0</v>
      </c>
      <c r="L356">
        <f t="shared" si="119"/>
        <v>0</v>
      </c>
      <c r="M356">
        <f t="shared" si="120"/>
        <v>1</v>
      </c>
      <c r="N356">
        <v>3</v>
      </c>
      <c r="O356">
        <f t="shared" si="110"/>
        <v>0</v>
      </c>
      <c r="P356">
        <f t="shared" si="111"/>
        <v>0</v>
      </c>
      <c r="Q356">
        <f t="shared" si="112"/>
        <v>0</v>
      </c>
      <c r="R356">
        <f t="shared" si="113"/>
        <v>1</v>
      </c>
      <c r="S356">
        <f t="shared" si="114"/>
        <v>0</v>
      </c>
      <c r="T356">
        <f t="shared" si="121"/>
        <v>0</v>
      </c>
      <c r="U356">
        <f t="shared" si="122"/>
        <v>1</v>
      </c>
      <c r="V356">
        <f t="shared" si="123"/>
        <v>0</v>
      </c>
      <c r="W356">
        <f t="shared" si="124"/>
        <v>0</v>
      </c>
      <c r="X356" t="s">
        <v>49</v>
      </c>
      <c r="Y356" t="s">
        <v>46</v>
      </c>
      <c r="Z356" t="s">
        <v>50</v>
      </c>
      <c r="AA356" t="s">
        <v>42</v>
      </c>
      <c r="AB356">
        <v>2</v>
      </c>
      <c r="AC356">
        <v>2</v>
      </c>
      <c r="AD356">
        <v>0</v>
      </c>
      <c r="AE356" t="s">
        <v>44</v>
      </c>
      <c r="AF356" t="s">
        <v>43</v>
      </c>
      <c r="AG356">
        <f t="shared" si="125"/>
        <v>1</v>
      </c>
      <c r="AH356" t="s">
        <v>43</v>
      </c>
      <c r="AI356">
        <f t="shared" si="126"/>
        <v>1</v>
      </c>
      <c r="AJ356" t="s">
        <v>43</v>
      </c>
      <c r="AK356">
        <f t="shared" si="127"/>
        <v>1</v>
      </c>
      <c r="AL356">
        <f t="shared" si="128"/>
        <v>1</v>
      </c>
      <c r="AM356">
        <v>4</v>
      </c>
      <c r="AN356">
        <f t="shared" si="129"/>
        <v>0</v>
      </c>
      <c r="AO356">
        <f t="shared" si="130"/>
        <v>1</v>
      </c>
      <c r="AP356">
        <f t="shared" si="131"/>
        <v>0</v>
      </c>
      <c r="AQ356">
        <v>13</v>
      </c>
      <c r="AR356">
        <v>11</v>
      </c>
      <c r="AS356">
        <v>11</v>
      </c>
    </row>
    <row r="357" spans="1:45" x14ac:dyDescent="0.2">
      <c r="A357" t="s">
        <v>54</v>
      </c>
      <c r="B357" t="s">
        <v>35</v>
      </c>
      <c r="C357">
        <v>18</v>
      </c>
      <c r="D357" t="s">
        <v>36</v>
      </c>
      <c r="E357" t="s">
        <v>37</v>
      </c>
      <c r="F357" t="s">
        <v>45</v>
      </c>
      <c r="G357">
        <f t="shared" si="115"/>
        <v>1</v>
      </c>
      <c r="H357">
        <v>3</v>
      </c>
      <c r="I357">
        <f t="shared" si="116"/>
        <v>0</v>
      </c>
      <c r="J357">
        <f t="shared" si="117"/>
        <v>0</v>
      </c>
      <c r="K357">
        <f t="shared" si="118"/>
        <v>0</v>
      </c>
      <c r="L357">
        <f t="shared" si="119"/>
        <v>1</v>
      </c>
      <c r="M357">
        <f t="shared" si="120"/>
        <v>0</v>
      </c>
      <c r="N357">
        <v>3</v>
      </c>
      <c r="O357">
        <f t="shared" si="110"/>
        <v>0</v>
      </c>
      <c r="P357">
        <f t="shared" si="111"/>
        <v>0</v>
      </c>
      <c r="Q357">
        <f t="shared" si="112"/>
        <v>0</v>
      </c>
      <c r="R357">
        <f t="shared" si="113"/>
        <v>1</v>
      </c>
      <c r="S357">
        <f t="shared" si="114"/>
        <v>0</v>
      </c>
      <c r="T357">
        <f t="shared" si="121"/>
        <v>0</v>
      </c>
      <c r="U357">
        <f t="shared" si="122"/>
        <v>0</v>
      </c>
      <c r="V357">
        <f t="shared" si="123"/>
        <v>0</v>
      </c>
      <c r="W357">
        <f t="shared" si="124"/>
        <v>0</v>
      </c>
      <c r="X357" t="s">
        <v>49</v>
      </c>
      <c r="Y357" t="s">
        <v>49</v>
      </c>
      <c r="Z357" t="s">
        <v>41</v>
      </c>
      <c r="AA357" t="s">
        <v>47</v>
      </c>
      <c r="AB357">
        <v>1</v>
      </c>
      <c r="AC357">
        <v>2</v>
      </c>
      <c r="AD357">
        <v>0</v>
      </c>
      <c r="AE357" t="s">
        <v>44</v>
      </c>
      <c r="AF357" t="s">
        <v>43</v>
      </c>
      <c r="AG357">
        <f t="shared" si="125"/>
        <v>1</v>
      </c>
      <c r="AH357" t="s">
        <v>44</v>
      </c>
      <c r="AI357">
        <f t="shared" si="126"/>
        <v>0</v>
      </c>
      <c r="AJ357" t="s">
        <v>44</v>
      </c>
      <c r="AK357">
        <f t="shared" si="127"/>
        <v>0</v>
      </c>
      <c r="AL357">
        <f t="shared" si="128"/>
        <v>0</v>
      </c>
      <c r="AM357">
        <v>0</v>
      </c>
      <c r="AN357">
        <f t="shared" si="129"/>
        <v>0</v>
      </c>
      <c r="AO357">
        <f t="shared" si="130"/>
        <v>0</v>
      </c>
      <c r="AP357">
        <f t="shared" si="131"/>
        <v>0</v>
      </c>
      <c r="AQ357">
        <v>10</v>
      </c>
      <c r="AR357">
        <v>9</v>
      </c>
      <c r="AS357">
        <v>9</v>
      </c>
    </row>
    <row r="358" spans="1:45" x14ac:dyDescent="0.2">
      <c r="A358" t="s">
        <v>54</v>
      </c>
      <c r="B358" t="s">
        <v>35</v>
      </c>
      <c r="C358">
        <v>17</v>
      </c>
      <c r="D358" t="s">
        <v>53</v>
      </c>
      <c r="E358" t="s">
        <v>37</v>
      </c>
      <c r="F358" t="s">
        <v>45</v>
      </c>
      <c r="G358">
        <f t="shared" si="115"/>
        <v>1</v>
      </c>
      <c r="H358">
        <v>4</v>
      </c>
      <c r="I358">
        <f t="shared" si="116"/>
        <v>0</v>
      </c>
      <c r="J358">
        <f t="shared" si="117"/>
        <v>0</v>
      </c>
      <c r="K358">
        <f t="shared" si="118"/>
        <v>0</v>
      </c>
      <c r="L358">
        <f t="shared" si="119"/>
        <v>0</v>
      </c>
      <c r="M358">
        <f t="shared" si="120"/>
        <v>1</v>
      </c>
      <c r="N358">
        <v>4</v>
      </c>
      <c r="O358">
        <f t="shared" si="110"/>
        <v>0</v>
      </c>
      <c r="P358">
        <f t="shared" si="111"/>
        <v>0</v>
      </c>
      <c r="Q358">
        <f t="shared" si="112"/>
        <v>0</v>
      </c>
      <c r="R358">
        <f t="shared" si="113"/>
        <v>0</v>
      </c>
      <c r="S358">
        <f t="shared" si="114"/>
        <v>1</v>
      </c>
      <c r="T358">
        <f t="shared" si="121"/>
        <v>1</v>
      </c>
      <c r="U358">
        <f t="shared" si="122"/>
        <v>0</v>
      </c>
      <c r="V358">
        <f t="shared" si="123"/>
        <v>0</v>
      </c>
      <c r="W358">
        <f t="shared" si="124"/>
        <v>0</v>
      </c>
      <c r="X358" t="s">
        <v>40</v>
      </c>
      <c r="Y358" t="s">
        <v>49</v>
      </c>
      <c r="Z358" t="s">
        <v>46</v>
      </c>
      <c r="AA358" t="s">
        <v>47</v>
      </c>
      <c r="AB358">
        <v>2</v>
      </c>
      <c r="AC358">
        <v>2</v>
      </c>
      <c r="AD358">
        <v>0</v>
      </c>
      <c r="AE358" t="s">
        <v>44</v>
      </c>
      <c r="AF358" t="s">
        <v>43</v>
      </c>
      <c r="AG358">
        <f t="shared" si="125"/>
        <v>1</v>
      </c>
      <c r="AH358" t="s">
        <v>43</v>
      </c>
      <c r="AI358">
        <f t="shared" si="126"/>
        <v>1</v>
      </c>
      <c r="AJ358" t="s">
        <v>43</v>
      </c>
      <c r="AK358">
        <f t="shared" si="127"/>
        <v>1</v>
      </c>
      <c r="AL358">
        <f t="shared" si="128"/>
        <v>1</v>
      </c>
      <c r="AM358">
        <v>4</v>
      </c>
      <c r="AN358">
        <f t="shared" si="129"/>
        <v>0</v>
      </c>
      <c r="AO358">
        <f t="shared" si="130"/>
        <v>1</v>
      </c>
      <c r="AP358">
        <f t="shared" si="131"/>
        <v>0</v>
      </c>
      <c r="AQ358">
        <v>12</v>
      </c>
      <c r="AR358">
        <v>13</v>
      </c>
      <c r="AS358">
        <v>13</v>
      </c>
    </row>
    <row r="359" spans="1:45" x14ac:dyDescent="0.2">
      <c r="A359" t="s">
        <v>54</v>
      </c>
      <c r="B359" t="s">
        <v>35</v>
      </c>
      <c r="C359">
        <v>17</v>
      </c>
      <c r="D359" t="s">
        <v>36</v>
      </c>
      <c r="E359" t="s">
        <v>48</v>
      </c>
      <c r="F359" t="s">
        <v>38</v>
      </c>
      <c r="G359">
        <f t="shared" si="115"/>
        <v>0</v>
      </c>
      <c r="H359">
        <v>3</v>
      </c>
      <c r="I359">
        <f t="shared" si="116"/>
        <v>0</v>
      </c>
      <c r="J359">
        <f t="shared" si="117"/>
        <v>0</v>
      </c>
      <c r="K359">
        <f t="shared" si="118"/>
        <v>0</v>
      </c>
      <c r="L359">
        <f t="shared" si="119"/>
        <v>1</v>
      </c>
      <c r="M359">
        <f t="shared" si="120"/>
        <v>0</v>
      </c>
      <c r="N359">
        <v>2</v>
      </c>
      <c r="O359">
        <f t="shared" si="110"/>
        <v>0</v>
      </c>
      <c r="P359">
        <f t="shared" si="111"/>
        <v>0</v>
      </c>
      <c r="Q359">
        <f t="shared" si="112"/>
        <v>1</v>
      </c>
      <c r="R359">
        <f t="shared" si="113"/>
        <v>0</v>
      </c>
      <c r="S359">
        <f t="shared" si="114"/>
        <v>0</v>
      </c>
      <c r="T359">
        <f t="shared" si="121"/>
        <v>0</v>
      </c>
      <c r="U359">
        <f t="shared" si="122"/>
        <v>0</v>
      </c>
      <c r="V359">
        <f t="shared" si="123"/>
        <v>0</v>
      </c>
      <c r="W359">
        <f t="shared" si="124"/>
        <v>0</v>
      </c>
      <c r="X359" t="s">
        <v>49</v>
      </c>
      <c r="Y359" t="s">
        <v>46</v>
      </c>
      <c r="Z359" t="s">
        <v>52</v>
      </c>
      <c r="AA359" t="s">
        <v>42</v>
      </c>
      <c r="AB359">
        <v>2</v>
      </c>
      <c r="AC359">
        <v>2</v>
      </c>
      <c r="AD359">
        <v>0</v>
      </c>
      <c r="AE359" t="s">
        <v>44</v>
      </c>
      <c r="AF359" t="s">
        <v>44</v>
      </c>
      <c r="AG359">
        <f t="shared" si="125"/>
        <v>0</v>
      </c>
      <c r="AH359" t="s">
        <v>44</v>
      </c>
      <c r="AI359">
        <f t="shared" si="126"/>
        <v>0</v>
      </c>
      <c r="AJ359" t="s">
        <v>44</v>
      </c>
      <c r="AK359">
        <f t="shared" si="127"/>
        <v>0</v>
      </c>
      <c r="AL359">
        <f t="shared" si="128"/>
        <v>0</v>
      </c>
      <c r="AM359">
        <v>2</v>
      </c>
      <c r="AN359">
        <f t="shared" si="129"/>
        <v>0</v>
      </c>
      <c r="AO359">
        <f t="shared" si="130"/>
        <v>0</v>
      </c>
      <c r="AP359">
        <f t="shared" si="131"/>
        <v>0</v>
      </c>
      <c r="AQ359">
        <v>12</v>
      </c>
      <c r="AR359">
        <v>12</v>
      </c>
      <c r="AS359">
        <v>11</v>
      </c>
    </row>
    <row r="360" spans="1:45" x14ac:dyDescent="0.2">
      <c r="A360" t="s">
        <v>54</v>
      </c>
      <c r="B360" t="s">
        <v>51</v>
      </c>
      <c r="C360">
        <v>18</v>
      </c>
      <c r="D360" t="s">
        <v>36</v>
      </c>
      <c r="E360" t="s">
        <v>48</v>
      </c>
      <c r="F360" t="s">
        <v>45</v>
      </c>
      <c r="G360">
        <f t="shared" si="115"/>
        <v>1</v>
      </c>
      <c r="H360">
        <v>1</v>
      </c>
      <c r="I360">
        <f t="shared" si="116"/>
        <v>0</v>
      </c>
      <c r="J360">
        <f t="shared" si="117"/>
        <v>1</v>
      </c>
      <c r="K360">
        <f t="shared" si="118"/>
        <v>0</v>
      </c>
      <c r="L360">
        <f t="shared" si="119"/>
        <v>0</v>
      </c>
      <c r="M360">
        <f t="shared" si="120"/>
        <v>0</v>
      </c>
      <c r="N360">
        <v>1</v>
      </c>
      <c r="O360">
        <f t="shared" si="110"/>
        <v>0</v>
      </c>
      <c r="P360">
        <f t="shared" si="111"/>
        <v>1</v>
      </c>
      <c r="Q360">
        <f t="shared" si="112"/>
        <v>0</v>
      </c>
      <c r="R360">
        <f t="shared" si="113"/>
        <v>0</v>
      </c>
      <c r="S360">
        <f t="shared" si="114"/>
        <v>0</v>
      </c>
      <c r="T360">
        <f t="shared" si="121"/>
        <v>0</v>
      </c>
      <c r="U360">
        <f t="shared" si="122"/>
        <v>0</v>
      </c>
      <c r="V360">
        <f t="shared" si="123"/>
        <v>0</v>
      </c>
      <c r="W360">
        <f t="shared" si="124"/>
        <v>0</v>
      </c>
      <c r="X360" t="s">
        <v>46</v>
      </c>
      <c r="Y360" t="s">
        <v>49</v>
      </c>
      <c r="Z360" t="s">
        <v>50</v>
      </c>
      <c r="AA360" t="s">
        <v>47</v>
      </c>
      <c r="AB360">
        <v>2</v>
      </c>
      <c r="AC360">
        <v>1</v>
      </c>
      <c r="AD360">
        <v>0</v>
      </c>
      <c r="AE360" t="s">
        <v>44</v>
      </c>
      <c r="AF360" t="s">
        <v>44</v>
      </c>
      <c r="AG360">
        <f t="shared" si="125"/>
        <v>0</v>
      </c>
      <c r="AH360" t="s">
        <v>44</v>
      </c>
      <c r="AI360">
        <f t="shared" si="126"/>
        <v>0</v>
      </c>
      <c r="AJ360" t="s">
        <v>43</v>
      </c>
      <c r="AK360">
        <f t="shared" si="127"/>
        <v>1</v>
      </c>
      <c r="AL360">
        <f t="shared" si="128"/>
        <v>0</v>
      </c>
      <c r="AM360">
        <v>4</v>
      </c>
      <c r="AN360">
        <f t="shared" si="129"/>
        <v>0</v>
      </c>
      <c r="AO360">
        <f t="shared" si="130"/>
        <v>0</v>
      </c>
      <c r="AP360">
        <f t="shared" si="131"/>
        <v>0</v>
      </c>
      <c r="AQ360">
        <v>10</v>
      </c>
      <c r="AR360">
        <v>10</v>
      </c>
      <c r="AS360">
        <v>10</v>
      </c>
    </row>
    <row r="361" spans="1:45" x14ac:dyDescent="0.2">
      <c r="A361" t="s">
        <v>54</v>
      </c>
      <c r="B361" t="s">
        <v>35</v>
      </c>
      <c r="C361">
        <v>18</v>
      </c>
      <c r="D361" t="s">
        <v>36</v>
      </c>
      <c r="E361" t="s">
        <v>48</v>
      </c>
      <c r="F361" t="s">
        <v>45</v>
      </c>
      <c r="G361">
        <f t="shared" si="115"/>
        <v>1</v>
      </c>
      <c r="H361">
        <v>1</v>
      </c>
      <c r="I361">
        <f t="shared" si="116"/>
        <v>0</v>
      </c>
      <c r="J361">
        <f t="shared" si="117"/>
        <v>1</v>
      </c>
      <c r="K361">
        <f t="shared" si="118"/>
        <v>0</v>
      </c>
      <c r="L361">
        <f t="shared" si="119"/>
        <v>0</v>
      </c>
      <c r="M361">
        <f t="shared" si="120"/>
        <v>0</v>
      </c>
      <c r="N361">
        <v>1</v>
      </c>
      <c r="O361">
        <f t="shared" si="110"/>
        <v>0</v>
      </c>
      <c r="P361">
        <f t="shared" si="111"/>
        <v>1</v>
      </c>
      <c r="Q361">
        <f t="shared" si="112"/>
        <v>0</v>
      </c>
      <c r="R361">
        <f t="shared" si="113"/>
        <v>0</v>
      </c>
      <c r="S361">
        <f t="shared" si="114"/>
        <v>0</v>
      </c>
      <c r="T361">
        <f t="shared" si="121"/>
        <v>0</v>
      </c>
      <c r="U361">
        <f t="shared" si="122"/>
        <v>0</v>
      </c>
      <c r="V361">
        <f t="shared" si="123"/>
        <v>0</v>
      </c>
      <c r="W361">
        <f t="shared" si="124"/>
        <v>0</v>
      </c>
      <c r="X361" t="s">
        <v>39</v>
      </c>
      <c r="Y361" t="s">
        <v>49</v>
      </c>
      <c r="Z361" t="s">
        <v>41</v>
      </c>
      <c r="AA361" t="s">
        <v>47</v>
      </c>
      <c r="AB361">
        <v>2</v>
      </c>
      <c r="AC361">
        <v>3</v>
      </c>
      <c r="AD361">
        <v>0</v>
      </c>
      <c r="AE361" t="s">
        <v>44</v>
      </c>
      <c r="AF361" t="s">
        <v>44</v>
      </c>
      <c r="AG361">
        <f t="shared" si="125"/>
        <v>0</v>
      </c>
      <c r="AH361" t="s">
        <v>44</v>
      </c>
      <c r="AI361">
        <f t="shared" si="126"/>
        <v>0</v>
      </c>
      <c r="AJ361" t="s">
        <v>43</v>
      </c>
      <c r="AK361">
        <f t="shared" si="127"/>
        <v>1</v>
      </c>
      <c r="AL361">
        <f t="shared" si="128"/>
        <v>0</v>
      </c>
      <c r="AM361">
        <v>0</v>
      </c>
      <c r="AN361">
        <f t="shared" si="129"/>
        <v>0</v>
      </c>
      <c r="AO361">
        <f t="shared" si="130"/>
        <v>0</v>
      </c>
      <c r="AP361">
        <f t="shared" si="131"/>
        <v>0</v>
      </c>
      <c r="AQ361">
        <v>18</v>
      </c>
      <c r="AR361">
        <v>16</v>
      </c>
      <c r="AS361">
        <v>16</v>
      </c>
    </row>
    <row r="362" spans="1:45" x14ac:dyDescent="0.2">
      <c r="A362" t="s">
        <v>54</v>
      </c>
      <c r="B362" t="s">
        <v>35</v>
      </c>
      <c r="C362">
        <v>18</v>
      </c>
      <c r="D362" t="s">
        <v>53</v>
      </c>
      <c r="E362" t="s">
        <v>48</v>
      </c>
      <c r="F362" t="s">
        <v>38</v>
      </c>
      <c r="G362">
        <f t="shared" si="115"/>
        <v>0</v>
      </c>
      <c r="H362">
        <v>1</v>
      </c>
      <c r="I362">
        <f t="shared" si="116"/>
        <v>0</v>
      </c>
      <c r="J362">
        <f t="shared" si="117"/>
        <v>1</v>
      </c>
      <c r="K362">
        <f t="shared" si="118"/>
        <v>0</v>
      </c>
      <c r="L362">
        <f t="shared" si="119"/>
        <v>0</v>
      </c>
      <c r="M362">
        <f t="shared" si="120"/>
        <v>0</v>
      </c>
      <c r="N362">
        <v>4</v>
      </c>
      <c r="O362">
        <f t="shared" si="110"/>
        <v>0</v>
      </c>
      <c r="P362">
        <f t="shared" si="111"/>
        <v>0</v>
      </c>
      <c r="Q362">
        <f t="shared" si="112"/>
        <v>0</v>
      </c>
      <c r="R362">
        <f t="shared" si="113"/>
        <v>0</v>
      </c>
      <c r="S362">
        <f t="shared" si="114"/>
        <v>1</v>
      </c>
      <c r="T362">
        <f t="shared" si="121"/>
        <v>0</v>
      </c>
      <c r="U362">
        <f t="shared" si="122"/>
        <v>0</v>
      </c>
      <c r="V362">
        <f t="shared" si="123"/>
        <v>0</v>
      </c>
      <c r="W362">
        <f t="shared" si="124"/>
        <v>0</v>
      </c>
      <c r="X362" t="s">
        <v>39</v>
      </c>
      <c r="Y362" t="s">
        <v>46</v>
      </c>
      <c r="Z362" t="s">
        <v>41</v>
      </c>
      <c r="AA362" t="s">
        <v>42</v>
      </c>
      <c r="AB362">
        <v>3</v>
      </c>
      <c r="AC362">
        <v>2</v>
      </c>
      <c r="AD362">
        <v>0</v>
      </c>
      <c r="AE362" t="s">
        <v>44</v>
      </c>
      <c r="AF362" t="s">
        <v>44</v>
      </c>
      <c r="AG362">
        <f t="shared" si="125"/>
        <v>0</v>
      </c>
      <c r="AH362" t="s">
        <v>44</v>
      </c>
      <c r="AI362">
        <f t="shared" si="126"/>
        <v>0</v>
      </c>
      <c r="AJ362" t="s">
        <v>44</v>
      </c>
      <c r="AK362">
        <f t="shared" si="127"/>
        <v>0</v>
      </c>
      <c r="AL362">
        <f t="shared" si="128"/>
        <v>0</v>
      </c>
      <c r="AM362">
        <v>0</v>
      </c>
      <c r="AN362">
        <f t="shared" si="129"/>
        <v>0</v>
      </c>
      <c r="AO362">
        <f t="shared" si="130"/>
        <v>0</v>
      </c>
      <c r="AP362">
        <f t="shared" si="131"/>
        <v>0</v>
      </c>
      <c r="AQ362">
        <v>13</v>
      </c>
      <c r="AR362">
        <v>13</v>
      </c>
      <c r="AS362">
        <v>13</v>
      </c>
    </row>
    <row r="363" spans="1:45" x14ac:dyDescent="0.2">
      <c r="A363" t="s">
        <v>54</v>
      </c>
      <c r="B363" t="s">
        <v>51</v>
      </c>
      <c r="C363">
        <v>18</v>
      </c>
      <c r="D363" t="s">
        <v>53</v>
      </c>
      <c r="E363" t="s">
        <v>48</v>
      </c>
      <c r="F363" t="s">
        <v>45</v>
      </c>
      <c r="G363">
        <f t="shared" si="115"/>
        <v>1</v>
      </c>
      <c r="H363">
        <v>1</v>
      </c>
      <c r="I363">
        <f t="shared" si="116"/>
        <v>0</v>
      </c>
      <c r="J363">
        <f t="shared" si="117"/>
        <v>1</v>
      </c>
      <c r="K363">
        <f t="shared" si="118"/>
        <v>0</v>
      </c>
      <c r="L363">
        <f t="shared" si="119"/>
        <v>0</v>
      </c>
      <c r="M363">
        <f t="shared" si="120"/>
        <v>0</v>
      </c>
      <c r="N363">
        <v>1</v>
      </c>
      <c r="O363">
        <f t="shared" si="110"/>
        <v>0</v>
      </c>
      <c r="P363">
        <f t="shared" si="111"/>
        <v>1</v>
      </c>
      <c r="Q363">
        <f t="shared" si="112"/>
        <v>0</v>
      </c>
      <c r="R363">
        <f t="shared" si="113"/>
        <v>0</v>
      </c>
      <c r="S363">
        <f t="shared" si="114"/>
        <v>0</v>
      </c>
      <c r="T363">
        <f t="shared" si="121"/>
        <v>0</v>
      </c>
      <c r="U363">
        <f t="shared" si="122"/>
        <v>0</v>
      </c>
      <c r="V363">
        <f t="shared" si="123"/>
        <v>0</v>
      </c>
      <c r="W363">
        <f t="shared" si="124"/>
        <v>0</v>
      </c>
      <c r="X363" t="s">
        <v>39</v>
      </c>
      <c r="Y363" t="s">
        <v>46</v>
      </c>
      <c r="Z363" t="s">
        <v>46</v>
      </c>
      <c r="AA363" t="s">
        <v>42</v>
      </c>
      <c r="AB363">
        <v>2</v>
      </c>
      <c r="AC363">
        <v>2</v>
      </c>
      <c r="AD363">
        <v>1</v>
      </c>
      <c r="AE363" t="s">
        <v>44</v>
      </c>
      <c r="AF363" t="s">
        <v>44</v>
      </c>
      <c r="AG363">
        <f t="shared" si="125"/>
        <v>0</v>
      </c>
      <c r="AH363" t="s">
        <v>44</v>
      </c>
      <c r="AI363">
        <f t="shared" si="126"/>
        <v>0</v>
      </c>
      <c r="AJ363" t="s">
        <v>44</v>
      </c>
      <c r="AK363">
        <f t="shared" si="127"/>
        <v>0</v>
      </c>
      <c r="AL363">
        <f t="shared" si="128"/>
        <v>0</v>
      </c>
      <c r="AM363">
        <v>2</v>
      </c>
      <c r="AN363">
        <f t="shared" si="129"/>
        <v>0</v>
      </c>
      <c r="AO363">
        <f t="shared" si="130"/>
        <v>0</v>
      </c>
      <c r="AP363">
        <f t="shared" si="131"/>
        <v>0</v>
      </c>
      <c r="AQ363">
        <v>13</v>
      </c>
      <c r="AR363">
        <v>12</v>
      </c>
      <c r="AS363">
        <v>12</v>
      </c>
    </row>
    <row r="364" spans="1:45" x14ac:dyDescent="0.2">
      <c r="A364" t="s">
        <v>54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f t="shared" si="115"/>
        <v>1</v>
      </c>
      <c r="H364">
        <v>3</v>
      </c>
      <c r="I364">
        <f t="shared" si="116"/>
        <v>0</v>
      </c>
      <c r="J364">
        <f t="shared" si="117"/>
        <v>0</v>
      </c>
      <c r="K364">
        <f t="shared" si="118"/>
        <v>0</v>
      </c>
      <c r="L364">
        <f t="shared" si="119"/>
        <v>1</v>
      </c>
      <c r="M364">
        <f t="shared" si="120"/>
        <v>0</v>
      </c>
      <c r="N364">
        <v>3</v>
      </c>
      <c r="O364">
        <f t="shared" si="110"/>
        <v>0</v>
      </c>
      <c r="P364">
        <f t="shared" si="111"/>
        <v>0</v>
      </c>
      <c r="Q364">
        <f t="shared" si="112"/>
        <v>0</v>
      </c>
      <c r="R364">
        <f t="shared" si="113"/>
        <v>1</v>
      </c>
      <c r="S364">
        <f t="shared" si="114"/>
        <v>0</v>
      </c>
      <c r="T364">
        <f t="shared" si="121"/>
        <v>0</v>
      </c>
      <c r="U364">
        <f t="shared" si="122"/>
        <v>0</v>
      </c>
      <c r="V364">
        <f t="shared" si="123"/>
        <v>0</v>
      </c>
      <c r="W364">
        <f t="shared" si="124"/>
        <v>0</v>
      </c>
      <c r="X364" t="s">
        <v>49</v>
      </c>
      <c r="Y364" t="s">
        <v>49</v>
      </c>
      <c r="Z364" t="s">
        <v>46</v>
      </c>
      <c r="AA364" t="s">
        <v>42</v>
      </c>
      <c r="AB364">
        <v>2</v>
      </c>
      <c r="AC364">
        <v>2</v>
      </c>
      <c r="AD364">
        <v>0</v>
      </c>
      <c r="AE364" t="s">
        <v>44</v>
      </c>
      <c r="AF364" t="s">
        <v>43</v>
      </c>
      <c r="AG364">
        <f t="shared" si="125"/>
        <v>1</v>
      </c>
      <c r="AH364" t="s">
        <v>44</v>
      </c>
      <c r="AI364">
        <f t="shared" si="126"/>
        <v>0</v>
      </c>
      <c r="AJ364" t="s">
        <v>43</v>
      </c>
      <c r="AK364">
        <f t="shared" si="127"/>
        <v>1</v>
      </c>
      <c r="AL364">
        <f t="shared" si="128"/>
        <v>0</v>
      </c>
      <c r="AM364">
        <v>0</v>
      </c>
      <c r="AN364">
        <f t="shared" si="129"/>
        <v>0</v>
      </c>
      <c r="AO364">
        <f t="shared" si="130"/>
        <v>0</v>
      </c>
      <c r="AP364">
        <f t="shared" si="131"/>
        <v>0</v>
      </c>
      <c r="AQ364">
        <v>11</v>
      </c>
      <c r="AR364">
        <v>11</v>
      </c>
      <c r="AS364">
        <v>10</v>
      </c>
    </row>
    <row r="365" spans="1:45" x14ac:dyDescent="0.2">
      <c r="A365" t="s">
        <v>54</v>
      </c>
      <c r="B365" t="s">
        <v>35</v>
      </c>
      <c r="C365">
        <v>17</v>
      </c>
      <c r="D365" t="s">
        <v>36</v>
      </c>
      <c r="E365" t="s">
        <v>48</v>
      </c>
      <c r="F365" t="s">
        <v>45</v>
      </c>
      <c r="G365">
        <f t="shared" si="115"/>
        <v>1</v>
      </c>
      <c r="H365">
        <v>4</v>
      </c>
      <c r="I365">
        <f t="shared" si="116"/>
        <v>0</v>
      </c>
      <c r="J365">
        <f t="shared" si="117"/>
        <v>0</v>
      </c>
      <c r="K365">
        <f t="shared" si="118"/>
        <v>0</v>
      </c>
      <c r="L365">
        <f t="shared" si="119"/>
        <v>0</v>
      </c>
      <c r="M365">
        <f t="shared" si="120"/>
        <v>1</v>
      </c>
      <c r="N365">
        <v>4</v>
      </c>
      <c r="O365">
        <f t="shared" si="110"/>
        <v>0</v>
      </c>
      <c r="P365">
        <f t="shared" si="111"/>
        <v>0</v>
      </c>
      <c r="Q365">
        <f t="shared" si="112"/>
        <v>0</v>
      </c>
      <c r="R365">
        <f t="shared" si="113"/>
        <v>0</v>
      </c>
      <c r="S365">
        <f t="shared" si="114"/>
        <v>1</v>
      </c>
      <c r="T365">
        <f t="shared" si="121"/>
        <v>1</v>
      </c>
      <c r="U365">
        <f t="shared" si="122"/>
        <v>0</v>
      </c>
      <c r="V365">
        <f t="shared" si="123"/>
        <v>0</v>
      </c>
      <c r="W365">
        <f t="shared" si="124"/>
        <v>0</v>
      </c>
      <c r="X365" t="s">
        <v>39</v>
      </c>
      <c r="Y365" t="s">
        <v>39</v>
      </c>
      <c r="Z365" t="s">
        <v>41</v>
      </c>
      <c r="AA365" t="s">
        <v>42</v>
      </c>
      <c r="AB365">
        <v>1</v>
      </c>
      <c r="AC365">
        <v>2</v>
      </c>
      <c r="AD365">
        <v>0</v>
      </c>
      <c r="AE365" t="s">
        <v>44</v>
      </c>
      <c r="AF365" t="s">
        <v>43</v>
      </c>
      <c r="AG365">
        <f t="shared" si="125"/>
        <v>1</v>
      </c>
      <c r="AH365" t="s">
        <v>43</v>
      </c>
      <c r="AI365">
        <f t="shared" si="126"/>
        <v>1</v>
      </c>
      <c r="AJ365" t="s">
        <v>43</v>
      </c>
      <c r="AK365">
        <f t="shared" si="127"/>
        <v>1</v>
      </c>
      <c r="AL365">
        <f t="shared" si="128"/>
        <v>1</v>
      </c>
      <c r="AM365">
        <v>0</v>
      </c>
      <c r="AN365">
        <f t="shared" si="129"/>
        <v>0</v>
      </c>
      <c r="AO365">
        <f t="shared" si="130"/>
        <v>1</v>
      </c>
      <c r="AP365">
        <f t="shared" si="131"/>
        <v>0</v>
      </c>
      <c r="AQ365">
        <v>16</v>
      </c>
      <c r="AR365">
        <v>15</v>
      </c>
      <c r="AS365">
        <v>15</v>
      </c>
    </row>
    <row r="366" spans="1:45" x14ac:dyDescent="0.2">
      <c r="A366" t="s">
        <v>54</v>
      </c>
      <c r="B366" t="s">
        <v>35</v>
      </c>
      <c r="C366">
        <v>17</v>
      </c>
      <c r="D366" t="s">
        <v>53</v>
      </c>
      <c r="E366" t="s">
        <v>37</v>
      </c>
      <c r="F366" t="s">
        <v>45</v>
      </c>
      <c r="G366">
        <f t="shared" si="115"/>
        <v>1</v>
      </c>
      <c r="H366">
        <v>1</v>
      </c>
      <c r="I366">
        <f t="shared" si="116"/>
        <v>0</v>
      </c>
      <c r="J366">
        <f t="shared" si="117"/>
        <v>1</v>
      </c>
      <c r="K366">
        <f t="shared" si="118"/>
        <v>0</v>
      </c>
      <c r="L366">
        <f t="shared" si="119"/>
        <v>0</v>
      </c>
      <c r="M366">
        <f t="shared" si="120"/>
        <v>0</v>
      </c>
      <c r="N366">
        <v>2</v>
      </c>
      <c r="O366">
        <f t="shared" si="110"/>
        <v>0</v>
      </c>
      <c r="P366">
        <f t="shared" si="111"/>
        <v>0</v>
      </c>
      <c r="Q366">
        <f t="shared" si="112"/>
        <v>1</v>
      </c>
      <c r="R366">
        <f t="shared" si="113"/>
        <v>0</v>
      </c>
      <c r="S366">
        <f t="shared" si="114"/>
        <v>0</v>
      </c>
      <c r="T366">
        <f t="shared" si="121"/>
        <v>0</v>
      </c>
      <c r="U366">
        <f t="shared" si="122"/>
        <v>0</v>
      </c>
      <c r="V366">
        <f t="shared" si="123"/>
        <v>0</v>
      </c>
      <c r="W366">
        <f t="shared" si="124"/>
        <v>0</v>
      </c>
      <c r="X366" t="s">
        <v>46</v>
      </c>
      <c r="Y366" t="s">
        <v>49</v>
      </c>
      <c r="Z366" t="s">
        <v>41</v>
      </c>
      <c r="AA366" t="s">
        <v>47</v>
      </c>
      <c r="AB366">
        <v>2</v>
      </c>
      <c r="AC366">
        <v>2</v>
      </c>
      <c r="AD366">
        <v>0</v>
      </c>
      <c r="AE366" t="s">
        <v>44</v>
      </c>
      <c r="AF366" t="s">
        <v>44</v>
      </c>
      <c r="AG366">
        <f t="shared" si="125"/>
        <v>0</v>
      </c>
      <c r="AH366" t="s">
        <v>44</v>
      </c>
      <c r="AI366">
        <f t="shared" si="126"/>
        <v>0</v>
      </c>
      <c r="AJ366" t="s">
        <v>44</v>
      </c>
      <c r="AK366">
        <f t="shared" si="127"/>
        <v>0</v>
      </c>
      <c r="AL366">
        <f t="shared" si="128"/>
        <v>0</v>
      </c>
      <c r="AM366">
        <v>0</v>
      </c>
      <c r="AN366">
        <f t="shared" si="129"/>
        <v>0</v>
      </c>
      <c r="AO366">
        <f t="shared" si="130"/>
        <v>0</v>
      </c>
      <c r="AP366">
        <f t="shared" si="131"/>
        <v>0</v>
      </c>
      <c r="AQ366">
        <v>12</v>
      </c>
      <c r="AR366">
        <v>11</v>
      </c>
      <c r="AS366">
        <v>12</v>
      </c>
    </row>
    <row r="367" spans="1:45" x14ac:dyDescent="0.2">
      <c r="A367" t="s">
        <v>54</v>
      </c>
      <c r="B367" t="s">
        <v>51</v>
      </c>
      <c r="C367">
        <v>18</v>
      </c>
      <c r="D367" t="s">
        <v>53</v>
      </c>
      <c r="E367" t="s">
        <v>37</v>
      </c>
      <c r="F367" t="s">
        <v>45</v>
      </c>
      <c r="G367">
        <f t="shared" si="115"/>
        <v>1</v>
      </c>
      <c r="H367">
        <v>1</v>
      </c>
      <c r="I367">
        <f t="shared" si="116"/>
        <v>0</v>
      </c>
      <c r="J367">
        <f t="shared" si="117"/>
        <v>1</v>
      </c>
      <c r="K367">
        <f t="shared" si="118"/>
        <v>0</v>
      </c>
      <c r="L367">
        <f t="shared" si="119"/>
        <v>0</v>
      </c>
      <c r="M367">
        <f t="shared" si="120"/>
        <v>0</v>
      </c>
      <c r="N367">
        <v>3</v>
      </c>
      <c r="O367">
        <f t="shared" si="110"/>
        <v>0</v>
      </c>
      <c r="P367">
        <f t="shared" si="111"/>
        <v>0</v>
      </c>
      <c r="Q367">
        <f t="shared" si="112"/>
        <v>0</v>
      </c>
      <c r="R367">
        <f t="shared" si="113"/>
        <v>1</v>
      </c>
      <c r="S367">
        <f t="shared" si="114"/>
        <v>0</v>
      </c>
      <c r="T367">
        <f t="shared" si="121"/>
        <v>0</v>
      </c>
      <c r="U367">
        <f t="shared" si="122"/>
        <v>0</v>
      </c>
      <c r="V367">
        <f t="shared" si="123"/>
        <v>0</v>
      </c>
      <c r="W367">
        <f t="shared" si="124"/>
        <v>0</v>
      </c>
      <c r="X367" t="s">
        <v>39</v>
      </c>
      <c r="Y367" t="s">
        <v>46</v>
      </c>
      <c r="Z367" t="s">
        <v>41</v>
      </c>
      <c r="AA367" t="s">
        <v>42</v>
      </c>
      <c r="AB367">
        <v>2</v>
      </c>
      <c r="AC367">
        <v>2</v>
      </c>
      <c r="AD367">
        <v>0</v>
      </c>
      <c r="AE367" t="s">
        <v>44</v>
      </c>
      <c r="AF367" t="s">
        <v>43</v>
      </c>
      <c r="AG367">
        <f t="shared" si="125"/>
        <v>1</v>
      </c>
      <c r="AH367" t="s">
        <v>43</v>
      </c>
      <c r="AI367">
        <f t="shared" si="126"/>
        <v>1</v>
      </c>
      <c r="AJ367" t="s">
        <v>44</v>
      </c>
      <c r="AK367">
        <f t="shared" si="127"/>
        <v>0</v>
      </c>
      <c r="AL367">
        <f t="shared" si="128"/>
        <v>0</v>
      </c>
      <c r="AM367">
        <v>4</v>
      </c>
      <c r="AN367">
        <f t="shared" si="129"/>
        <v>0</v>
      </c>
      <c r="AO367">
        <f t="shared" si="130"/>
        <v>0</v>
      </c>
      <c r="AP367">
        <f t="shared" si="131"/>
        <v>0</v>
      </c>
      <c r="AQ367">
        <v>10</v>
      </c>
      <c r="AR367">
        <v>10</v>
      </c>
      <c r="AS367">
        <v>10</v>
      </c>
    </row>
    <row r="368" spans="1:45" x14ac:dyDescent="0.2">
      <c r="A368" t="s">
        <v>54</v>
      </c>
      <c r="B368" t="s">
        <v>51</v>
      </c>
      <c r="C368">
        <v>18</v>
      </c>
      <c r="D368" t="s">
        <v>36</v>
      </c>
      <c r="E368" t="s">
        <v>48</v>
      </c>
      <c r="F368" t="s">
        <v>45</v>
      </c>
      <c r="G368">
        <f t="shared" si="115"/>
        <v>1</v>
      </c>
      <c r="H368">
        <v>4</v>
      </c>
      <c r="I368">
        <f t="shared" si="116"/>
        <v>0</v>
      </c>
      <c r="J368">
        <f t="shared" si="117"/>
        <v>0</v>
      </c>
      <c r="K368">
        <f t="shared" si="118"/>
        <v>0</v>
      </c>
      <c r="L368">
        <f t="shared" si="119"/>
        <v>0</v>
      </c>
      <c r="M368">
        <f t="shared" si="120"/>
        <v>1</v>
      </c>
      <c r="N368">
        <v>4</v>
      </c>
      <c r="O368">
        <f t="shared" si="110"/>
        <v>0</v>
      </c>
      <c r="P368">
        <f t="shared" si="111"/>
        <v>0</v>
      </c>
      <c r="Q368">
        <f t="shared" si="112"/>
        <v>0</v>
      </c>
      <c r="R368">
        <f t="shared" si="113"/>
        <v>0</v>
      </c>
      <c r="S368">
        <f t="shared" si="114"/>
        <v>1</v>
      </c>
      <c r="T368">
        <f t="shared" si="121"/>
        <v>1</v>
      </c>
      <c r="U368">
        <f t="shared" si="122"/>
        <v>0</v>
      </c>
      <c r="V368">
        <f t="shared" si="123"/>
        <v>0</v>
      </c>
      <c r="W368">
        <f t="shared" si="124"/>
        <v>0</v>
      </c>
      <c r="X368" t="s">
        <v>40</v>
      </c>
      <c r="Y368" t="s">
        <v>49</v>
      </c>
      <c r="Z368" t="s">
        <v>46</v>
      </c>
      <c r="AA368" t="s">
        <v>42</v>
      </c>
      <c r="AB368">
        <v>2</v>
      </c>
      <c r="AC368">
        <v>3</v>
      </c>
      <c r="AD368">
        <v>0</v>
      </c>
      <c r="AE368" t="s">
        <v>44</v>
      </c>
      <c r="AF368" t="s">
        <v>44</v>
      </c>
      <c r="AG368">
        <f t="shared" si="125"/>
        <v>0</v>
      </c>
      <c r="AH368" t="s">
        <v>43</v>
      </c>
      <c r="AI368">
        <f t="shared" si="126"/>
        <v>1</v>
      </c>
      <c r="AJ368" t="s">
        <v>43</v>
      </c>
      <c r="AK368">
        <f t="shared" si="127"/>
        <v>1</v>
      </c>
      <c r="AL368">
        <f t="shared" si="128"/>
        <v>1</v>
      </c>
      <c r="AM368">
        <v>0</v>
      </c>
      <c r="AN368">
        <f t="shared" si="129"/>
        <v>0</v>
      </c>
      <c r="AO368">
        <f t="shared" si="130"/>
        <v>1</v>
      </c>
      <c r="AP368">
        <f t="shared" si="131"/>
        <v>0</v>
      </c>
      <c r="AQ368">
        <v>13</v>
      </c>
      <c r="AR368">
        <v>13</v>
      </c>
      <c r="AS368">
        <v>13</v>
      </c>
    </row>
    <row r="369" spans="1:45" x14ac:dyDescent="0.2">
      <c r="A369" t="s">
        <v>54</v>
      </c>
      <c r="B369" t="s">
        <v>35</v>
      </c>
      <c r="C369">
        <v>17</v>
      </c>
      <c r="D369" t="s">
        <v>53</v>
      </c>
      <c r="E369" t="s">
        <v>37</v>
      </c>
      <c r="F369" t="s">
        <v>45</v>
      </c>
      <c r="G369">
        <f t="shared" si="115"/>
        <v>1</v>
      </c>
      <c r="H369">
        <v>1</v>
      </c>
      <c r="I369">
        <f t="shared" si="116"/>
        <v>0</v>
      </c>
      <c r="J369">
        <f t="shared" si="117"/>
        <v>1</v>
      </c>
      <c r="K369">
        <f t="shared" si="118"/>
        <v>0</v>
      </c>
      <c r="L369">
        <f t="shared" si="119"/>
        <v>0</v>
      </c>
      <c r="M369">
        <f t="shared" si="120"/>
        <v>0</v>
      </c>
      <c r="N369">
        <v>1</v>
      </c>
      <c r="O369">
        <f t="shared" si="110"/>
        <v>0</v>
      </c>
      <c r="P369">
        <f t="shared" si="111"/>
        <v>1</v>
      </c>
      <c r="Q369">
        <f t="shared" si="112"/>
        <v>0</v>
      </c>
      <c r="R369">
        <f t="shared" si="113"/>
        <v>0</v>
      </c>
      <c r="S369">
        <f t="shared" si="114"/>
        <v>0</v>
      </c>
      <c r="T369">
        <f t="shared" si="121"/>
        <v>0</v>
      </c>
      <c r="U369">
        <f t="shared" si="122"/>
        <v>0</v>
      </c>
      <c r="V369">
        <f t="shared" si="123"/>
        <v>0</v>
      </c>
      <c r="W369">
        <f t="shared" si="124"/>
        <v>0</v>
      </c>
      <c r="X369" t="s">
        <v>46</v>
      </c>
      <c r="Y369" t="s">
        <v>49</v>
      </c>
      <c r="Z369" t="s">
        <v>52</v>
      </c>
      <c r="AA369" t="s">
        <v>42</v>
      </c>
      <c r="AB369">
        <v>3</v>
      </c>
      <c r="AC369">
        <v>1</v>
      </c>
      <c r="AD369">
        <v>1</v>
      </c>
      <c r="AE369" t="s">
        <v>44</v>
      </c>
      <c r="AF369" t="s">
        <v>43</v>
      </c>
      <c r="AG369">
        <f t="shared" si="125"/>
        <v>1</v>
      </c>
      <c r="AH369" t="s">
        <v>43</v>
      </c>
      <c r="AI369">
        <f t="shared" si="126"/>
        <v>1</v>
      </c>
      <c r="AJ369" t="s">
        <v>43</v>
      </c>
      <c r="AK369">
        <f t="shared" si="127"/>
        <v>1</v>
      </c>
      <c r="AL369">
        <f t="shared" si="128"/>
        <v>1</v>
      </c>
      <c r="AM369">
        <v>0</v>
      </c>
      <c r="AN369">
        <f t="shared" si="129"/>
        <v>0</v>
      </c>
      <c r="AO369">
        <f t="shared" si="130"/>
        <v>0</v>
      </c>
      <c r="AP369">
        <f t="shared" si="131"/>
        <v>0</v>
      </c>
      <c r="AQ369">
        <v>7</v>
      </c>
      <c r="AR369">
        <v>6</v>
      </c>
      <c r="AS369">
        <v>0</v>
      </c>
    </row>
    <row r="370" spans="1:45" x14ac:dyDescent="0.2">
      <c r="A370" t="s">
        <v>54</v>
      </c>
      <c r="B370" t="s">
        <v>35</v>
      </c>
      <c r="C370">
        <v>18</v>
      </c>
      <c r="D370" t="s">
        <v>36</v>
      </c>
      <c r="E370" t="s">
        <v>37</v>
      </c>
      <c r="F370" t="s">
        <v>45</v>
      </c>
      <c r="G370">
        <f t="shared" si="115"/>
        <v>1</v>
      </c>
      <c r="H370">
        <v>2</v>
      </c>
      <c r="I370">
        <f t="shared" si="116"/>
        <v>0</v>
      </c>
      <c r="J370">
        <f t="shared" si="117"/>
        <v>0</v>
      </c>
      <c r="K370">
        <f t="shared" si="118"/>
        <v>1</v>
      </c>
      <c r="L370">
        <f t="shared" si="119"/>
        <v>0</v>
      </c>
      <c r="M370">
        <f t="shared" si="120"/>
        <v>0</v>
      </c>
      <c r="N370">
        <v>3</v>
      </c>
      <c r="O370">
        <f t="shared" si="110"/>
        <v>0</v>
      </c>
      <c r="P370">
        <f t="shared" si="111"/>
        <v>0</v>
      </c>
      <c r="Q370">
        <f t="shared" si="112"/>
        <v>0</v>
      </c>
      <c r="R370">
        <f t="shared" si="113"/>
        <v>1</v>
      </c>
      <c r="S370">
        <f t="shared" si="114"/>
        <v>0</v>
      </c>
      <c r="T370">
        <f t="shared" si="121"/>
        <v>0</v>
      </c>
      <c r="U370">
        <f t="shared" si="122"/>
        <v>0</v>
      </c>
      <c r="V370">
        <f t="shared" si="123"/>
        <v>0</v>
      </c>
      <c r="W370">
        <f t="shared" si="124"/>
        <v>0</v>
      </c>
      <c r="X370" t="s">
        <v>39</v>
      </c>
      <c r="Y370" t="s">
        <v>49</v>
      </c>
      <c r="Z370" t="s">
        <v>41</v>
      </c>
      <c r="AA370" t="s">
        <v>47</v>
      </c>
      <c r="AB370">
        <v>2</v>
      </c>
      <c r="AC370">
        <v>1</v>
      </c>
      <c r="AD370">
        <v>0</v>
      </c>
      <c r="AE370" t="s">
        <v>44</v>
      </c>
      <c r="AF370" t="s">
        <v>43</v>
      </c>
      <c r="AG370">
        <f t="shared" si="125"/>
        <v>1</v>
      </c>
      <c r="AH370" t="s">
        <v>43</v>
      </c>
      <c r="AI370">
        <f t="shared" si="126"/>
        <v>1</v>
      </c>
      <c r="AJ370" t="s">
        <v>43</v>
      </c>
      <c r="AK370">
        <f t="shared" si="127"/>
        <v>1</v>
      </c>
      <c r="AL370">
        <f t="shared" si="128"/>
        <v>1</v>
      </c>
      <c r="AM370">
        <v>0</v>
      </c>
      <c r="AN370">
        <f t="shared" si="129"/>
        <v>0</v>
      </c>
      <c r="AO370">
        <f t="shared" si="130"/>
        <v>0</v>
      </c>
      <c r="AP370">
        <f t="shared" si="131"/>
        <v>0</v>
      </c>
      <c r="AQ370">
        <v>11</v>
      </c>
      <c r="AR370">
        <v>10</v>
      </c>
      <c r="AS370">
        <v>10</v>
      </c>
    </row>
    <row r="371" spans="1:45" x14ac:dyDescent="0.2">
      <c r="A371" t="s">
        <v>54</v>
      </c>
      <c r="B371" t="s">
        <v>35</v>
      </c>
      <c r="C371">
        <v>18</v>
      </c>
      <c r="D371" t="s">
        <v>53</v>
      </c>
      <c r="E371" t="s">
        <v>37</v>
      </c>
      <c r="F371" t="s">
        <v>45</v>
      </c>
      <c r="G371">
        <f t="shared" si="115"/>
        <v>1</v>
      </c>
      <c r="H371">
        <v>4</v>
      </c>
      <c r="I371">
        <f t="shared" si="116"/>
        <v>0</v>
      </c>
      <c r="J371">
        <f t="shared" si="117"/>
        <v>0</v>
      </c>
      <c r="K371">
        <f t="shared" si="118"/>
        <v>0</v>
      </c>
      <c r="L371">
        <f t="shared" si="119"/>
        <v>0</v>
      </c>
      <c r="M371">
        <f t="shared" si="120"/>
        <v>1</v>
      </c>
      <c r="N371">
        <v>4</v>
      </c>
      <c r="O371">
        <f t="shared" si="110"/>
        <v>0</v>
      </c>
      <c r="P371">
        <f t="shared" si="111"/>
        <v>0</v>
      </c>
      <c r="Q371">
        <f t="shared" si="112"/>
        <v>0</v>
      </c>
      <c r="R371">
        <f t="shared" si="113"/>
        <v>0</v>
      </c>
      <c r="S371">
        <f t="shared" si="114"/>
        <v>1</v>
      </c>
      <c r="T371">
        <f t="shared" si="121"/>
        <v>1</v>
      </c>
      <c r="U371">
        <f t="shared" si="122"/>
        <v>0</v>
      </c>
      <c r="V371">
        <f t="shared" si="123"/>
        <v>0</v>
      </c>
      <c r="W371">
        <f t="shared" si="124"/>
        <v>0</v>
      </c>
      <c r="X371" t="s">
        <v>46</v>
      </c>
      <c r="Y371" t="s">
        <v>40</v>
      </c>
      <c r="Z371" t="s">
        <v>46</v>
      </c>
      <c r="AA371" t="s">
        <v>47</v>
      </c>
      <c r="AB371">
        <v>3</v>
      </c>
      <c r="AC371">
        <v>2</v>
      </c>
      <c r="AD371">
        <v>0</v>
      </c>
      <c r="AE371" t="s">
        <v>44</v>
      </c>
      <c r="AF371" t="s">
        <v>43</v>
      </c>
      <c r="AG371">
        <f t="shared" si="125"/>
        <v>1</v>
      </c>
      <c r="AH371" t="s">
        <v>43</v>
      </c>
      <c r="AI371">
        <f t="shared" si="126"/>
        <v>1</v>
      </c>
      <c r="AJ371" t="s">
        <v>43</v>
      </c>
      <c r="AK371">
        <f t="shared" si="127"/>
        <v>1</v>
      </c>
      <c r="AL371">
        <f t="shared" si="128"/>
        <v>1</v>
      </c>
      <c r="AM371">
        <v>10</v>
      </c>
      <c r="AN371">
        <f t="shared" si="129"/>
        <v>0</v>
      </c>
      <c r="AO371">
        <f t="shared" si="130"/>
        <v>1</v>
      </c>
      <c r="AP371">
        <f t="shared" si="131"/>
        <v>0</v>
      </c>
      <c r="AQ371">
        <v>14</v>
      </c>
      <c r="AR371">
        <v>12</v>
      </c>
      <c r="AS371">
        <v>11</v>
      </c>
    </row>
    <row r="372" spans="1:45" x14ac:dyDescent="0.2">
      <c r="A372" t="s">
        <v>54</v>
      </c>
      <c r="B372" t="s">
        <v>35</v>
      </c>
      <c r="C372">
        <v>19</v>
      </c>
      <c r="D372" t="s">
        <v>36</v>
      </c>
      <c r="E372" t="s">
        <v>48</v>
      </c>
      <c r="F372" t="s">
        <v>45</v>
      </c>
      <c r="G372">
        <f t="shared" si="115"/>
        <v>1</v>
      </c>
      <c r="H372">
        <v>3</v>
      </c>
      <c r="I372">
        <f t="shared" si="116"/>
        <v>0</v>
      </c>
      <c r="J372">
        <f t="shared" si="117"/>
        <v>0</v>
      </c>
      <c r="K372">
        <f t="shared" si="118"/>
        <v>0</v>
      </c>
      <c r="L372">
        <f t="shared" si="119"/>
        <v>1</v>
      </c>
      <c r="M372">
        <f t="shared" si="120"/>
        <v>0</v>
      </c>
      <c r="N372">
        <v>2</v>
      </c>
      <c r="O372">
        <f t="shared" si="110"/>
        <v>0</v>
      </c>
      <c r="P372">
        <f t="shared" si="111"/>
        <v>0</v>
      </c>
      <c r="Q372">
        <f t="shared" si="112"/>
        <v>1</v>
      </c>
      <c r="R372">
        <f t="shared" si="113"/>
        <v>0</v>
      </c>
      <c r="S372">
        <f t="shared" si="114"/>
        <v>0</v>
      </c>
      <c r="T372">
        <f t="shared" si="121"/>
        <v>0</v>
      </c>
      <c r="U372">
        <f t="shared" si="122"/>
        <v>0</v>
      </c>
      <c r="V372">
        <f t="shared" si="123"/>
        <v>0</v>
      </c>
      <c r="W372">
        <f t="shared" si="124"/>
        <v>0</v>
      </c>
      <c r="X372" t="s">
        <v>49</v>
      </c>
      <c r="Y372" t="s">
        <v>49</v>
      </c>
      <c r="Z372" t="s">
        <v>50</v>
      </c>
      <c r="AA372" t="s">
        <v>46</v>
      </c>
      <c r="AB372">
        <v>2</v>
      </c>
      <c r="AC372">
        <v>2</v>
      </c>
      <c r="AD372">
        <v>2</v>
      </c>
      <c r="AE372" t="s">
        <v>44</v>
      </c>
      <c r="AF372" t="s">
        <v>44</v>
      </c>
      <c r="AG372">
        <f t="shared" si="125"/>
        <v>0</v>
      </c>
      <c r="AH372" t="s">
        <v>44</v>
      </c>
      <c r="AI372">
        <f t="shared" si="126"/>
        <v>0</v>
      </c>
      <c r="AJ372" t="s">
        <v>44</v>
      </c>
      <c r="AK372">
        <f t="shared" si="127"/>
        <v>0</v>
      </c>
      <c r="AL372">
        <f t="shared" si="128"/>
        <v>0</v>
      </c>
      <c r="AM372">
        <v>4</v>
      </c>
      <c r="AN372">
        <f t="shared" si="129"/>
        <v>0</v>
      </c>
      <c r="AO372">
        <f t="shared" si="130"/>
        <v>0</v>
      </c>
      <c r="AP372">
        <f t="shared" si="131"/>
        <v>0</v>
      </c>
      <c r="AQ372">
        <v>7</v>
      </c>
      <c r="AR372">
        <v>7</v>
      </c>
      <c r="AS372">
        <v>9</v>
      </c>
    </row>
    <row r="373" spans="1:45" x14ac:dyDescent="0.2">
      <c r="A373" t="s">
        <v>54</v>
      </c>
      <c r="B373" t="s">
        <v>51</v>
      </c>
      <c r="C373">
        <v>18</v>
      </c>
      <c r="D373" t="s">
        <v>53</v>
      </c>
      <c r="E373" t="s">
        <v>48</v>
      </c>
      <c r="F373" t="s">
        <v>45</v>
      </c>
      <c r="G373">
        <f t="shared" si="115"/>
        <v>1</v>
      </c>
      <c r="H373">
        <v>1</v>
      </c>
      <c r="I373">
        <f t="shared" si="116"/>
        <v>0</v>
      </c>
      <c r="J373">
        <f t="shared" si="117"/>
        <v>1</v>
      </c>
      <c r="K373">
        <f t="shared" si="118"/>
        <v>0</v>
      </c>
      <c r="L373">
        <f t="shared" si="119"/>
        <v>0</v>
      </c>
      <c r="M373">
        <f t="shared" si="120"/>
        <v>0</v>
      </c>
      <c r="N373">
        <v>2</v>
      </c>
      <c r="O373">
        <f t="shared" si="110"/>
        <v>0</v>
      </c>
      <c r="P373">
        <f t="shared" si="111"/>
        <v>0</v>
      </c>
      <c r="Q373">
        <f t="shared" si="112"/>
        <v>1</v>
      </c>
      <c r="R373">
        <f t="shared" si="113"/>
        <v>0</v>
      </c>
      <c r="S373">
        <f t="shared" si="114"/>
        <v>0</v>
      </c>
      <c r="T373">
        <f t="shared" si="121"/>
        <v>0</v>
      </c>
      <c r="U373">
        <f t="shared" si="122"/>
        <v>0</v>
      </c>
      <c r="V373">
        <f t="shared" si="123"/>
        <v>0</v>
      </c>
      <c r="W373">
        <f t="shared" si="124"/>
        <v>0</v>
      </c>
      <c r="X373" t="s">
        <v>39</v>
      </c>
      <c r="Y373" t="s">
        <v>49</v>
      </c>
      <c r="Z373" t="s">
        <v>46</v>
      </c>
      <c r="AA373" t="s">
        <v>47</v>
      </c>
      <c r="AB373">
        <v>3</v>
      </c>
      <c r="AC373">
        <v>1</v>
      </c>
      <c r="AD373">
        <v>0</v>
      </c>
      <c r="AE373" t="s">
        <v>44</v>
      </c>
      <c r="AF373" t="s">
        <v>43</v>
      </c>
      <c r="AG373">
        <f t="shared" si="125"/>
        <v>1</v>
      </c>
      <c r="AH373" t="s">
        <v>43</v>
      </c>
      <c r="AI373">
        <f t="shared" si="126"/>
        <v>1</v>
      </c>
      <c r="AJ373" t="s">
        <v>43</v>
      </c>
      <c r="AK373">
        <f t="shared" si="127"/>
        <v>1</v>
      </c>
      <c r="AL373">
        <f t="shared" si="128"/>
        <v>1</v>
      </c>
      <c r="AM373">
        <v>3</v>
      </c>
      <c r="AN373">
        <f t="shared" si="129"/>
        <v>0</v>
      </c>
      <c r="AO373">
        <f t="shared" si="130"/>
        <v>0</v>
      </c>
      <c r="AP373">
        <f t="shared" si="131"/>
        <v>0</v>
      </c>
      <c r="AQ373">
        <v>14</v>
      </c>
      <c r="AR373">
        <v>12</v>
      </c>
      <c r="AS373">
        <v>12</v>
      </c>
    </row>
    <row r="374" spans="1:45" x14ac:dyDescent="0.2">
      <c r="A374" t="s">
        <v>54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f t="shared" si="115"/>
        <v>1</v>
      </c>
      <c r="H374">
        <v>2</v>
      </c>
      <c r="I374">
        <f t="shared" si="116"/>
        <v>0</v>
      </c>
      <c r="J374">
        <f t="shared" si="117"/>
        <v>0</v>
      </c>
      <c r="K374">
        <f t="shared" si="118"/>
        <v>1</v>
      </c>
      <c r="L374">
        <f t="shared" si="119"/>
        <v>0</v>
      </c>
      <c r="M374">
        <f t="shared" si="120"/>
        <v>0</v>
      </c>
      <c r="N374">
        <v>2</v>
      </c>
      <c r="O374">
        <f t="shared" si="110"/>
        <v>0</v>
      </c>
      <c r="P374">
        <f t="shared" si="111"/>
        <v>0</v>
      </c>
      <c r="Q374">
        <f t="shared" si="112"/>
        <v>1</v>
      </c>
      <c r="R374">
        <f t="shared" si="113"/>
        <v>0</v>
      </c>
      <c r="S374">
        <f t="shared" si="114"/>
        <v>0</v>
      </c>
      <c r="T374">
        <f t="shared" si="121"/>
        <v>0</v>
      </c>
      <c r="U374">
        <f t="shared" si="122"/>
        <v>0</v>
      </c>
      <c r="V374">
        <f t="shared" si="123"/>
        <v>0</v>
      </c>
      <c r="W374">
        <f t="shared" si="124"/>
        <v>0</v>
      </c>
      <c r="X374" t="s">
        <v>46</v>
      </c>
      <c r="Y374" t="s">
        <v>39</v>
      </c>
      <c r="Z374" t="s">
        <v>50</v>
      </c>
      <c r="AA374" t="s">
        <v>42</v>
      </c>
      <c r="AB374">
        <v>1</v>
      </c>
      <c r="AC374">
        <v>3</v>
      </c>
      <c r="AD374">
        <v>0</v>
      </c>
      <c r="AE374" t="s">
        <v>44</v>
      </c>
      <c r="AF374" t="s">
        <v>44</v>
      </c>
      <c r="AG374">
        <f t="shared" si="125"/>
        <v>0</v>
      </c>
      <c r="AH374" t="s">
        <v>44</v>
      </c>
      <c r="AI374">
        <f t="shared" si="126"/>
        <v>0</v>
      </c>
      <c r="AJ374" t="s">
        <v>44</v>
      </c>
      <c r="AK374">
        <f t="shared" si="127"/>
        <v>0</v>
      </c>
      <c r="AL374">
        <f t="shared" si="128"/>
        <v>0</v>
      </c>
      <c r="AM374">
        <v>8</v>
      </c>
      <c r="AN374">
        <f t="shared" si="129"/>
        <v>0</v>
      </c>
      <c r="AO374">
        <f t="shared" si="130"/>
        <v>0</v>
      </c>
      <c r="AP374">
        <f t="shared" si="131"/>
        <v>0</v>
      </c>
      <c r="AQ374">
        <v>13</v>
      </c>
      <c r="AR374">
        <v>11</v>
      </c>
      <c r="AS374">
        <v>11</v>
      </c>
    </row>
    <row r="375" spans="1:45" x14ac:dyDescent="0.2">
      <c r="A375" t="s">
        <v>54</v>
      </c>
      <c r="B375" t="s">
        <v>35</v>
      </c>
      <c r="C375">
        <v>17</v>
      </c>
      <c r="D375" t="s">
        <v>53</v>
      </c>
      <c r="E375" t="s">
        <v>37</v>
      </c>
      <c r="F375" t="s">
        <v>45</v>
      </c>
      <c r="G375">
        <f t="shared" si="115"/>
        <v>1</v>
      </c>
      <c r="H375">
        <v>1</v>
      </c>
      <c r="I375">
        <f t="shared" si="116"/>
        <v>0</v>
      </c>
      <c r="J375">
        <f t="shared" si="117"/>
        <v>1</v>
      </c>
      <c r="K375">
        <f t="shared" si="118"/>
        <v>0</v>
      </c>
      <c r="L375">
        <f t="shared" si="119"/>
        <v>0</v>
      </c>
      <c r="M375">
        <f t="shared" si="120"/>
        <v>0</v>
      </c>
      <c r="N375">
        <v>2</v>
      </c>
      <c r="O375">
        <f t="shared" si="110"/>
        <v>0</v>
      </c>
      <c r="P375">
        <f t="shared" si="111"/>
        <v>0</v>
      </c>
      <c r="Q375">
        <f t="shared" si="112"/>
        <v>1</v>
      </c>
      <c r="R375">
        <f t="shared" si="113"/>
        <v>0</v>
      </c>
      <c r="S375">
        <f t="shared" si="114"/>
        <v>0</v>
      </c>
      <c r="T375">
        <f t="shared" si="121"/>
        <v>0</v>
      </c>
      <c r="U375">
        <f t="shared" si="122"/>
        <v>0</v>
      </c>
      <c r="V375">
        <f t="shared" si="123"/>
        <v>0</v>
      </c>
      <c r="W375">
        <f t="shared" si="124"/>
        <v>0</v>
      </c>
      <c r="X375" t="s">
        <v>46</v>
      </c>
      <c r="Y375" t="s">
        <v>46</v>
      </c>
      <c r="Z375" t="s">
        <v>41</v>
      </c>
      <c r="AA375" t="s">
        <v>42</v>
      </c>
      <c r="AB375">
        <v>1</v>
      </c>
      <c r="AC375">
        <v>1</v>
      </c>
      <c r="AD375">
        <v>0</v>
      </c>
      <c r="AE375" t="s">
        <v>44</v>
      </c>
      <c r="AF375" t="s">
        <v>44</v>
      </c>
      <c r="AG375">
        <f t="shared" si="125"/>
        <v>0</v>
      </c>
      <c r="AH375" t="s">
        <v>44</v>
      </c>
      <c r="AI375">
        <f t="shared" si="126"/>
        <v>0</v>
      </c>
      <c r="AJ375" t="s">
        <v>43</v>
      </c>
      <c r="AK375">
        <f t="shared" si="127"/>
        <v>1</v>
      </c>
      <c r="AL375">
        <f t="shared" si="128"/>
        <v>0</v>
      </c>
      <c r="AM375">
        <v>14</v>
      </c>
      <c r="AN375">
        <f t="shared" si="129"/>
        <v>0</v>
      </c>
      <c r="AO375">
        <f t="shared" si="130"/>
        <v>0</v>
      </c>
      <c r="AP375">
        <f t="shared" si="131"/>
        <v>0</v>
      </c>
      <c r="AQ375">
        <v>6</v>
      </c>
      <c r="AR375">
        <v>5</v>
      </c>
      <c r="AS375">
        <v>5</v>
      </c>
    </row>
    <row r="376" spans="1:45" x14ac:dyDescent="0.2">
      <c r="A376" t="s">
        <v>54</v>
      </c>
      <c r="B376" t="s">
        <v>35</v>
      </c>
      <c r="C376">
        <v>18</v>
      </c>
      <c r="D376" t="s">
        <v>53</v>
      </c>
      <c r="E376" t="s">
        <v>48</v>
      </c>
      <c r="F376" t="s">
        <v>45</v>
      </c>
      <c r="G376">
        <f t="shared" si="115"/>
        <v>1</v>
      </c>
      <c r="H376">
        <v>4</v>
      </c>
      <c r="I376">
        <f t="shared" si="116"/>
        <v>0</v>
      </c>
      <c r="J376">
        <f t="shared" si="117"/>
        <v>0</v>
      </c>
      <c r="K376">
        <f t="shared" si="118"/>
        <v>0</v>
      </c>
      <c r="L376">
        <f t="shared" si="119"/>
        <v>0</v>
      </c>
      <c r="M376">
        <f t="shared" si="120"/>
        <v>1</v>
      </c>
      <c r="N376">
        <v>4</v>
      </c>
      <c r="O376">
        <f t="shared" si="110"/>
        <v>0</v>
      </c>
      <c r="P376">
        <f t="shared" si="111"/>
        <v>0</v>
      </c>
      <c r="Q376">
        <f t="shared" si="112"/>
        <v>0</v>
      </c>
      <c r="R376">
        <f t="shared" si="113"/>
        <v>0</v>
      </c>
      <c r="S376">
        <f t="shared" si="114"/>
        <v>1</v>
      </c>
      <c r="T376">
        <f t="shared" si="121"/>
        <v>1</v>
      </c>
      <c r="U376">
        <f t="shared" si="122"/>
        <v>0</v>
      </c>
      <c r="V376">
        <f t="shared" si="123"/>
        <v>0</v>
      </c>
      <c r="W376">
        <f t="shared" si="124"/>
        <v>0</v>
      </c>
      <c r="X376" t="s">
        <v>46</v>
      </c>
      <c r="Y376" t="s">
        <v>46</v>
      </c>
      <c r="Z376" t="s">
        <v>52</v>
      </c>
      <c r="AA376" t="s">
        <v>42</v>
      </c>
      <c r="AB376">
        <v>2</v>
      </c>
      <c r="AC376">
        <v>3</v>
      </c>
      <c r="AD376">
        <v>0</v>
      </c>
      <c r="AE376" t="s">
        <v>44</v>
      </c>
      <c r="AF376" t="s">
        <v>44</v>
      </c>
      <c r="AG376">
        <f t="shared" si="125"/>
        <v>0</v>
      </c>
      <c r="AH376" t="s">
        <v>44</v>
      </c>
      <c r="AI376">
        <f t="shared" si="126"/>
        <v>0</v>
      </c>
      <c r="AJ376" t="s">
        <v>43</v>
      </c>
      <c r="AK376">
        <f t="shared" si="127"/>
        <v>1</v>
      </c>
      <c r="AL376">
        <f t="shared" si="128"/>
        <v>0</v>
      </c>
      <c r="AM376">
        <v>0</v>
      </c>
      <c r="AN376">
        <f t="shared" si="129"/>
        <v>0</v>
      </c>
      <c r="AO376">
        <f t="shared" si="130"/>
        <v>0</v>
      </c>
      <c r="AP376">
        <f t="shared" si="131"/>
        <v>0</v>
      </c>
      <c r="AQ376">
        <v>19</v>
      </c>
      <c r="AR376">
        <v>18</v>
      </c>
      <c r="AS376">
        <v>19</v>
      </c>
    </row>
    <row r="377" spans="1:45" x14ac:dyDescent="0.2">
      <c r="A377" t="s">
        <v>54</v>
      </c>
      <c r="B377" t="s">
        <v>35</v>
      </c>
      <c r="C377">
        <v>18</v>
      </c>
      <c r="D377" t="s">
        <v>53</v>
      </c>
      <c r="E377" t="s">
        <v>37</v>
      </c>
      <c r="F377" t="s">
        <v>45</v>
      </c>
      <c r="G377">
        <f t="shared" si="115"/>
        <v>1</v>
      </c>
      <c r="H377">
        <v>1</v>
      </c>
      <c r="I377">
        <f t="shared" si="116"/>
        <v>0</v>
      </c>
      <c r="J377">
        <f t="shared" si="117"/>
        <v>1</v>
      </c>
      <c r="K377">
        <f t="shared" si="118"/>
        <v>0</v>
      </c>
      <c r="L377">
        <f t="shared" si="119"/>
        <v>0</v>
      </c>
      <c r="M377">
        <f t="shared" si="120"/>
        <v>0</v>
      </c>
      <c r="N377">
        <v>1</v>
      </c>
      <c r="O377">
        <f t="shared" si="110"/>
        <v>0</v>
      </c>
      <c r="P377">
        <f t="shared" si="111"/>
        <v>1</v>
      </c>
      <c r="Q377">
        <f t="shared" si="112"/>
        <v>0</v>
      </c>
      <c r="R377">
        <f t="shared" si="113"/>
        <v>0</v>
      </c>
      <c r="S377">
        <f t="shared" si="114"/>
        <v>0</v>
      </c>
      <c r="T377">
        <f t="shared" si="121"/>
        <v>0</v>
      </c>
      <c r="U377">
        <f t="shared" si="122"/>
        <v>0</v>
      </c>
      <c r="V377">
        <f t="shared" si="123"/>
        <v>0</v>
      </c>
      <c r="W377">
        <f t="shared" si="124"/>
        <v>0</v>
      </c>
      <c r="X377" t="s">
        <v>46</v>
      </c>
      <c r="Y377" t="s">
        <v>46</v>
      </c>
      <c r="Z377" t="s">
        <v>50</v>
      </c>
      <c r="AA377" t="s">
        <v>42</v>
      </c>
      <c r="AB377">
        <v>4</v>
      </c>
      <c r="AC377">
        <v>3</v>
      </c>
      <c r="AD377">
        <v>0</v>
      </c>
      <c r="AE377" t="s">
        <v>44</v>
      </c>
      <c r="AF377" t="s">
        <v>44</v>
      </c>
      <c r="AG377">
        <f t="shared" si="125"/>
        <v>0</v>
      </c>
      <c r="AH377" t="s">
        <v>44</v>
      </c>
      <c r="AI377">
        <f t="shared" si="126"/>
        <v>0</v>
      </c>
      <c r="AJ377" t="s">
        <v>43</v>
      </c>
      <c r="AK377">
        <f t="shared" si="127"/>
        <v>1</v>
      </c>
      <c r="AL377">
        <f t="shared" si="128"/>
        <v>0</v>
      </c>
      <c r="AM377">
        <v>2</v>
      </c>
      <c r="AN377">
        <f t="shared" si="129"/>
        <v>0</v>
      </c>
      <c r="AO377">
        <f t="shared" si="130"/>
        <v>0</v>
      </c>
      <c r="AP377">
        <f t="shared" si="131"/>
        <v>0</v>
      </c>
      <c r="AQ377">
        <v>8</v>
      </c>
      <c r="AR377">
        <v>8</v>
      </c>
      <c r="AS377">
        <v>10</v>
      </c>
    </row>
    <row r="378" spans="1:45" x14ac:dyDescent="0.2">
      <c r="A378" t="s">
        <v>54</v>
      </c>
      <c r="B378" t="s">
        <v>35</v>
      </c>
      <c r="C378">
        <v>20</v>
      </c>
      <c r="D378" t="s">
        <v>36</v>
      </c>
      <c r="E378" t="s">
        <v>37</v>
      </c>
      <c r="F378" t="s">
        <v>45</v>
      </c>
      <c r="G378">
        <f t="shared" si="115"/>
        <v>1</v>
      </c>
      <c r="H378">
        <v>4</v>
      </c>
      <c r="I378">
        <f t="shared" si="116"/>
        <v>0</v>
      </c>
      <c r="J378">
        <f t="shared" si="117"/>
        <v>0</v>
      </c>
      <c r="K378">
        <f t="shared" si="118"/>
        <v>0</v>
      </c>
      <c r="L378">
        <f t="shared" si="119"/>
        <v>0</v>
      </c>
      <c r="M378">
        <f t="shared" si="120"/>
        <v>1</v>
      </c>
      <c r="N378">
        <v>2</v>
      </c>
      <c r="O378">
        <f t="shared" si="110"/>
        <v>0</v>
      </c>
      <c r="P378">
        <f t="shared" si="111"/>
        <v>0</v>
      </c>
      <c r="Q378">
        <f t="shared" si="112"/>
        <v>1</v>
      </c>
      <c r="R378">
        <f t="shared" si="113"/>
        <v>0</v>
      </c>
      <c r="S378">
        <f t="shared" si="114"/>
        <v>0</v>
      </c>
      <c r="T378">
        <f t="shared" si="121"/>
        <v>0</v>
      </c>
      <c r="U378">
        <f t="shared" si="122"/>
        <v>0</v>
      </c>
      <c r="V378">
        <f t="shared" si="123"/>
        <v>1</v>
      </c>
      <c r="W378">
        <f t="shared" si="124"/>
        <v>0</v>
      </c>
      <c r="X378" t="s">
        <v>29</v>
      </c>
      <c r="Y378" t="s">
        <v>46</v>
      </c>
      <c r="Z378" t="s">
        <v>41</v>
      </c>
      <c r="AA378" t="s">
        <v>46</v>
      </c>
      <c r="AB378">
        <v>2</v>
      </c>
      <c r="AC378">
        <v>3</v>
      </c>
      <c r="AD378">
        <v>2</v>
      </c>
      <c r="AE378" t="s">
        <v>44</v>
      </c>
      <c r="AF378" t="s">
        <v>43</v>
      </c>
      <c r="AG378">
        <f t="shared" si="125"/>
        <v>1</v>
      </c>
      <c r="AH378" t="s">
        <v>43</v>
      </c>
      <c r="AI378">
        <f t="shared" si="126"/>
        <v>1</v>
      </c>
      <c r="AJ378" t="s">
        <v>43</v>
      </c>
      <c r="AK378">
        <f t="shared" si="127"/>
        <v>1</v>
      </c>
      <c r="AL378">
        <f t="shared" si="128"/>
        <v>1</v>
      </c>
      <c r="AM378">
        <v>4</v>
      </c>
      <c r="AN378">
        <f t="shared" si="129"/>
        <v>0</v>
      </c>
      <c r="AO378">
        <f t="shared" si="130"/>
        <v>1</v>
      </c>
      <c r="AP378">
        <f t="shared" si="131"/>
        <v>0</v>
      </c>
      <c r="AQ378">
        <v>15</v>
      </c>
      <c r="AR378">
        <v>14</v>
      </c>
      <c r="AS378">
        <v>15</v>
      </c>
    </row>
    <row r="379" spans="1:45" x14ac:dyDescent="0.2">
      <c r="A379" t="s">
        <v>54</v>
      </c>
      <c r="B379" t="s">
        <v>35</v>
      </c>
      <c r="C379">
        <v>18</v>
      </c>
      <c r="D379" t="s">
        <v>53</v>
      </c>
      <c r="E379" t="s">
        <v>48</v>
      </c>
      <c r="F379" t="s">
        <v>45</v>
      </c>
      <c r="G379">
        <f t="shared" si="115"/>
        <v>1</v>
      </c>
      <c r="H379">
        <v>4</v>
      </c>
      <c r="I379">
        <f t="shared" si="116"/>
        <v>0</v>
      </c>
      <c r="J379">
        <f t="shared" si="117"/>
        <v>0</v>
      </c>
      <c r="K379">
        <f t="shared" si="118"/>
        <v>0</v>
      </c>
      <c r="L379">
        <f t="shared" si="119"/>
        <v>0</v>
      </c>
      <c r="M379">
        <f t="shared" si="120"/>
        <v>1</v>
      </c>
      <c r="N379">
        <v>4</v>
      </c>
      <c r="O379">
        <f t="shared" si="110"/>
        <v>0</v>
      </c>
      <c r="P379">
        <f t="shared" si="111"/>
        <v>0</v>
      </c>
      <c r="Q379">
        <f t="shared" si="112"/>
        <v>0</v>
      </c>
      <c r="R379">
        <f t="shared" si="113"/>
        <v>0</v>
      </c>
      <c r="S379">
        <f t="shared" si="114"/>
        <v>1</v>
      </c>
      <c r="T379">
        <f t="shared" si="121"/>
        <v>1</v>
      </c>
      <c r="U379">
        <f t="shared" si="122"/>
        <v>0</v>
      </c>
      <c r="V379">
        <f t="shared" si="123"/>
        <v>0</v>
      </c>
      <c r="W379">
        <f t="shared" si="124"/>
        <v>0</v>
      </c>
      <c r="X379" t="s">
        <v>40</v>
      </c>
      <c r="Y379" t="s">
        <v>49</v>
      </c>
      <c r="Z379" t="s">
        <v>41</v>
      </c>
      <c r="AA379" t="s">
        <v>42</v>
      </c>
      <c r="AB379">
        <v>1</v>
      </c>
      <c r="AC379">
        <v>2</v>
      </c>
      <c r="AD379">
        <v>0</v>
      </c>
      <c r="AE379" t="s">
        <v>44</v>
      </c>
      <c r="AF379" t="s">
        <v>44</v>
      </c>
      <c r="AG379">
        <f t="shared" si="125"/>
        <v>0</v>
      </c>
      <c r="AH379" t="s">
        <v>43</v>
      </c>
      <c r="AI379">
        <f t="shared" si="126"/>
        <v>1</v>
      </c>
      <c r="AJ379" t="s">
        <v>43</v>
      </c>
      <c r="AK379">
        <f t="shared" si="127"/>
        <v>1</v>
      </c>
      <c r="AL379">
        <f t="shared" si="128"/>
        <v>1</v>
      </c>
      <c r="AM379">
        <v>4</v>
      </c>
      <c r="AN379">
        <f t="shared" si="129"/>
        <v>0</v>
      </c>
      <c r="AO379">
        <f t="shared" si="130"/>
        <v>1</v>
      </c>
      <c r="AP379">
        <f t="shared" si="131"/>
        <v>0</v>
      </c>
      <c r="AQ379">
        <v>8</v>
      </c>
      <c r="AR379">
        <v>9</v>
      </c>
      <c r="AS379">
        <v>10</v>
      </c>
    </row>
    <row r="380" spans="1:45" x14ac:dyDescent="0.2">
      <c r="A380" t="s">
        <v>54</v>
      </c>
      <c r="B380" t="s">
        <v>35</v>
      </c>
      <c r="C380">
        <v>18</v>
      </c>
      <c r="D380" t="s">
        <v>36</v>
      </c>
      <c r="E380" t="s">
        <v>37</v>
      </c>
      <c r="F380" t="s">
        <v>45</v>
      </c>
      <c r="G380">
        <f t="shared" si="115"/>
        <v>1</v>
      </c>
      <c r="H380">
        <v>3</v>
      </c>
      <c r="I380">
        <f t="shared" si="116"/>
        <v>0</v>
      </c>
      <c r="J380">
        <f t="shared" si="117"/>
        <v>0</v>
      </c>
      <c r="K380">
        <f t="shared" si="118"/>
        <v>0</v>
      </c>
      <c r="L380">
        <f t="shared" si="119"/>
        <v>1</v>
      </c>
      <c r="M380">
        <f t="shared" si="120"/>
        <v>0</v>
      </c>
      <c r="N380">
        <v>3</v>
      </c>
      <c r="O380">
        <f t="shared" si="110"/>
        <v>0</v>
      </c>
      <c r="P380">
        <f t="shared" si="111"/>
        <v>0</v>
      </c>
      <c r="Q380">
        <f t="shared" si="112"/>
        <v>0</v>
      </c>
      <c r="R380">
        <f t="shared" si="113"/>
        <v>1</v>
      </c>
      <c r="S380">
        <f t="shared" si="114"/>
        <v>0</v>
      </c>
      <c r="T380">
        <f t="shared" si="121"/>
        <v>0</v>
      </c>
      <c r="U380">
        <f t="shared" si="122"/>
        <v>0</v>
      </c>
      <c r="V380">
        <f t="shared" si="123"/>
        <v>0</v>
      </c>
      <c r="W380">
        <f t="shared" si="124"/>
        <v>0</v>
      </c>
      <c r="X380" t="s">
        <v>46</v>
      </c>
      <c r="Y380" t="s">
        <v>46</v>
      </c>
      <c r="Z380" t="s">
        <v>50</v>
      </c>
      <c r="AA380" t="s">
        <v>42</v>
      </c>
      <c r="AB380">
        <v>1</v>
      </c>
      <c r="AC380">
        <v>2</v>
      </c>
      <c r="AD380">
        <v>0</v>
      </c>
      <c r="AE380" t="s">
        <v>44</v>
      </c>
      <c r="AF380" t="s">
        <v>44</v>
      </c>
      <c r="AG380">
        <f t="shared" si="125"/>
        <v>0</v>
      </c>
      <c r="AH380" t="s">
        <v>43</v>
      </c>
      <c r="AI380">
        <f t="shared" si="126"/>
        <v>1</v>
      </c>
      <c r="AJ380" t="s">
        <v>43</v>
      </c>
      <c r="AK380">
        <f t="shared" si="127"/>
        <v>1</v>
      </c>
      <c r="AL380">
        <f t="shared" si="128"/>
        <v>1</v>
      </c>
      <c r="AM380">
        <v>0</v>
      </c>
      <c r="AN380">
        <f t="shared" si="129"/>
        <v>0</v>
      </c>
      <c r="AO380">
        <f t="shared" si="130"/>
        <v>0</v>
      </c>
      <c r="AP380">
        <f t="shared" si="131"/>
        <v>1</v>
      </c>
      <c r="AQ380">
        <v>15</v>
      </c>
      <c r="AR380">
        <v>15</v>
      </c>
      <c r="AS380">
        <v>15</v>
      </c>
    </row>
    <row r="381" spans="1:45" x14ac:dyDescent="0.2">
      <c r="A381" t="s">
        <v>54</v>
      </c>
      <c r="B381" t="s">
        <v>35</v>
      </c>
      <c r="C381">
        <v>17</v>
      </c>
      <c r="D381" t="s">
        <v>53</v>
      </c>
      <c r="E381" t="s">
        <v>37</v>
      </c>
      <c r="F381" t="s">
        <v>45</v>
      </c>
      <c r="G381">
        <f t="shared" si="115"/>
        <v>1</v>
      </c>
      <c r="H381">
        <v>3</v>
      </c>
      <c r="I381">
        <f t="shared" si="116"/>
        <v>0</v>
      </c>
      <c r="J381">
        <f t="shared" si="117"/>
        <v>0</v>
      </c>
      <c r="K381">
        <f t="shared" si="118"/>
        <v>0</v>
      </c>
      <c r="L381">
        <f t="shared" si="119"/>
        <v>1</v>
      </c>
      <c r="M381">
        <f t="shared" si="120"/>
        <v>0</v>
      </c>
      <c r="N381">
        <v>1</v>
      </c>
      <c r="O381">
        <f t="shared" si="110"/>
        <v>0</v>
      </c>
      <c r="P381">
        <f t="shared" si="111"/>
        <v>1</v>
      </c>
      <c r="Q381">
        <f t="shared" si="112"/>
        <v>0</v>
      </c>
      <c r="R381">
        <f t="shared" si="113"/>
        <v>0</v>
      </c>
      <c r="S381">
        <f t="shared" si="114"/>
        <v>0</v>
      </c>
      <c r="T381">
        <f t="shared" si="121"/>
        <v>0</v>
      </c>
      <c r="U381">
        <f t="shared" si="122"/>
        <v>0</v>
      </c>
      <c r="V381">
        <f t="shared" si="123"/>
        <v>0</v>
      </c>
      <c r="W381">
        <f t="shared" si="124"/>
        <v>0</v>
      </c>
      <c r="X381" t="s">
        <v>39</v>
      </c>
      <c r="Y381" t="s">
        <v>46</v>
      </c>
      <c r="Z381" t="s">
        <v>52</v>
      </c>
      <c r="AA381" t="s">
        <v>42</v>
      </c>
      <c r="AB381">
        <v>1</v>
      </c>
      <c r="AC381">
        <v>2</v>
      </c>
      <c r="AD381">
        <v>0</v>
      </c>
      <c r="AE381" t="s">
        <v>44</v>
      </c>
      <c r="AF381" t="s">
        <v>43</v>
      </c>
      <c r="AG381">
        <f t="shared" si="125"/>
        <v>1</v>
      </c>
      <c r="AH381" t="s">
        <v>43</v>
      </c>
      <c r="AI381">
        <f t="shared" si="126"/>
        <v>1</v>
      </c>
      <c r="AJ381" t="s">
        <v>43</v>
      </c>
      <c r="AK381">
        <f t="shared" si="127"/>
        <v>1</v>
      </c>
      <c r="AL381">
        <f t="shared" si="128"/>
        <v>1</v>
      </c>
      <c r="AM381">
        <v>17</v>
      </c>
      <c r="AN381">
        <f t="shared" si="129"/>
        <v>0</v>
      </c>
      <c r="AO381">
        <f t="shared" si="130"/>
        <v>0</v>
      </c>
      <c r="AP381">
        <f t="shared" si="131"/>
        <v>1</v>
      </c>
      <c r="AQ381">
        <v>10</v>
      </c>
      <c r="AR381">
        <v>10</v>
      </c>
      <c r="AS381">
        <v>10</v>
      </c>
    </row>
    <row r="382" spans="1:45" x14ac:dyDescent="0.2">
      <c r="A382" t="s">
        <v>54</v>
      </c>
      <c r="B382" t="s">
        <v>51</v>
      </c>
      <c r="C382">
        <v>18</v>
      </c>
      <c r="D382" t="s">
        <v>36</v>
      </c>
      <c r="E382" t="s">
        <v>37</v>
      </c>
      <c r="F382" t="s">
        <v>45</v>
      </c>
      <c r="G382">
        <f t="shared" si="115"/>
        <v>1</v>
      </c>
      <c r="H382">
        <v>4</v>
      </c>
      <c r="I382">
        <f t="shared" si="116"/>
        <v>0</v>
      </c>
      <c r="J382">
        <f t="shared" si="117"/>
        <v>0</v>
      </c>
      <c r="K382">
        <f t="shared" si="118"/>
        <v>0</v>
      </c>
      <c r="L382">
        <f t="shared" si="119"/>
        <v>0</v>
      </c>
      <c r="M382">
        <f t="shared" si="120"/>
        <v>1</v>
      </c>
      <c r="N382">
        <v>4</v>
      </c>
      <c r="O382">
        <f t="shared" si="110"/>
        <v>0</v>
      </c>
      <c r="P382">
        <f t="shared" si="111"/>
        <v>0</v>
      </c>
      <c r="Q382">
        <f t="shared" si="112"/>
        <v>0</v>
      </c>
      <c r="R382">
        <f t="shared" si="113"/>
        <v>0</v>
      </c>
      <c r="S382">
        <f t="shared" si="114"/>
        <v>1</v>
      </c>
      <c r="T382">
        <f t="shared" si="121"/>
        <v>1</v>
      </c>
      <c r="U382">
        <f t="shared" si="122"/>
        <v>0</v>
      </c>
      <c r="V382">
        <f t="shared" si="123"/>
        <v>0</v>
      </c>
      <c r="W382">
        <f t="shared" si="124"/>
        <v>0</v>
      </c>
      <c r="X382" t="s">
        <v>40</v>
      </c>
      <c r="Y382" t="s">
        <v>40</v>
      </c>
      <c r="Z382" t="s">
        <v>50</v>
      </c>
      <c r="AA382" t="s">
        <v>47</v>
      </c>
      <c r="AB382">
        <v>1</v>
      </c>
      <c r="AC382">
        <v>2</v>
      </c>
      <c r="AD382">
        <v>0</v>
      </c>
      <c r="AE382" t="s">
        <v>44</v>
      </c>
      <c r="AF382" t="s">
        <v>44</v>
      </c>
      <c r="AG382">
        <f t="shared" si="125"/>
        <v>0</v>
      </c>
      <c r="AH382" t="s">
        <v>43</v>
      </c>
      <c r="AI382">
        <f t="shared" si="126"/>
        <v>1</v>
      </c>
      <c r="AJ382" t="s">
        <v>43</v>
      </c>
      <c r="AK382">
        <f t="shared" si="127"/>
        <v>1</v>
      </c>
      <c r="AL382">
        <f t="shared" si="128"/>
        <v>1</v>
      </c>
      <c r="AM382">
        <v>4</v>
      </c>
      <c r="AN382">
        <f t="shared" si="129"/>
        <v>0</v>
      </c>
      <c r="AO382">
        <f t="shared" si="130"/>
        <v>1</v>
      </c>
      <c r="AP382">
        <f t="shared" si="131"/>
        <v>0</v>
      </c>
      <c r="AQ382">
        <v>15</v>
      </c>
      <c r="AR382">
        <v>14</v>
      </c>
      <c r="AS382">
        <v>14</v>
      </c>
    </row>
    <row r="383" spans="1:45" x14ac:dyDescent="0.2">
      <c r="A383" t="s">
        <v>54</v>
      </c>
      <c r="B383" t="s">
        <v>51</v>
      </c>
      <c r="C383">
        <v>18</v>
      </c>
      <c r="D383" t="s">
        <v>53</v>
      </c>
      <c r="E383" t="s">
        <v>37</v>
      </c>
      <c r="F383" t="s">
        <v>45</v>
      </c>
      <c r="G383">
        <f t="shared" si="115"/>
        <v>1</v>
      </c>
      <c r="H383">
        <v>2</v>
      </c>
      <c r="I383">
        <f t="shared" si="116"/>
        <v>0</v>
      </c>
      <c r="J383">
        <f t="shared" si="117"/>
        <v>0</v>
      </c>
      <c r="K383">
        <f t="shared" si="118"/>
        <v>1</v>
      </c>
      <c r="L383">
        <f t="shared" si="119"/>
        <v>0</v>
      </c>
      <c r="M383">
        <f t="shared" si="120"/>
        <v>0</v>
      </c>
      <c r="N383">
        <v>1</v>
      </c>
      <c r="O383">
        <f t="shared" si="110"/>
        <v>0</v>
      </c>
      <c r="P383">
        <f t="shared" si="111"/>
        <v>1</v>
      </c>
      <c r="Q383">
        <f t="shared" si="112"/>
        <v>0</v>
      </c>
      <c r="R383">
        <f t="shared" si="113"/>
        <v>0</v>
      </c>
      <c r="S383">
        <f t="shared" si="114"/>
        <v>0</v>
      </c>
      <c r="T383">
        <f t="shared" si="121"/>
        <v>0</v>
      </c>
      <c r="U383">
        <f t="shared" si="122"/>
        <v>0</v>
      </c>
      <c r="V383">
        <f t="shared" si="123"/>
        <v>0</v>
      </c>
      <c r="W383">
        <f t="shared" si="124"/>
        <v>0</v>
      </c>
      <c r="X383" t="s">
        <v>46</v>
      </c>
      <c r="Y383" t="s">
        <v>46</v>
      </c>
      <c r="Z383" t="s">
        <v>46</v>
      </c>
      <c r="AA383" t="s">
        <v>42</v>
      </c>
      <c r="AB383">
        <v>2</v>
      </c>
      <c r="AC383">
        <v>1</v>
      </c>
      <c r="AD383">
        <v>0</v>
      </c>
      <c r="AE383" t="s">
        <v>44</v>
      </c>
      <c r="AF383" t="s">
        <v>44</v>
      </c>
      <c r="AG383">
        <f t="shared" si="125"/>
        <v>0</v>
      </c>
      <c r="AH383" t="s">
        <v>44</v>
      </c>
      <c r="AI383">
        <f t="shared" si="126"/>
        <v>0</v>
      </c>
      <c r="AJ383" t="s">
        <v>43</v>
      </c>
      <c r="AK383">
        <f t="shared" si="127"/>
        <v>1</v>
      </c>
      <c r="AL383">
        <f t="shared" si="128"/>
        <v>0</v>
      </c>
      <c r="AM383">
        <v>5</v>
      </c>
      <c r="AN383">
        <f t="shared" si="129"/>
        <v>0</v>
      </c>
      <c r="AO383">
        <f t="shared" si="130"/>
        <v>0</v>
      </c>
      <c r="AP383">
        <f t="shared" si="131"/>
        <v>0</v>
      </c>
      <c r="AQ383">
        <v>7</v>
      </c>
      <c r="AR383">
        <v>6</v>
      </c>
      <c r="AS383">
        <v>7</v>
      </c>
    </row>
    <row r="384" spans="1:45" x14ac:dyDescent="0.2">
      <c r="A384" t="s">
        <v>54</v>
      </c>
      <c r="B384" t="s">
        <v>51</v>
      </c>
      <c r="C384">
        <v>17</v>
      </c>
      <c r="D384" t="s">
        <v>36</v>
      </c>
      <c r="E384" t="s">
        <v>37</v>
      </c>
      <c r="F384" t="s">
        <v>45</v>
      </c>
      <c r="G384">
        <f t="shared" si="115"/>
        <v>1</v>
      </c>
      <c r="H384">
        <v>2</v>
      </c>
      <c r="I384">
        <f t="shared" si="116"/>
        <v>0</v>
      </c>
      <c r="J384">
        <f t="shared" si="117"/>
        <v>0</v>
      </c>
      <c r="K384">
        <f t="shared" si="118"/>
        <v>1</v>
      </c>
      <c r="L384">
        <f t="shared" si="119"/>
        <v>0</v>
      </c>
      <c r="M384">
        <f t="shared" si="120"/>
        <v>0</v>
      </c>
      <c r="N384">
        <v>3</v>
      </c>
      <c r="O384">
        <f t="shared" si="110"/>
        <v>0</v>
      </c>
      <c r="P384">
        <f t="shared" si="111"/>
        <v>0</v>
      </c>
      <c r="Q384">
        <f t="shared" si="112"/>
        <v>0</v>
      </c>
      <c r="R384">
        <f t="shared" si="113"/>
        <v>1</v>
      </c>
      <c r="S384">
        <f t="shared" si="114"/>
        <v>0</v>
      </c>
      <c r="T384">
        <f t="shared" si="121"/>
        <v>0</v>
      </c>
      <c r="U384">
        <f t="shared" si="122"/>
        <v>0</v>
      </c>
      <c r="V384">
        <f t="shared" si="123"/>
        <v>0</v>
      </c>
      <c r="W384">
        <f t="shared" si="124"/>
        <v>0</v>
      </c>
      <c r="X384" t="s">
        <v>46</v>
      </c>
      <c r="Y384" t="s">
        <v>49</v>
      </c>
      <c r="Z384" t="s">
        <v>50</v>
      </c>
      <c r="AA384" t="s">
        <v>47</v>
      </c>
      <c r="AB384">
        <v>2</v>
      </c>
      <c r="AC384">
        <v>2</v>
      </c>
      <c r="AD384">
        <v>0</v>
      </c>
      <c r="AE384" t="s">
        <v>44</v>
      </c>
      <c r="AF384" t="s">
        <v>44</v>
      </c>
      <c r="AG384">
        <f t="shared" si="125"/>
        <v>0</v>
      </c>
      <c r="AH384" t="s">
        <v>44</v>
      </c>
      <c r="AI384">
        <f t="shared" si="126"/>
        <v>0</v>
      </c>
      <c r="AJ384" t="s">
        <v>43</v>
      </c>
      <c r="AK384">
        <f t="shared" si="127"/>
        <v>1</v>
      </c>
      <c r="AL384">
        <f t="shared" si="128"/>
        <v>0</v>
      </c>
      <c r="AM384">
        <v>2</v>
      </c>
      <c r="AN384">
        <f t="shared" si="129"/>
        <v>0</v>
      </c>
      <c r="AO384">
        <f t="shared" si="130"/>
        <v>0</v>
      </c>
      <c r="AP384">
        <f t="shared" si="131"/>
        <v>0</v>
      </c>
      <c r="AQ384">
        <v>11</v>
      </c>
      <c r="AR384">
        <v>11</v>
      </c>
      <c r="AS384">
        <v>10</v>
      </c>
    </row>
    <row r="385" spans="1:45" x14ac:dyDescent="0.2">
      <c r="A385" t="s">
        <v>54</v>
      </c>
      <c r="B385" t="s">
        <v>51</v>
      </c>
      <c r="C385">
        <v>19</v>
      </c>
      <c r="D385" t="s">
        <v>53</v>
      </c>
      <c r="E385" t="s">
        <v>37</v>
      </c>
      <c r="F385" t="s">
        <v>45</v>
      </c>
      <c r="G385">
        <f t="shared" si="115"/>
        <v>1</v>
      </c>
      <c r="H385">
        <v>1</v>
      </c>
      <c r="I385">
        <f t="shared" si="116"/>
        <v>0</v>
      </c>
      <c r="J385">
        <f t="shared" si="117"/>
        <v>1</v>
      </c>
      <c r="K385">
        <f t="shared" si="118"/>
        <v>0</v>
      </c>
      <c r="L385">
        <f t="shared" si="119"/>
        <v>0</v>
      </c>
      <c r="M385">
        <f t="shared" si="120"/>
        <v>0</v>
      </c>
      <c r="N385">
        <v>1</v>
      </c>
      <c r="O385">
        <f t="shared" si="110"/>
        <v>0</v>
      </c>
      <c r="P385">
        <f t="shared" si="111"/>
        <v>1</v>
      </c>
      <c r="Q385">
        <f t="shared" si="112"/>
        <v>0</v>
      </c>
      <c r="R385">
        <f t="shared" si="113"/>
        <v>0</v>
      </c>
      <c r="S385">
        <f t="shared" si="114"/>
        <v>0</v>
      </c>
      <c r="T385">
        <f t="shared" si="121"/>
        <v>0</v>
      </c>
      <c r="U385">
        <f t="shared" si="122"/>
        <v>0</v>
      </c>
      <c r="V385">
        <f t="shared" si="123"/>
        <v>0</v>
      </c>
      <c r="W385">
        <f t="shared" si="124"/>
        <v>0</v>
      </c>
      <c r="X385" t="s">
        <v>46</v>
      </c>
      <c r="Y385" t="s">
        <v>49</v>
      </c>
      <c r="Z385" t="s">
        <v>46</v>
      </c>
      <c r="AA385" t="s">
        <v>42</v>
      </c>
      <c r="AB385">
        <v>2</v>
      </c>
      <c r="AC385">
        <v>1</v>
      </c>
      <c r="AD385">
        <v>1</v>
      </c>
      <c r="AE385" t="s">
        <v>44</v>
      </c>
      <c r="AF385" t="s">
        <v>44</v>
      </c>
      <c r="AG385">
        <f t="shared" si="125"/>
        <v>0</v>
      </c>
      <c r="AH385" t="s">
        <v>44</v>
      </c>
      <c r="AI385">
        <f t="shared" si="126"/>
        <v>0</v>
      </c>
      <c r="AJ385" t="s">
        <v>44</v>
      </c>
      <c r="AK385">
        <f t="shared" si="127"/>
        <v>0</v>
      </c>
      <c r="AL385">
        <f t="shared" si="128"/>
        <v>0</v>
      </c>
      <c r="AM385">
        <v>0</v>
      </c>
      <c r="AN385">
        <f t="shared" si="129"/>
        <v>0</v>
      </c>
      <c r="AO385">
        <f t="shared" si="130"/>
        <v>0</v>
      </c>
      <c r="AP385">
        <f t="shared" si="131"/>
        <v>0</v>
      </c>
      <c r="AQ385">
        <v>6</v>
      </c>
      <c r="AR385">
        <v>5</v>
      </c>
      <c r="AS385">
        <v>0</v>
      </c>
    </row>
    <row r="386" spans="1:45" x14ac:dyDescent="0.2">
      <c r="A386" t="s">
        <v>54</v>
      </c>
      <c r="B386" t="s">
        <v>51</v>
      </c>
      <c r="C386">
        <v>18</v>
      </c>
      <c r="D386" t="s">
        <v>53</v>
      </c>
      <c r="E386" t="s">
        <v>37</v>
      </c>
      <c r="F386" t="s">
        <v>45</v>
      </c>
      <c r="G386">
        <f t="shared" si="115"/>
        <v>1</v>
      </c>
      <c r="H386">
        <v>4</v>
      </c>
      <c r="I386">
        <f t="shared" si="116"/>
        <v>0</v>
      </c>
      <c r="J386">
        <f t="shared" si="117"/>
        <v>0</v>
      </c>
      <c r="K386">
        <f t="shared" si="118"/>
        <v>0</v>
      </c>
      <c r="L386">
        <f t="shared" si="119"/>
        <v>0</v>
      </c>
      <c r="M386">
        <f t="shared" si="120"/>
        <v>1</v>
      </c>
      <c r="N386">
        <v>2</v>
      </c>
      <c r="O386">
        <f t="shared" ref="O386:O396" si="132" xml:space="preserve"> IF($N386=0,1,0)</f>
        <v>0</v>
      </c>
      <c r="P386">
        <f t="shared" ref="P386:P396" si="133" xml:space="preserve"> IF($N386=1,1,0)</f>
        <v>0</v>
      </c>
      <c r="Q386">
        <f t="shared" ref="Q386:Q396" si="134" xml:space="preserve"> IF($N386=2,1,0)</f>
        <v>1</v>
      </c>
      <c r="R386">
        <f t="shared" ref="R386:R396" si="135" xml:space="preserve"> IF($N386=3,1,0)</f>
        <v>0</v>
      </c>
      <c r="S386">
        <f t="shared" ref="S386:S396" si="136" xml:space="preserve"> IF($N386=4,1,0)</f>
        <v>0</v>
      </c>
      <c r="T386">
        <f t="shared" si="121"/>
        <v>0</v>
      </c>
      <c r="U386">
        <f t="shared" si="122"/>
        <v>0</v>
      </c>
      <c r="V386">
        <f t="shared" si="123"/>
        <v>1</v>
      </c>
      <c r="W386">
        <f t="shared" si="124"/>
        <v>0</v>
      </c>
      <c r="X386" t="s">
        <v>46</v>
      </c>
      <c r="Y386" t="s">
        <v>46</v>
      </c>
      <c r="Z386" t="s">
        <v>50</v>
      </c>
      <c r="AA386" t="s">
        <v>47</v>
      </c>
      <c r="AB386">
        <v>2</v>
      </c>
      <c r="AC386">
        <v>1</v>
      </c>
      <c r="AD386">
        <v>1</v>
      </c>
      <c r="AE386" t="s">
        <v>44</v>
      </c>
      <c r="AF386" t="s">
        <v>44</v>
      </c>
      <c r="AG386">
        <f t="shared" si="125"/>
        <v>0</v>
      </c>
      <c r="AH386" t="s">
        <v>43</v>
      </c>
      <c r="AI386">
        <f t="shared" si="126"/>
        <v>1</v>
      </c>
      <c r="AJ386" t="s">
        <v>44</v>
      </c>
      <c r="AK386">
        <f t="shared" si="127"/>
        <v>0</v>
      </c>
      <c r="AL386">
        <f t="shared" si="128"/>
        <v>0</v>
      </c>
      <c r="AM386">
        <v>14</v>
      </c>
      <c r="AN386">
        <f t="shared" si="129"/>
        <v>0</v>
      </c>
      <c r="AO386">
        <f t="shared" si="130"/>
        <v>1</v>
      </c>
      <c r="AP386">
        <f t="shared" si="131"/>
        <v>0</v>
      </c>
      <c r="AQ386">
        <v>6</v>
      </c>
      <c r="AR386">
        <v>5</v>
      </c>
      <c r="AS386">
        <v>5</v>
      </c>
    </row>
    <row r="387" spans="1:45" x14ac:dyDescent="0.2">
      <c r="A387" t="s">
        <v>54</v>
      </c>
      <c r="B387" t="s">
        <v>35</v>
      </c>
      <c r="C387">
        <v>18</v>
      </c>
      <c r="D387" t="s">
        <v>53</v>
      </c>
      <c r="E387" t="s">
        <v>37</v>
      </c>
      <c r="F387" t="s">
        <v>45</v>
      </c>
      <c r="G387">
        <f t="shared" ref="G387:G396" si="137">IF(F387="T",1,0)</f>
        <v>1</v>
      </c>
      <c r="H387">
        <v>2</v>
      </c>
      <c r="I387">
        <f t="shared" ref="I387:I396" si="138" xml:space="preserve"> IF($H387=0,1,0)</f>
        <v>0</v>
      </c>
      <c r="J387">
        <f t="shared" ref="J387:J396" si="139" xml:space="preserve"> IF($H387=1,1,0)</f>
        <v>0</v>
      </c>
      <c r="K387">
        <f t="shared" ref="K387:K396" si="140" xml:space="preserve"> IF($H387=2,1,0)</f>
        <v>1</v>
      </c>
      <c r="L387">
        <f t="shared" ref="L387:L396" si="141" xml:space="preserve"> IF($H387=3,1,0)</f>
        <v>0</v>
      </c>
      <c r="M387">
        <f t="shared" ref="M387:M396" si="142" xml:space="preserve"> IF($H387=4,1,0)</f>
        <v>0</v>
      </c>
      <c r="N387">
        <v>2</v>
      </c>
      <c r="O387">
        <f t="shared" si="132"/>
        <v>0</v>
      </c>
      <c r="P387">
        <f t="shared" si="133"/>
        <v>0</v>
      </c>
      <c r="Q387">
        <f t="shared" si="134"/>
        <v>1</v>
      </c>
      <c r="R387">
        <f t="shared" si="135"/>
        <v>0</v>
      </c>
      <c r="S387">
        <f t="shared" si="136"/>
        <v>0</v>
      </c>
      <c r="T387">
        <f t="shared" ref="T387:T396" si="143">IF(AND(M387=1,S387=1),1,0)</f>
        <v>0</v>
      </c>
      <c r="U387">
        <f t="shared" ref="U387:U396" si="144">IF(AND(M387=1,R387=1),1,0)</f>
        <v>0</v>
      </c>
      <c r="V387">
        <f t="shared" ref="V387:V396" si="145">IF(OR(AND(M387=1,Q387=1),AND(M387=1,P387=1)),1,0)</f>
        <v>0</v>
      </c>
      <c r="W387">
        <f t="shared" ref="W387:W396" si="146">IF(AND(L387=1,S387=1),1,0)</f>
        <v>0</v>
      </c>
      <c r="X387" t="s">
        <v>39</v>
      </c>
      <c r="Y387" t="s">
        <v>46</v>
      </c>
      <c r="Z387" t="s">
        <v>46</v>
      </c>
      <c r="AA387" t="s">
        <v>42</v>
      </c>
      <c r="AB387">
        <v>2</v>
      </c>
      <c r="AC387">
        <v>3</v>
      </c>
      <c r="AD387">
        <v>0</v>
      </c>
      <c r="AE387" t="s">
        <v>44</v>
      </c>
      <c r="AF387" t="s">
        <v>44</v>
      </c>
      <c r="AG387">
        <f t="shared" ref="AG387:AG396" si="147">IF(AF387="yes",1,0)</f>
        <v>0</v>
      </c>
      <c r="AH387" t="s">
        <v>43</v>
      </c>
      <c r="AI387">
        <f t="shared" ref="AI387:AI396" si="148">IF(AH387="yes",1,0)</f>
        <v>1</v>
      </c>
      <c r="AJ387" t="s">
        <v>44</v>
      </c>
      <c r="AK387">
        <f t="shared" ref="AK387:AK396" si="149">IF(AJ387="yes",1,0)</f>
        <v>0</v>
      </c>
      <c r="AL387">
        <f t="shared" ref="AL387:AL396" si="150">IF(AND(AI387=1,AK387=1),1,0)</f>
        <v>0</v>
      </c>
      <c r="AM387">
        <v>2</v>
      </c>
      <c r="AN387">
        <f t="shared" ref="AN387:AN396" si="151">IF(AND(M387=1,G387=0),1,0)</f>
        <v>0</v>
      </c>
      <c r="AO387">
        <f t="shared" ref="AO387:AO396" si="152">IF(AND(M387=1,AI387=1),1,0)</f>
        <v>0</v>
      </c>
      <c r="AP387">
        <f t="shared" ref="AP387:AP396" si="153">IF(AND(L387=1,AI387=1),1,0)</f>
        <v>0</v>
      </c>
      <c r="AQ387">
        <v>10</v>
      </c>
      <c r="AR387">
        <v>9</v>
      </c>
      <c r="AS387">
        <v>10</v>
      </c>
    </row>
    <row r="388" spans="1:45" x14ac:dyDescent="0.2">
      <c r="A388" t="s">
        <v>54</v>
      </c>
      <c r="B388" t="s">
        <v>35</v>
      </c>
      <c r="C388">
        <v>18</v>
      </c>
      <c r="D388" t="s">
        <v>53</v>
      </c>
      <c r="E388" t="s">
        <v>37</v>
      </c>
      <c r="F388" t="s">
        <v>45</v>
      </c>
      <c r="G388">
        <f t="shared" si="137"/>
        <v>1</v>
      </c>
      <c r="H388">
        <v>4</v>
      </c>
      <c r="I388">
        <f t="shared" si="138"/>
        <v>0</v>
      </c>
      <c r="J388">
        <f t="shared" si="139"/>
        <v>0</v>
      </c>
      <c r="K388">
        <f t="shared" si="140"/>
        <v>0</v>
      </c>
      <c r="L388">
        <f t="shared" si="141"/>
        <v>0</v>
      </c>
      <c r="M388">
        <f t="shared" si="142"/>
        <v>1</v>
      </c>
      <c r="N388">
        <v>4</v>
      </c>
      <c r="O388">
        <f t="shared" si="132"/>
        <v>0</v>
      </c>
      <c r="P388">
        <f t="shared" si="133"/>
        <v>0</v>
      </c>
      <c r="Q388">
        <f t="shared" si="134"/>
        <v>0</v>
      </c>
      <c r="R388">
        <f t="shared" si="135"/>
        <v>0</v>
      </c>
      <c r="S388">
        <f t="shared" si="136"/>
        <v>1</v>
      </c>
      <c r="T388">
        <f t="shared" si="143"/>
        <v>1</v>
      </c>
      <c r="U388">
        <f t="shared" si="144"/>
        <v>0</v>
      </c>
      <c r="V388">
        <f t="shared" si="145"/>
        <v>0</v>
      </c>
      <c r="W388">
        <f t="shared" si="146"/>
        <v>0</v>
      </c>
      <c r="X388" t="s">
        <v>40</v>
      </c>
      <c r="Y388" t="s">
        <v>39</v>
      </c>
      <c r="Z388" t="s">
        <v>52</v>
      </c>
      <c r="AA388" t="s">
        <v>42</v>
      </c>
      <c r="AB388">
        <v>3</v>
      </c>
      <c r="AC388">
        <v>1</v>
      </c>
      <c r="AD388">
        <v>0</v>
      </c>
      <c r="AE388" t="s">
        <v>44</v>
      </c>
      <c r="AF388" t="s">
        <v>43</v>
      </c>
      <c r="AG388">
        <f t="shared" si="147"/>
        <v>1</v>
      </c>
      <c r="AH388" t="s">
        <v>43</v>
      </c>
      <c r="AI388">
        <f t="shared" si="148"/>
        <v>1</v>
      </c>
      <c r="AJ388" t="s">
        <v>43</v>
      </c>
      <c r="AK388">
        <f t="shared" si="149"/>
        <v>1</v>
      </c>
      <c r="AL388">
        <f t="shared" si="150"/>
        <v>1</v>
      </c>
      <c r="AM388">
        <v>7</v>
      </c>
      <c r="AN388">
        <f t="shared" si="151"/>
        <v>0</v>
      </c>
      <c r="AO388">
        <f t="shared" si="152"/>
        <v>1</v>
      </c>
      <c r="AP388">
        <f t="shared" si="153"/>
        <v>0</v>
      </c>
      <c r="AQ388">
        <v>6</v>
      </c>
      <c r="AR388">
        <v>5</v>
      </c>
      <c r="AS388">
        <v>6</v>
      </c>
    </row>
    <row r="389" spans="1:45" x14ac:dyDescent="0.2">
      <c r="A389" t="s">
        <v>54</v>
      </c>
      <c r="B389" t="s">
        <v>35</v>
      </c>
      <c r="C389">
        <v>19</v>
      </c>
      <c r="D389" t="s">
        <v>53</v>
      </c>
      <c r="E389" t="s">
        <v>37</v>
      </c>
      <c r="F389" t="s">
        <v>45</v>
      </c>
      <c r="G389">
        <f t="shared" si="137"/>
        <v>1</v>
      </c>
      <c r="H389">
        <v>2</v>
      </c>
      <c r="I389">
        <f t="shared" si="138"/>
        <v>0</v>
      </c>
      <c r="J389">
        <f t="shared" si="139"/>
        <v>0</v>
      </c>
      <c r="K389">
        <f t="shared" si="140"/>
        <v>1</v>
      </c>
      <c r="L389">
        <f t="shared" si="141"/>
        <v>0</v>
      </c>
      <c r="M389">
        <f t="shared" si="142"/>
        <v>0</v>
      </c>
      <c r="N389">
        <v>3</v>
      </c>
      <c r="O389">
        <f t="shared" si="132"/>
        <v>0</v>
      </c>
      <c r="P389">
        <f t="shared" si="133"/>
        <v>0</v>
      </c>
      <c r="Q389">
        <f t="shared" si="134"/>
        <v>0</v>
      </c>
      <c r="R389">
        <f t="shared" si="135"/>
        <v>1</v>
      </c>
      <c r="S389">
        <f t="shared" si="136"/>
        <v>0</v>
      </c>
      <c r="T389">
        <f t="shared" si="143"/>
        <v>0</v>
      </c>
      <c r="U389">
        <f t="shared" si="144"/>
        <v>0</v>
      </c>
      <c r="V389">
        <f t="shared" si="145"/>
        <v>0</v>
      </c>
      <c r="W389">
        <f t="shared" si="146"/>
        <v>0</v>
      </c>
      <c r="X389" t="s">
        <v>49</v>
      </c>
      <c r="Y389" t="s">
        <v>46</v>
      </c>
      <c r="Z389" t="s">
        <v>41</v>
      </c>
      <c r="AA389" t="s">
        <v>42</v>
      </c>
      <c r="AB389">
        <v>1</v>
      </c>
      <c r="AC389">
        <v>3</v>
      </c>
      <c r="AD389">
        <v>1</v>
      </c>
      <c r="AE389" t="s">
        <v>44</v>
      </c>
      <c r="AF389" t="s">
        <v>44</v>
      </c>
      <c r="AG389">
        <f t="shared" si="147"/>
        <v>0</v>
      </c>
      <c r="AH389" t="s">
        <v>44</v>
      </c>
      <c r="AI389">
        <f t="shared" si="148"/>
        <v>0</v>
      </c>
      <c r="AJ389" t="s">
        <v>43</v>
      </c>
      <c r="AK389">
        <f t="shared" si="149"/>
        <v>1</v>
      </c>
      <c r="AL389">
        <f t="shared" si="150"/>
        <v>0</v>
      </c>
      <c r="AM389">
        <v>0</v>
      </c>
      <c r="AN389">
        <f t="shared" si="151"/>
        <v>0</v>
      </c>
      <c r="AO389">
        <f t="shared" si="152"/>
        <v>0</v>
      </c>
      <c r="AP389">
        <f t="shared" si="153"/>
        <v>0</v>
      </c>
      <c r="AQ389">
        <v>7</v>
      </c>
      <c r="AR389">
        <v>5</v>
      </c>
      <c r="AS389">
        <v>0</v>
      </c>
    </row>
    <row r="390" spans="1:45" x14ac:dyDescent="0.2">
      <c r="A390" t="s">
        <v>54</v>
      </c>
      <c r="B390" t="s">
        <v>35</v>
      </c>
      <c r="C390">
        <v>18</v>
      </c>
      <c r="D390" t="s">
        <v>36</v>
      </c>
      <c r="E390" t="s">
        <v>48</v>
      </c>
      <c r="F390" t="s">
        <v>45</v>
      </c>
      <c r="G390">
        <f t="shared" si="137"/>
        <v>1</v>
      </c>
      <c r="H390">
        <v>3</v>
      </c>
      <c r="I390">
        <f t="shared" si="138"/>
        <v>0</v>
      </c>
      <c r="J390">
        <f t="shared" si="139"/>
        <v>0</v>
      </c>
      <c r="K390">
        <f t="shared" si="140"/>
        <v>0</v>
      </c>
      <c r="L390">
        <f t="shared" si="141"/>
        <v>1</v>
      </c>
      <c r="M390">
        <f t="shared" si="142"/>
        <v>0</v>
      </c>
      <c r="N390">
        <v>1</v>
      </c>
      <c r="O390">
        <f t="shared" si="132"/>
        <v>0</v>
      </c>
      <c r="P390">
        <f t="shared" si="133"/>
        <v>1</v>
      </c>
      <c r="Q390">
        <f t="shared" si="134"/>
        <v>0</v>
      </c>
      <c r="R390">
        <f t="shared" si="135"/>
        <v>0</v>
      </c>
      <c r="S390">
        <f t="shared" si="136"/>
        <v>0</v>
      </c>
      <c r="T390">
        <f t="shared" si="143"/>
        <v>0</v>
      </c>
      <c r="U390">
        <f t="shared" si="144"/>
        <v>0</v>
      </c>
      <c r="V390">
        <f t="shared" si="145"/>
        <v>0</v>
      </c>
      <c r="W390">
        <f t="shared" si="146"/>
        <v>0</v>
      </c>
      <c r="X390" t="s">
        <v>40</v>
      </c>
      <c r="Y390" t="s">
        <v>49</v>
      </c>
      <c r="Z390" t="s">
        <v>41</v>
      </c>
      <c r="AA390" t="s">
        <v>42</v>
      </c>
      <c r="AB390">
        <v>1</v>
      </c>
      <c r="AC390">
        <v>2</v>
      </c>
      <c r="AD390">
        <v>0</v>
      </c>
      <c r="AE390" t="s">
        <v>44</v>
      </c>
      <c r="AF390" t="s">
        <v>43</v>
      </c>
      <c r="AG390">
        <f t="shared" si="147"/>
        <v>1</v>
      </c>
      <c r="AH390" t="s">
        <v>43</v>
      </c>
      <c r="AI390">
        <f t="shared" si="148"/>
        <v>1</v>
      </c>
      <c r="AJ390" t="s">
        <v>43</v>
      </c>
      <c r="AK390">
        <f t="shared" si="149"/>
        <v>1</v>
      </c>
      <c r="AL390">
        <f t="shared" si="150"/>
        <v>1</v>
      </c>
      <c r="AM390">
        <v>0</v>
      </c>
      <c r="AN390">
        <f t="shared" si="151"/>
        <v>0</v>
      </c>
      <c r="AO390">
        <f t="shared" si="152"/>
        <v>0</v>
      </c>
      <c r="AP390">
        <f t="shared" si="153"/>
        <v>1</v>
      </c>
      <c r="AQ390">
        <v>7</v>
      </c>
      <c r="AR390">
        <v>9</v>
      </c>
      <c r="AS390">
        <v>8</v>
      </c>
    </row>
    <row r="391" spans="1:45" x14ac:dyDescent="0.2">
      <c r="A391" t="s">
        <v>54</v>
      </c>
      <c r="B391" t="s">
        <v>35</v>
      </c>
      <c r="C391">
        <v>18</v>
      </c>
      <c r="D391" t="s">
        <v>36</v>
      </c>
      <c r="E391" t="s">
        <v>37</v>
      </c>
      <c r="F391" t="s">
        <v>45</v>
      </c>
      <c r="G391">
        <f t="shared" si="137"/>
        <v>1</v>
      </c>
      <c r="H391">
        <v>1</v>
      </c>
      <c r="I391">
        <f t="shared" si="138"/>
        <v>0</v>
      </c>
      <c r="J391">
        <f t="shared" si="139"/>
        <v>1</v>
      </c>
      <c r="K391">
        <f t="shared" si="140"/>
        <v>0</v>
      </c>
      <c r="L391">
        <f t="shared" si="141"/>
        <v>0</v>
      </c>
      <c r="M391">
        <f t="shared" si="142"/>
        <v>0</v>
      </c>
      <c r="N391">
        <v>1</v>
      </c>
      <c r="O391">
        <f t="shared" si="132"/>
        <v>0</v>
      </c>
      <c r="P391">
        <f t="shared" si="133"/>
        <v>1</v>
      </c>
      <c r="Q391">
        <f t="shared" si="134"/>
        <v>0</v>
      </c>
      <c r="R391">
        <f t="shared" si="135"/>
        <v>0</v>
      </c>
      <c r="S391">
        <f t="shared" si="136"/>
        <v>0</v>
      </c>
      <c r="T391">
        <f t="shared" si="143"/>
        <v>0</v>
      </c>
      <c r="U391">
        <f t="shared" si="144"/>
        <v>0</v>
      </c>
      <c r="V391">
        <f t="shared" si="145"/>
        <v>0</v>
      </c>
      <c r="W391">
        <f t="shared" si="146"/>
        <v>0</v>
      </c>
      <c r="X391" t="s">
        <v>46</v>
      </c>
      <c r="Y391" t="s">
        <v>46</v>
      </c>
      <c r="Z391" t="s">
        <v>41</v>
      </c>
      <c r="AA391" t="s">
        <v>42</v>
      </c>
      <c r="AB391">
        <v>2</v>
      </c>
      <c r="AC391">
        <v>2</v>
      </c>
      <c r="AD391">
        <v>1</v>
      </c>
      <c r="AE391" t="s">
        <v>44</v>
      </c>
      <c r="AF391" t="s">
        <v>44</v>
      </c>
      <c r="AG391">
        <f t="shared" si="147"/>
        <v>0</v>
      </c>
      <c r="AH391" t="s">
        <v>44</v>
      </c>
      <c r="AI391">
        <f t="shared" si="148"/>
        <v>0</v>
      </c>
      <c r="AJ391" t="s">
        <v>44</v>
      </c>
      <c r="AK391">
        <f t="shared" si="149"/>
        <v>0</v>
      </c>
      <c r="AL391">
        <f t="shared" si="150"/>
        <v>0</v>
      </c>
      <c r="AM391">
        <v>0</v>
      </c>
      <c r="AN391">
        <f t="shared" si="151"/>
        <v>0</v>
      </c>
      <c r="AO391">
        <f t="shared" si="152"/>
        <v>0</v>
      </c>
      <c r="AP391">
        <f t="shared" si="153"/>
        <v>0</v>
      </c>
      <c r="AQ391">
        <v>6</v>
      </c>
      <c r="AR391">
        <v>5</v>
      </c>
      <c r="AS391">
        <v>0</v>
      </c>
    </row>
    <row r="392" spans="1:45" x14ac:dyDescent="0.2">
      <c r="A392" t="s">
        <v>54</v>
      </c>
      <c r="B392" t="s">
        <v>51</v>
      </c>
      <c r="C392">
        <v>20</v>
      </c>
      <c r="D392" t="s">
        <v>36</v>
      </c>
      <c r="E392" t="s">
        <v>48</v>
      </c>
      <c r="F392" t="s">
        <v>38</v>
      </c>
      <c r="G392">
        <f t="shared" si="137"/>
        <v>0</v>
      </c>
      <c r="H392">
        <v>2</v>
      </c>
      <c r="I392">
        <f t="shared" si="138"/>
        <v>0</v>
      </c>
      <c r="J392">
        <f t="shared" si="139"/>
        <v>0</v>
      </c>
      <c r="K392">
        <f t="shared" si="140"/>
        <v>1</v>
      </c>
      <c r="L392">
        <f t="shared" si="141"/>
        <v>0</v>
      </c>
      <c r="M392">
        <f t="shared" si="142"/>
        <v>0</v>
      </c>
      <c r="N392">
        <v>2</v>
      </c>
      <c r="O392">
        <f t="shared" si="132"/>
        <v>0</v>
      </c>
      <c r="P392">
        <f t="shared" si="133"/>
        <v>0</v>
      </c>
      <c r="Q392">
        <f t="shared" si="134"/>
        <v>1</v>
      </c>
      <c r="R392">
        <f t="shared" si="135"/>
        <v>0</v>
      </c>
      <c r="S392">
        <f t="shared" si="136"/>
        <v>0</v>
      </c>
      <c r="T392">
        <f t="shared" si="143"/>
        <v>0</v>
      </c>
      <c r="U392">
        <f t="shared" si="144"/>
        <v>0</v>
      </c>
      <c r="V392">
        <f t="shared" si="145"/>
        <v>0</v>
      </c>
      <c r="W392">
        <f t="shared" si="146"/>
        <v>0</v>
      </c>
      <c r="X392" t="s">
        <v>49</v>
      </c>
      <c r="Y392" t="s">
        <v>49</v>
      </c>
      <c r="Z392" t="s">
        <v>41</v>
      </c>
      <c r="AA392" t="s">
        <v>46</v>
      </c>
      <c r="AB392">
        <v>1</v>
      </c>
      <c r="AC392">
        <v>2</v>
      </c>
      <c r="AD392">
        <v>2</v>
      </c>
      <c r="AE392" t="s">
        <v>44</v>
      </c>
      <c r="AF392" t="s">
        <v>43</v>
      </c>
      <c r="AG392">
        <f t="shared" si="147"/>
        <v>1</v>
      </c>
      <c r="AH392" t="s">
        <v>43</v>
      </c>
      <c r="AI392">
        <f t="shared" si="148"/>
        <v>1</v>
      </c>
      <c r="AJ392" t="s">
        <v>44</v>
      </c>
      <c r="AK392">
        <f t="shared" si="149"/>
        <v>0</v>
      </c>
      <c r="AL392">
        <f t="shared" si="150"/>
        <v>0</v>
      </c>
      <c r="AM392">
        <v>11</v>
      </c>
      <c r="AN392">
        <f t="shared" si="151"/>
        <v>0</v>
      </c>
      <c r="AO392">
        <f t="shared" si="152"/>
        <v>0</v>
      </c>
      <c r="AP392">
        <f t="shared" si="153"/>
        <v>0</v>
      </c>
      <c r="AQ392">
        <v>9</v>
      </c>
      <c r="AR392">
        <v>9</v>
      </c>
      <c r="AS392">
        <v>9</v>
      </c>
    </row>
    <row r="393" spans="1:45" x14ac:dyDescent="0.2">
      <c r="A393" t="s">
        <v>54</v>
      </c>
      <c r="B393" t="s">
        <v>51</v>
      </c>
      <c r="C393">
        <v>17</v>
      </c>
      <c r="D393" t="s">
        <v>36</v>
      </c>
      <c r="E393" t="s">
        <v>48</v>
      </c>
      <c r="F393" t="s">
        <v>45</v>
      </c>
      <c r="G393">
        <f t="shared" si="137"/>
        <v>1</v>
      </c>
      <c r="H393">
        <v>3</v>
      </c>
      <c r="I393">
        <f t="shared" si="138"/>
        <v>0</v>
      </c>
      <c r="J393">
        <f t="shared" si="139"/>
        <v>0</v>
      </c>
      <c r="K393">
        <f t="shared" si="140"/>
        <v>0</v>
      </c>
      <c r="L393">
        <f t="shared" si="141"/>
        <v>1</v>
      </c>
      <c r="M393">
        <f t="shared" si="142"/>
        <v>0</v>
      </c>
      <c r="N393">
        <v>1</v>
      </c>
      <c r="O393">
        <f t="shared" si="132"/>
        <v>0</v>
      </c>
      <c r="P393">
        <f t="shared" si="133"/>
        <v>1</v>
      </c>
      <c r="Q393">
        <f t="shared" si="134"/>
        <v>0</v>
      </c>
      <c r="R393">
        <f t="shared" si="135"/>
        <v>0</v>
      </c>
      <c r="S393">
        <f t="shared" si="136"/>
        <v>0</v>
      </c>
      <c r="T393">
        <f t="shared" si="143"/>
        <v>0</v>
      </c>
      <c r="U393">
        <f t="shared" si="144"/>
        <v>0</v>
      </c>
      <c r="V393">
        <f t="shared" si="145"/>
        <v>0</v>
      </c>
      <c r="W393">
        <f t="shared" si="146"/>
        <v>0</v>
      </c>
      <c r="X393" t="s">
        <v>49</v>
      </c>
      <c r="Y393" t="s">
        <v>49</v>
      </c>
      <c r="Z393" t="s">
        <v>41</v>
      </c>
      <c r="AA393" t="s">
        <v>42</v>
      </c>
      <c r="AB393">
        <v>2</v>
      </c>
      <c r="AC393">
        <v>1</v>
      </c>
      <c r="AD393">
        <v>0</v>
      </c>
      <c r="AE393" t="s">
        <v>44</v>
      </c>
      <c r="AF393" t="s">
        <v>44</v>
      </c>
      <c r="AG393">
        <f t="shared" si="147"/>
        <v>0</v>
      </c>
      <c r="AH393" t="s">
        <v>44</v>
      </c>
      <c r="AI393">
        <f t="shared" si="148"/>
        <v>0</v>
      </c>
      <c r="AJ393" t="s">
        <v>43</v>
      </c>
      <c r="AK393">
        <f t="shared" si="149"/>
        <v>1</v>
      </c>
      <c r="AL393">
        <f t="shared" si="150"/>
        <v>0</v>
      </c>
      <c r="AM393">
        <v>3</v>
      </c>
      <c r="AN393">
        <f t="shared" si="151"/>
        <v>0</v>
      </c>
      <c r="AO393">
        <f t="shared" si="152"/>
        <v>0</v>
      </c>
      <c r="AP393">
        <f t="shared" si="153"/>
        <v>0</v>
      </c>
      <c r="AQ393">
        <v>14</v>
      </c>
      <c r="AR393">
        <v>16</v>
      </c>
      <c r="AS393">
        <v>16</v>
      </c>
    </row>
    <row r="394" spans="1:45" x14ac:dyDescent="0.2">
      <c r="A394" t="s">
        <v>54</v>
      </c>
      <c r="B394" t="s">
        <v>51</v>
      </c>
      <c r="C394">
        <v>21</v>
      </c>
      <c r="D394" t="s">
        <v>53</v>
      </c>
      <c r="E394" t="s">
        <v>37</v>
      </c>
      <c r="F394" t="s">
        <v>45</v>
      </c>
      <c r="G394">
        <f t="shared" si="137"/>
        <v>1</v>
      </c>
      <c r="H394">
        <v>1</v>
      </c>
      <c r="I394">
        <f t="shared" si="138"/>
        <v>0</v>
      </c>
      <c r="J394">
        <f t="shared" si="139"/>
        <v>1</v>
      </c>
      <c r="K394">
        <f t="shared" si="140"/>
        <v>0</v>
      </c>
      <c r="L394">
        <f t="shared" si="141"/>
        <v>0</v>
      </c>
      <c r="M394">
        <f t="shared" si="142"/>
        <v>0</v>
      </c>
      <c r="N394">
        <v>1</v>
      </c>
      <c r="O394">
        <f t="shared" si="132"/>
        <v>0</v>
      </c>
      <c r="P394">
        <f t="shared" si="133"/>
        <v>1</v>
      </c>
      <c r="Q394">
        <f t="shared" si="134"/>
        <v>0</v>
      </c>
      <c r="R394">
        <f t="shared" si="135"/>
        <v>0</v>
      </c>
      <c r="S394">
        <f t="shared" si="136"/>
        <v>0</v>
      </c>
      <c r="T394">
        <f t="shared" si="143"/>
        <v>0</v>
      </c>
      <c r="U394">
        <f t="shared" si="144"/>
        <v>0</v>
      </c>
      <c r="V394">
        <f t="shared" si="145"/>
        <v>0</v>
      </c>
      <c r="W394">
        <f t="shared" si="146"/>
        <v>0</v>
      </c>
      <c r="X394" t="s">
        <v>46</v>
      </c>
      <c r="Y394" t="s">
        <v>46</v>
      </c>
      <c r="Z394" t="s">
        <v>41</v>
      </c>
      <c r="AA394" t="s">
        <v>46</v>
      </c>
      <c r="AB394">
        <v>1</v>
      </c>
      <c r="AC394">
        <v>1</v>
      </c>
      <c r="AD394">
        <v>3</v>
      </c>
      <c r="AE394" t="s">
        <v>44</v>
      </c>
      <c r="AF394" t="s">
        <v>44</v>
      </c>
      <c r="AG394">
        <f t="shared" si="147"/>
        <v>0</v>
      </c>
      <c r="AH394" t="s">
        <v>44</v>
      </c>
      <c r="AI394">
        <f t="shared" si="148"/>
        <v>0</v>
      </c>
      <c r="AJ394" t="s">
        <v>44</v>
      </c>
      <c r="AK394">
        <f t="shared" si="149"/>
        <v>0</v>
      </c>
      <c r="AL394">
        <f t="shared" si="150"/>
        <v>0</v>
      </c>
      <c r="AM394">
        <v>3</v>
      </c>
      <c r="AN394">
        <f t="shared" si="151"/>
        <v>0</v>
      </c>
      <c r="AO394">
        <f t="shared" si="152"/>
        <v>0</v>
      </c>
      <c r="AP394">
        <f t="shared" si="153"/>
        <v>0</v>
      </c>
      <c r="AQ394">
        <v>10</v>
      </c>
      <c r="AR394">
        <v>8</v>
      </c>
      <c r="AS394">
        <v>7</v>
      </c>
    </row>
    <row r="395" spans="1:45" x14ac:dyDescent="0.2">
      <c r="A395" t="s">
        <v>54</v>
      </c>
      <c r="B395" t="s">
        <v>51</v>
      </c>
      <c r="C395">
        <v>18</v>
      </c>
      <c r="D395" t="s">
        <v>53</v>
      </c>
      <c r="E395" t="s">
        <v>48</v>
      </c>
      <c r="F395" t="s">
        <v>45</v>
      </c>
      <c r="G395">
        <f t="shared" si="137"/>
        <v>1</v>
      </c>
      <c r="H395">
        <v>3</v>
      </c>
      <c r="I395">
        <f t="shared" si="138"/>
        <v>0</v>
      </c>
      <c r="J395">
        <f t="shared" si="139"/>
        <v>0</v>
      </c>
      <c r="K395">
        <f t="shared" si="140"/>
        <v>0</v>
      </c>
      <c r="L395">
        <f t="shared" si="141"/>
        <v>1</v>
      </c>
      <c r="M395">
        <f t="shared" si="142"/>
        <v>0</v>
      </c>
      <c r="N395">
        <v>2</v>
      </c>
      <c r="O395">
        <f t="shared" si="132"/>
        <v>0</v>
      </c>
      <c r="P395">
        <f t="shared" si="133"/>
        <v>0</v>
      </c>
      <c r="Q395">
        <f t="shared" si="134"/>
        <v>1</v>
      </c>
      <c r="R395">
        <f t="shared" si="135"/>
        <v>0</v>
      </c>
      <c r="S395">
        <f t="shared" si="136"/>
        <v>0</v>
      </c>
      <c r="T395">
        <f t="shared" si="143"/>
        <v>0</v>
      </c>
      <c r="U395">
        <f t="shared" si="144"/>
        <v>0</v>
      </c>
      <c r="V395">
        <f t="shared" si="145"/>
        <v>0</v>
      </c>
      <c r="W395">
        <f t="shared" si="146"/>
        <v>0</v>
      </c>
      <c r="X395" t="s">
        <v>49</v>
      </c>
      <c r="Y395" t="s">
        <v>46</v>
      </c>
      <c r="Z395" t="s">
        <v>41</v>
      </c>
      <c r="AA395" t="s">
        <v>42</v>
      </c>
      <c r="AB395">
        <v>3</v>
      </c>
      <c r="AC395">
        <v>1</v>
      </c>
      <c r="AD395">
        <v>0</v>
      </c>
      <c r="AE395" t="s">
        <v>44</v>
      </c>
      <c r="AF395" t="s">
        <v>44</v>
      </c>
      <c r="AG395">
        <f t="shared" si="147"/>
        <v>0</v>
      </c>
      <c r="AH395" t="s">
        <v>44</v>
      </c>
      <c r="AI395">
        <f t="shared" si="148"/>
        <v>0</v>
      </c>
      <c r="AJ395" t="s">
        <v>43</v>
      </c>
      <c r="AK395">
        <f t="shared" si="149"/>
        <v>1</v>
      </c>
      <c r="AL395">
        <f t="shared" si="150"/>
        <v>0</v>
      </c>
      <c r="AM395">
        <v>0</v>
      </c>
      <c r="AN395">
        <f t="shared" si="151"/>
        <v>0</v>
      </c>
      <c r="AO395">
        <f t="shared" si="152"/>
        <v>0</v>
      </c>
      <c r="AP395">
        <f t="shared" si="153"/>
        <v>0</v>
      </c>
      <c r="AQ395">
        <v>11</v>
      </c>
      <c r="AR395">
        <v>12</v>
      </c>
      <c r="AS395">
        <v>10</v>
      </c>
    </row>
    <row r="396" spans="1:45" x14ac:dyDescent="0.2">
      <c r="A396" t="s">
        <v>54</v>
      </c>
      <c r="B396" t="s">
        <v>51</v>
      </c>
      <c r="C396">
        <v>19</v>
      </c>
      <c r="D396" t="s">
        <v>36</v>
      </c>
      <c r="E396" t="s">
        <v>48</v>
      </c>
      <c r="F396" t="s">
        <v>45</v>
      </c>
      <c r="G396">
        <f t="shared" si="137"/>
        <v>1</v>
      </c>
      <c r="H396">
        <v>1</v>
      </c>
      <c r="I396">
        <f t="shared" si="138"/>
        <v>0</v>
      </c>
      <c r="J396">
        <f t="shared" si="139"/>
        <v>1</v>
      </c>
      <c r="K396">
        <f t="shared" si="140"/>
        <v>0</v>
      </c>
      <c r="L396">
        <f t="shared" si="141"/>
        <v>0</v>
      </c>
      <c r="M396">
        <f t="shared" si="142"/>
        <v>0</v>
      </c>
      <c r="N396">
        <v>1</v>
      </c>
      <c r="O396">
        <f t="shared" si="132"/>
        <v>0</v>
      </c>
      <c r="P396">
        <f t="shared" si="133"/>
        <v>1</v>
      </c>
      <c r="Q396">
        <f t="shared" si="134"/>
        <v>0</v>
      </c>
      <c r="R396">
        <f t="shared" si="135"/>
        <v>0</v>
      </c>
      <c r="S396">
        <f t="shared" si="136"/>
        <v>0</v>
      </c>
      <c r="T396">
        <f t="shared" si="143"/>
        <v>0</v>
      </c>
      <c r="U396">
        <f t="shared" si="144"/>
        <v>0</v>
      </c>
      <c r="V396">
        <f t="shared" si="145"/>
        <v>0</v>
      </c>
      <c r="W396">
        <f t="shared" si="146"/>
        <v>0</v>
      </c>
      <c r="X396" t="s">
        <v>46</v>
      </c>
      <c r="Y396" t="s">
        <v>39</v>
      </c>
      <c r="Z396" t="s">
        <v>41</v>
      </c>
      <c r="AA396" t="s">
        <v>47</v>
      </c>
      <c r="AB396">
        <v>1</v>
      </c>
      <c r="AC396">
        <v>1</v>
      </c>
      <c r="AD396">
        <v>0</v>
      </c>
      <c r="AE396" t="s">
        <v>44</v>
      </c>
      <c r="AF396" t="s">
        <v>44</v>
      </c>
      <c r="AG396">
        <f t="shared" si="147"/>
        <v>0</v>
      </c>
      <c r="AH396" t="s">
        <v>44</v>
      </c>
      <c r="AI396">
        <f t="shared" si="148"/>
        <v>0</v>
      </c>
      <c r="AJ396" t="s">
        <v>43</v>
      </c>
      <c r="AK396">
        <f t="shared" si="149"/>
        <v>1</v>
      </c>
      <c r="AL396">
        <f t="shared" si="150"/>
        <v>0</v>
      </c>
      <c r="AM396">
        <v>5</v>
      </c>
      <c r="AN396">
        <f t="shared" si="151"/>
        <v>0</v>
      </c>
      <c r="AO396">
        <f t="shared" si="152"/>
        <v>0</v>
      </c>
      <c r="AP396">
        <f t="shared" si="153"/>
        <v>0</v>
      </c>
      <c r="AQ396">
        <v>8</v>
      </c>
      <c r="AR396">
        <v>9</v>
      </c>
      <c r="AS396">
        <v>9</v>
      </c>
    </row>
    <row r="398" spans="1:45" x14ac:dyDescent="0.2">
      <c r="G398">
        <f>COUNTIF(G2:G396,1)</f>
        <v>354</v>
      </c>
      <c r="I398">
        <f>COUNTIF(I2:I396,1)</f>
        <v>3</v>
      </c>
      <c r="J398">
        <f>COUNTIF(J2:J396,1)</f>
        <v>59</v>
      </c>
      <c r="K398">
        <f>COUNTIF(K2:K396,1)</f>
        <v>103</v>
      </c>
      <c r="L398">
        <f>COUNTIF(L2:L396,1)</f>
        <v>99</v>
      </c>
      <c r="M398">
        <f>COUNTIF(M2:M396,1)</f>
        <v>131</v>
      </c>
      <c r="O398">
        <f t="shared" ref="O398:W398" si="154">COUNTIF(O2:O396,1)</f>
        <v>2</v>
      </c>
      <c r="P398">
        <f t="shared" si="154"/>
        <v>82</v>
      </c>
      <c r="Q398">
        <f t="shared" si="154"/>
        <v>115</v>
      </c>
      <c r="R398">
        <f t="shared" si="154"/>
        <v>100</v>
      </c>
      <c r="S398">
        <f t="shared" si="154"/>
        <v>96</v>
      </c>
      <c r="T398">
        <f t="shared" si="154"/>
        <v>70</v>
      </c>
      <c r="U398">
        <f t="shared" si="154"/>
        <v>40</v>
      </c>
      <c r="V398">
        <f t="shared" si="154"/>
        <v>20</v>
      </c>
      <c r="W398">
        <f t="shared" si="154"/>
        <v>18</v>
      </c>
      <c r="AG398">
        <f>COUNTIF(AG2:AG396,1)</f>
        <v>242</v>
      </c>
      <c r="AI398">
        <f>COUNTIF(AI2:AI396,1)</f>
        <v>181</v>
      </c>
      <c r="AK398">
        <f>COUNTIF(AK2:AK396,1)</f>
        <v>329</v>
      </c>
      <c r="AL398">
        <f>COUNTIF(AL2:AL396,1)</f>
        <v>162</v>
      </c>
      <c r="AN398">
        <f>COUNTIF(AN2:AN396,1)</f>
        <v>15</v>
      </c>
      <c r="AO398">
        <f>COUNTIF(AO2:AO396,1)</f>
        <v>75</v>
      </c>
      <c r="AP398">
        <f>COUNTIF(AP2:AP396,1)</f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A552-4857-6642-ABF8-F5E72902BF1B}">
  <dimension ref="A1:C16"/>
  <sheetViews>
    <sheetView workbookViewId="0">
      <selection activeCell="B15" sqref="B15:C16"/>
    </sheetView>
  </sheetViews>
  <sheetFormatPr baseColWidth="10" defaultRowHeight="16" x14ac:dyDescent="0.2"/>
  <cols>
    <col min="1" max="1" width="32.5" customWidth="1"/>
    <col min="2" max="2" width="28.1640625" customWidth="1"/>
    <col min="3" max="3" width="23" customWidth="1"/>
  </cols>
  <sheetData>
    <row r="1" spans="1:3" ht="21" customHeight="1" x14ac:dyDescent="0.2">
      <c r="A1" t="s">
        <v>113</v>
      </c>
      <c r="B1" s="2" t="s">
        <v>86</v>
      </c>
      <c r="C1" t="s">
        <v>114</v>
      </c>
    </row>
    <row r="2" spans="1:3" x14ac:dyDescent="0.2">
      <c r="A2" t="s">
        <v>99</v>
      </c>
      <c r="B2" s="3">
        <v>0.20755164348183844</v>
      </c>
      <c r="C2" s="3">
        <v>-0.36041494046165007</v>
      </c>
    </row>
    <row r="3" spans="1:3" x14ac:dyDescent="0.2">
      <c r="A3" t="s">
        <v>101</v>
      </c>
      <c r="B3" s="3">
        <v>-1.4176083577279182E-2</v>
      </c>
      <c r="C3" s="3">
        <v>7.7996355328256314E-2</v>
      </c>
    </row>
    <row r="4" spans="1:3" x14ac:dyDescent="0.2">
      <c r="A4" t="s">
        <v>100</v>
      </c>
      <c r="B4" s="3">
        <v>-8.9177222149654733E-2</v>
      </c>
      <c r="C4" s="3">
        <v>-1.1026483034355416E-2</v>
      </c>
    </row>
    <row r="5" spans="1:3" x14ac:dyDescent="0.2">
      <c r="A5" t="s">
        <v>102</v>
      </c>
      <c r="B5" s="3">
        <v>-0.15909638685275587</v>
      </c>
      <c r="C5" s="3">
        <v>0.19396773144131946</v>
      </c>
    </row>
    <row r="6" spans="1:3" x14ac:dyDescent="0.2">
      <c r="A6" t="s">
        <v>103</v>
      </c>
      <c r="B6" s="3">
        <v>0.11756943852306562</v>
      </c>
      <c r="C6" s="3">
        <v>-0.15163920364440503</v>
      </c>
    </row>
    <row r="7" spans="1:3" x14ac:dyDescent="0.2">
      <c r="A7" t="s">
        <v>104</v>
      </c>
      <c r="B7" s="3">
        <v>3.1150610073590285E-2</v>
      </c>
      <c r="C7" s="3">
        <v>-9.7344673797956513E-2</v>
      </c>
    </row>
    <row r="8" spans="1:3" x14ac:dyDescent="0.2">
      <c r="A8" t="s">
        <v>105</v>
      </c>
      <c r="B8" s="3">
        <v>-2.1614299878318893E-2</v>
      </c>
      <c r="C8" s="3">
        <v>1.1777359828343119E-2</v>
      </c>
    </row>
    <row r="9" spans="1:3" x14ac:dyDescent="0.2">
      <c r="A9" t="s">
        <v>112</v>
      </c>
      <c r="B9" s="3">
        <v>-0.14057186781201134</v>
      </c>
      <c r="C9" s="3">
        <v>0.25715068489394377</v>
      </c>
    </row>
    <row r="10" spans="1:3" x14ac:dyDescent="0.2">
      <c r="A10" t="s">
        <v>98</v>
      </c>
      <c r="B10" s="3">
        <v>0.12596812957139036</v>
      </c>
      <c r="C10" s="3">
        <v>-0.1463299629601344</v>
      </c>
    </row>
    <row r="11" spans="1:3" x14ac:dyDescent="0.2">
      <c r="A11" t="s">
        <v>107</v>
      </c>
      <c r="B11" s="3">
        <v>8.325056849364805E-2</v>
      </c>
      <c r="C11" s="3">
        <v>-0.12843587808243254</v>
      </c>
    </row>
    <row r="12" spans="1:3" x14ac:dyDescent="0.2">
      <c r="A12" t="s">
        <v>108</v>
      </c>
      <c r="B12" s="3">
        <v>0.11279456681672823</v>
      </c>
      <c r="C12" s="3">
        <v>-4.1721452916450436E-2</v>
      </c>
    </row>
    <row r="13" spans="1:3" x14ac:dyDescent="0.2">
      <c r="A13" t="s">
        <v>111</v>
      </c>
      <c r="B13" s="3">
        <v>-3.839833162472945E-2</v>
      </c>
      <c r="C13" s="3">
        <v>-1.6592874765707335E-2</v>
      </c>
    </row>
    <row r="14" spans="1:3" x14ac:dyDescent="0.2">
      <c r="A14" t="s">
        <v>125</v>
      </c>
      <c r="B14" s="3">
        <v>2.828791688651516E-2</v>
      </c>
      <c r="C14" s="3">
        <v>-7.1560938756005429E-2</v>
      </c>
    </row>
    <row r="15" spans="1:3" x14ac:dyDescent="0.2">
      <c r="A15" t="s">
        <v>127</v>
      </c>
      <c r="B15" s="3">
        <v>0.10560799419032288</v>
      </c>
      <c r="C15" s="3">
        <v>-0.14829908316744303</v>
      </c>
    </row>
    <row r="16" spans="1:3" x14ac:dyDescent="0.2">
      <c r="A16" t="s">
        <v>131</v>
      </c>
      <c r="B16" s="3">
        <v>6.4910370749648658E-2</v>
      </c>
      <c r="C16" s="3">
        <v>-1.5446631217041061E-2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64CE-6A01-E74D-8238-1BF4788B80F5}">
  <dimension ref="A1:Q521"/>
  <sheetViews>
    <sheetView workbookViewId="0"/>
  </sheetViews>
  <sheetFormatPr baseColWidth="10" defaultRowHeight="16" x14ac:dyDescent="0.2"/>
  <cols>
    <col min="1" max="1" width="4.33203125" bestFit="1" customWidth="1"/>
    <col min="2" max="2" width="7.33203125" bestFit="1" customWidth="1"/>
    <col min="3" max="3" width="7.6640625" bestFit="1" customWidth="1"/>
    <col min="4" max="4" width="9.33203125" bestFit="1" customWidth="1"/>
    <col min="5" max="5" width="17" bestFit="1" customWidth="1"/>
    <col min="6" max="6" width="9.1640625" bestFit="1" customWidth="1"/>
    <col min="7" max="7" width="10" bestFit="1" customWidth="1"/>
    <col min="8" max="8" width="12.83203125" bestFit="1" customWidth="1"/>
    <col min="9" max="9" width="12.6640625" bestFit="1" customWidth="1"/>
    <col min="10" max="10" width="6.6640625" bestFit="1" customWidth="1"/>
    <col min="11" max="11" width="9.1640625" bestFit="1" customWidth="1"/>
    <col min="12" max="12" width="14" bestFit="1" customWidth="1"/>
    <col min="13" max="13" width="12.83203125" bestFit="1" customWidth="1"/>
    <col min="14" max="14" width="17.1640625" customWidth="1"/>
    <col min="15" max="15" width="10.83203125" customWidth="1"/>
    <col min="16" max="16" width="15.33203125" customWidth="1"/>
    <col min="17" max="17" width="14.33203125" customWidth="1"/>
  </cols>
  <sheetData>
    <row r="1" spans="1:17" x14ac:dyDescent="0.2">
      <c r="A1" t="s">
        <v>55</v>
      </c>
      <c r="B1" t="s">
        <v>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r="2" spans="1:17" x14ac:dyDescent="0.2">
      <c r="A2">
        <v>40</v>
      </c>
      <c r="B2" t="s">
        <v>71</v>
      </c>
      <c r="C2" t="s">
        <v>72</v>
      </c>
      <c r="D2" t="s">
        <v>73</v>
      </c>
      <c r="E2" t="s">
        <v>72</v>
      </c>
      <c r="F2" t="s">
        <v>73</v>
      </c>
      <c r="G2" t="s">
        <v>72</v>
      </c>
      <c r="H2" t="s">
        <v>72</v>
      </c>
      <c r="I2" t="s">
        <v>72</v>
      </c>
      <c r="J2" t="s">
        <v>73</v>
      </c>
      <c r="K2" t="s">
        <v>72</v>
      </c>
      <c r="L2" t="s">
        <v>73</v>
      </c>
      <c r="M2" t="s">
        <v>72</v>
      </c>
      <c r="N2" t="s">
        <v>73</v>
      </c>
      <c r="O2" t="s">
        <v>73</v>
      </c>
      <c r="P2" t="s">
        <v>73</v>
      </c>
      <c r="Q2" t="s">
        <v>74</v>
      </c>
    </row>
    <row r="3" spans="1:17" x14ac:dyDescent="0.2">
      <c r="A3">
        <v>58</v>
      </c>
      <c r="B3" t="s">
        <v>71</v>
      </c>
      <c r="C3" t="s">
        <v>72</v>
      </c>
      <c r="D3" t="s">
        <v>72</v>
      </c>
      <c r="E3" t="s">
        <v>72</v>
      </c>
      <c r="F3" t="s">
        <v>73</v>
      </c>
      <c r="G3" t="s">
        <v>72</v>
      </c>
      <c r="H3" t="s">
        <v>72</v>
      </c>
      <c r="I3" t="s">
        <v>73</v>
      </c>
      <c r="J3" t="s">
        <v>72</v>
      </c>
      <c r="K3" t="s">
        <v>72</v>
      </c>
      <c r="L3" t="s">
        <v>72</v>
      </c>
      <c r="M3" t="s">
        <v>73</v>
      </c>
      <c r="N3" t="s">
        <v>72</v>
      </c>
      <c r="O3" t="s">
        <v>73</v>
      </c>
      <c r="P3" t="s">
        <v>72</v>
      </c>
      <c r="Q3" t="s">
        <v>74</v>
      </c>
    </row>
    <row r="4" spans="1:17" x14ac:dyDescent="0.2">
      <c r="A4">
        <v>41</v>
      </c>
      <c r="B4" t="s">
        <v>71</v>
      </c>
      <c r="C4" t="s">
        <v>73</v>
      </c>
      <c r="D4" t="s">
        <v>72</v>
      </c>
      <c r="E4" t="s">
        <v>72</v>
      </c>
      <c r="F4" t="s">
        <v>73</v>
      </c>
      <c r="G4" t="s">
        <v>73</v>
      </c>
      <c r="H4" t="s">
        <v>72</v>
      </c>
      <c r="I4" t="s">
        <v>72</v>
      </c>
      <c r="J4" t="s">
        <v>73</v>
      </c>
      <c r="K4" t="s">
        <v>72</v>
      </c>
      <c r="L4" t="s">
        <v>73</v>
      </c>
      <c r="M4" t="s">
        <v>72</v>
      </c>
      <c r="N4" t="s">
        <v>73</v>
      </c>
      <c r="O4" t="s">
        <v>73</v>
      </c>
      <c r="P4" t="s">
        <v>72</v>
      </c>
      <c r="Q4" t="s">
        <v>74</v>
      </c>
    </row>
    <row r="5" spans="1:17" x14ac:dyDescent="0.2">
      <c r="A5">
        <v>45</v>
      </c>
      <c r="B5" t="s">
        <v>71</v>
      </c>
      <c r="C5" t="s">
        <v>72</v>
      </c>
      <c r="D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72</v>
      </c>
      <c r="J5" t="s">
        <v>73</v>
      </c>
      <c r="K5" t="s">
        <v>72</v>
      </c>
      <c r="L5" t="s">
        <v>73</v>
      </c>
      <c r="M5" t="s">
        <v>72</v>
      </c>
      <c r="N5" t="s">
        <v>72</v>
      </c>
      <c r="O5" t="s">
        <v>72</v>
      </c>
      <c r="P5" t="s">
        <v>72</v>
      </c>
      <c r="Q5" t="s">
        <v>74</v>
      </c>
    </row>
    <row r="6" spans="1:17" x14ac:dyDescent="0.2">
      <c r="A6">
        <v>60</v>
      </c>
      <c r="B6" t="s">
        <v>71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74</v>
      </c>
    </row>
    <row r="7" spans="1:17" x14ac:dyDescent="0.2">
      <c r="A7">
        <v>55</v>
      </c>
      <c r="B7" t="s">
        <v>71</v>
      </c>
      <c r="C7" t="s">
        <v>73</v>
      </c>
      <c r="D7" t="s">
        <v>73</v>
      </c>
      <c r="E7" t="s">
        <v>72</v>
      </c>
      <c r="F7" t="s">
        <v>73</v>
      </c>
      <c r="G7" t="s">
        <v>73</v>
      </c>
      <c r="H7" t="s">
        <v>72</v>
      </c>
      <c r="I7" t="s">
        <v>73</v>
      </c>
      <c r="J7" t="s">
        <v>73</v>
      </c>
      <c r="K7" t="s">
        <v>72</v>
      </c>
      <c r="L7" t="s">
        <v>73</v>
      </c>
      <c r="M7" t="s">
        <v>72</v>
      </c>
      <c r="N7" t="s">
        <v>73</v>
      </c>
      <c r="O7" t="s">
        <v>73</v>
      </c>
      <c r="P7" t="s">
        <v>73</v>
      </c>
      <c r="Q7" t="s">
        <v>74</v>
      </c>
    </row>
    <row r="8" spans="1:17" x14ac:dyDescent="0.2">
      <c r="A8">
        <v>57</v>
      </c>
      <c r="B8" t="s">
        <v>71</v>
      </c>
      <c r="C8" t="s">
        <v>73</v>
      </c>
      <c r="D8" t="s">
        <v>73</v>
      </c>
      <c r="E8" t="s">
        <v>72</v>
      </c>
      <c r="F8" t="s">
        <v>73</v>
      </c>
      <c r="G8" t="s">
        <v>73</v>
      </c>
      <c r="H8" t="s">
        <v>73</v>
      </c>
      <c r="I8" t="s">
        <v>72</v>
      </c>
      <c r="J8" t="s">
        <v>72</v>
      </c>
      <c r="K8" t="s">
        <v>72</v>
      </c>
      <c r="L8" t="s">
        <v>73</v>
      </c>
      <c r="M8" t="s">
        <v>73</v>
      </c>
      <c r="N8" t="s">
        <v>72</v>
      </c>
      <c r="O8" t="s">
        <v>72</v>
      </c>
      <c r="P8" t="s">
        <v>72</v>
      </c>
      <c r="Q8" t="s">
        <v>74</v>
      </c>
    </row>
    <row r="9" spans="1:17" x14ac:dyDescent="0.2">
      <c r="A9">
        <v>66</v>
      </c>
      <c r="B9" t="s">
        <v>71</v>
      </c>
      <c r="C9" t="s">
        <v>73</v>
      </c>
      <c r="D9" t="s">
        <v>73</v>
      </c>
      <c r="E9" t="s">
        <v>73</v>
      </c>
      <c r="F9" t="s">
        <v>73</v>
      </c>
      <c r="G9" t="s">
        <v>72</v>
      </c>
      <c r="H9" t="s">
        <v>72</v>
      </c>
      <c r="I9" t="s">
        <v>73</v>
      </c>
      <c r="J9" t="s">
        <v>73</v>
      </c>
      <c r="K9" t="s">
        <v>73</v>
      </c>
      <c r="L9" t="s">
        <v>72</v>
      </c>
      <c r="M9" t="s">
        <v>73</v>
      </c>
      <c r="N9" t="s">
        <v>73</v>
      </c>
      <c r="O9" t="s">
        <v>72</v>
      </c>
      <c r="P9" t="s">
        <v>72</v>
      </c>
      <c r="Q9" t="s">
        <v>74</v>
      </c>
    </row>
    <row r="10" spans="1:17" x14ac:dyDescent="0.2">
      <c r="A10">
        <v>67</v>
      </c>
      <c r="B10" t="s">
        <v>71</v>
      </c>
      <c r="C10" t="s">
        <v>73</v>
      </c>
      <c r="D10" t="s">
        <v>73</v>
      </c>
      <c r="E10" t="s">
        <v>72</v>
      </c>
      <c r="F10" t="s">
        <v>73</v>
      </c>
      <c r="G10" t="s">
        <v>73</v>
      </c>
      <c r="H10" t="s">
        <v>73</v>
      </c>
      <c r="I10" t="s">
        <v>72</v>
      </c>
      <c r="J10" t="s">
        <v>73</v>
      </c>
      <c r="K10" t="s">
        <v>73</v>
      </c>
      <c r="L10" t="s">
        <v>72</v>
      </c>
      <c r="M10" t="s">
        <v>73</v>
      </c>
      <c r="N10" t="s">
        <v>73</v>
      </c>
      <c r="O10" t="s">
        <v>72</v>
      </c>
      <c r="P10" t="s">
        <v>73</v>
      </c>
      <c r="Q10" t="s">
        <v>74</v>
      </c>
    </row>
    <row r="11" spans="1:17" x14ac:dyDescent="0.2">
      <c r="A11">
        <v>70</v>
      </c>
      <c r="B11" t="s">
        <v>71</v>
      </c>
      <c r="C11" t="s">
        <v>72</v>
      </c>
      <c r="D11" t="s">
        <v>73</v>
      </c>
      <c r="E11" t="s">
        <v>73</v>
      </c>
      <c r="F11" t="s">
        <v>73</v>
      </c>
      <c r="G11" t="s">
        <v>73</v>
      </c>
      <c r="H11" t="s">
        <v>72</v>
      </c>
      <c r="I11" t="s">
        <v>73</v>
      </c>
      <c r="J11" t="s">
        <v>73</v>
      </c>
      <c r="K11" t="s">
        <v>73</v>
      </c>
      <c r="L11" t="s">
        <v>72</v>
      </c>
      <c r="M11" t="s">
        <v>72</v>
      </c>
      <c r="N11" t="s">
        <v>72</v>
      </c>
      <c r="O11" t="s">
        <v>73</v>
      </c>
      <c r="P11" t="s">
        <v>72</v>
      </c>
      <c r="Q11" t="s">
        <v>74</v>
      </c>
    </row>
    <row r="12" spans="1:17" x14ac:dyDescent="0.2">
      <c r="A12">
        <v>44</v>
      </c>
      <c r="B12" t="s">
        <v>71</v>
      </c>
      <c r="C12" t="s">
        <v>73</v>
      </c>
      <c r="D12" t="s">
        <v>73</v>
      </c>
      <c r="E12" t="s">
        <v>72</v>
      </c>
      <c r="F12" t="s">
        <v>73</v>
      </c>
      <c r="G12" t="s">
        <v>72</v>
      </c>
      <c r="H12" t="s">
        <v>73</v>
      </c>
      <c r="I12" t="s">
        <v>72</v>
      </c>
      <c r="J12" t="s">
        <v>72</v>
      </c>
      <c r="K12" t="s">
        <v>73</v>
      </c>
      <c r="L12" t="s">
        <v>73</v>
      </c>
      <c r="M12" t="s">
        <v>72</v>
      </c>
      <c r="N12" t="s">
        <v>73</v>
      </c>
      <c r="O12" t="s">
        <v>73</v>
      </c>
      <c r="P12" t="s">
        <v>72</v>
      </c>
      <c r="Q12" t="s">
        <v>74</v>
      </c>
    </row>
    <row r="13" spans="1:17" x14ac:dyDescent="0.2">
      <c r="A13">
        <v>38</v>
      </c>
      <c r="B13" t="s">
        <v>71</v>
      </c>
      <c r="C13" t="s">
        <v>73</v>
      </c>
      <c r="D13" t="s">
        <v>73</v>
      </c>
      <c r="E13" t="s">
        <v>72</v>
      </c>
      <c r="F13" t="s">
        <v>72</v>
      </c>
      <c r="G13" t="s">
        <v>73</v>
      </c>
      <c r="H13" t="s">
        <v>73</v>
      </c>
      <c r="I13" t="s">
        <v>72</v>
      </c>
      <c r="J13" t="s">
        <v>73</v>
      </c>
      <c r="K13" t="s">
        <v>72</v>
      </c>
      <c r="L13" t="s">
        <v>73</v>
      </c>
      <c r="M13" t="s">
        <v>72</v>
      </c>
      <c r="N13" t="s">
        <v>73</v>
      </c>
      <c r="O13" t="s">
        <v>72</v>
      </c>
      <c r="P13" t="s">
        <v>72</v>
      </c>
      <c r="Q13" t="s">
        <v>74</v>
      </c>
    </row>
    <row r="14" spans="1:17" x14ac:dyDescent="0.2">
      <c r="A14">
        <v>35</v>
      </c>
      <c r="B14" t="s">
        <v>71</v>
      </c>
      <c r="C14" t="s">
        <v>73</v>
      </c>
      <c r="D14" t="s">
        <v>72</v>
      </c>
      <c r="E14" t="s">
        <v>72</v>
      </c>
      <c r="F14" t="s">
        <v>72</v>
      </c>
      <c r="G14" t="s">
        <v>73</v>
      </c>
      <c r="H14" t="s">
        <v>73</v>
      </c>
      <c r="I14" t="s">
        <v>72</v>
      </c>
      <c r="J14" t="s">
        <v>72</v>
      </c>
      <c r="K14" t="s">
        <v>73</v>
      </c>
      <c r="L14" t="s">
        <v>73</v>
      </c>
      <c r="M14" t="s">
        <v>72</v>
      </c>
      <c r="N14" t="s">
        <v>72</v>
      </c>
      <c r="O14" t="s">
        <v>73</v>
      </c>
      <c r="P14" t="s">
        <v>72</v>
      </c>
      <c r="Q14" t="s">
        <v>74</v>
      </c>
    </row>
    <row r="15" spans="1:17" x14ac:dyDescent="0.2">
      <c r="A15">
        <v>61</v>
      </c>
      <c r="B15" t="s">
        <v>71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72</v>
      </c>
      <c r="L15" t="s">
        <v>72</v>
      </c>
      <c r="M15" t="s">
        <v>72</v>
      </c>
      <c r="N15" t="s">
        <v>72</v>
      </c>
      <c r="O15" t="s">
        <v>73</v>
      </c>
      <c r="P15" t="s">
        <v>73</v>
      </c>
      <c r="Q15" t="s">
        <v>74</v>
      </c>
    </row>
    <row r="16" spans="1:17" x14ac:dyDescent="0.2">
      <c r="A16">
        <v>60</v>
      </c>
      <c r="B16" t="s">
        <v>71</v>
      </c>
      <c r="C16" t="s">
        <v>73</v>
      </c>
      <c r="D16" t="s">
        <v>73</v>
      </c>
      <c r="E16" t="s">
        <v>72</v>
      </c>
      <c r="F16" t="s">
        <v>73</v>
      </c>
      <c r="G16" t="s">
        <v>73</v>
      </c>
      <c r="H16" t="s">
        <v>72</v>
      </c>
      <c r="I16" t="s">
        <v>73</v>
      </c>
      <c r="J16" t="s">
        <v>73</v>
      </c>
      <c r="K16" t="s">
        <v>72</v>
      </c>
      <c r="L16" t="s">
        <v>73</v>
      </c>
      <c r="M16" t="s">
        <v>73</v>
      </c>
      <c r="N16" t="s">
        <v>72</v>
      </c>
      <c r="O16" t="s">
        <v>72</v>
      </c>
      <c r="P16" t="s">
        <v>72</v>
      </c>
      <c r="Q16" t="s">
        <v>74</v>
      </c>
    </row>
    <row r="17" spans="1:17" x14ac:dyDescent="0.2">
      <c r="A17">
        <v>58</v>
      </c>
      <c r="B17" t="s">
        <v>71</v>
      </c>
      <c r="C17" t="s">
        <v>73</v>
      </c>
      <c r="D17" t="s">
        <v>73</v>
      </c>
      <c r="E17" t="s">
        <v>72</v>
      </c>
      <c r="F17" t="s">
        <v>73</v>
      </c>
      <c r="G17" t="s">
        <v>73</v>
      </c>
      <c r="H17" t="s">
        <v>72</v>
      </c>
      <c r="I17" t="s">
        <v>72</v>
      </c>
      <c r="J17" t="s">
        <v>72</v>
      </c>
      <c r="K17" t="s">
        <v>72</v>
      </c>
      <c r="L17" t="s">
        <v>73</v>
      </c>
      <c r="M17" t="s">
        <v>73</v>
      </c>
      <c r="N17" t="s">
        <v>73</v>
      </c>
      <c r="O17" t="s">
        <v>72</v>
      </c>
      <c r="P17" t="s">
        <v>72</v>
      </c>
      <c r="Q17" t="s">
        <v>74</v>
      </c>
    </row>
    <row r="18" spans="1:17" x14ac:dyDescent="0.2">
      <c r="A18">
        <v>54</v>
      </c>
      <c r="B18" t="s">
        <v>71</v>
      </c>
      <c r="C18" t="s">
        <v>73</v>
      </c>
      <c r="D18" t="s">
        <v>73</v>
      </c>
      <c r="E18" t="s">
        <v>73</v>
      </c>
      <c r="F18" t="s">
        <v>73</v>
      </c>
      <c r="G18" t="s">
        <v>72</v>
      </c>
      <c r="H18" t="s">
        <v>73</v>
      </c>
      <c r="I18" t="s">
        <v>72</v>
      </c>
      <c r="J18" t="s">
        <v>72</v>
      </c>
      <c r="K18" t="s">
        <v>72</v>
      </c>
      <c r="L18" t="s">
        <v>73</v>
      </c>
      <c r="M18" t="s">
        <v>72</v>
      </c>
      <c r="N18" t="s">
        <v>73</v>
      </c>
      <c r="O18" t="s">
        <v>72</v>
      </c>
      <c r="P18" t="s">
        <v>72</v>
      </c>
      <c r="Q18" t="s">
        <v>74</v>
      </c>
    </row>
    <row r="19" spans="1:17" x14ac:dyDescent="0.2">
      <c r="A19">
        <v>67</v>
      </c>
      <c r="B19" t="s">
        <v>71</v>
      </c>
      <c r="C19" t="s">
        <v>72</v>
      </c>
      <c r="D19" t="s">
        <v>73</v>
      </c>
      <c r="E19" t="s">
        <v>72</v>
      </c>
      <c r="F19" t="s">
        <v>73</v>
      </c>
      <c r="G19" t="s">
        <v>73</v>
      </c>
      <c r="H19" t="s">
        <v>72</v>
      </c>
      <c r="I19" t="s">
        <v>73</v>
      </c>
      <c r="J19" t="s">
        <v>72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74</v>
      </c>
    </row>
    <row r="20" spans="1:17" x14ac:dyDescent="0.2">
      <c r="A20">
        <v>66</v>
      </c>
      <c r="B20" t="s">
        <v>71</v>
      </c>
      <c r="C20" t="s">
        <v>73</v>
      </c>
      <c r="D20" t="s">
        <v>73</v>
      </c>
      <c r="E20" t="s">
        <v>72</v>
      </c>
      <c r="F20" t="s">
        <v>73</v>
      </c>
      <c r="G20" t="s">
        <v>73</v>
      </c>
      <c r="H20" t="s">
        <v>72</v>
      </c>
      <c r="I20" t="s">
        <v>73</v>
      </c>
      <c r="J20" t="s">
        <v>72</v>
      </c>
      <c r="K20" t="s">
        <v>72</v>
      </c>
      <c r="L20" t="s">
        <v>72</v>
      </c>
      <c r="M20" t="s">
        <v>73</v>
      </c>
      <c r="N20" t="s">
        <v>73</v>
      </c>
      <c r="O20" t="s">
        <v>72</v>
      </c>
      <c r="P20" t="s">
        <v>72</v>
      </c>
      <c r="Q20" t="s">
        <v>74</v>
      </c>
    </row>
    <row r="21" spans="1:17" x14ac:dyDescent="0.2">
      <c r="A21">
        <v>43</v>
      </c>
      <c r="B21" t="s">
        <v>71</v>
      </c>
      <c r="C21" t="s">
        <v>73</v>
      </c>
      <c r="D21" t="s">
        <v>73</v>
      </c>
      <c r="E21" t="s">
        <v>73</v>
      </c>
      <c r="F21" t="s">
        <v>73</v>
      </c>
      <c r="G21" t="s">
        <v>72</v>
      </c>
      <c r="H21" t="s">
        <v>73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74</v>
      </c>
    </row>
    <row r="22" spans="1:17" x14ac:dyDescent="0.2">
      <c r="A22">
        <v>62</v>
      </c>
      <c r="B22" t="s">
        <v>71</v>
      </c>
      <c r="C22" t="s">
        <v>73</v>
      </c>
      <c r="D22" t="s">
        <v>73</v>
      </c>
      <c r="E22" t="s">
        <v>72</v>
      </c>
      <c r="F22" t="s">
        <v>73</v>
      </c>
      <c r="G22" t="s">
        <v>73</v>
      </c>
      <c r="H22" t="s">
        <v>72</v>
      </c>
      <c r="I22" t="s">
        <v>73</v>
      </c>
      <c r="J22" t="s">
        <v>72</v>
      </c>
      <c r="K22" t="s">
        <v>73</v>
      </c>
      <c r="L22" t="s">
        <v>72</v>
      </c>
      <c r="M22" t="s">
        <v>73</v>
      </c>
      <c r="N22" t="s">
        <v>73</v>
      </c>
      <c r="O22" t="s">
        <v>72</v>
      </c>
      <c r="P22" t="s">
        <v>72</v>
      </c>
      <c r="Q22" t="s">
        <v>74</v>
      </c>
    </row>
    <row r="23" spans="1:17" x14ac:dyDescent="0.2">
      <c r="A23">
        <v>54</v>
      </c>
      <c r="B23" t="s">
        <v>71</v>
      </c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72</v>
      </c>
      <c r="L23" t="s">
        <v>73</v>
      </c>
      <c r="M23" t="s">
        <v>72</v>
      </c>
      <c r="N23" t="s">
        <v>73</v>
      </c>
      <c r="O23" t="s">
        <v>73</v>
      </c>
      <c r="P23" t="s">
        <v>72</v>
      </c>
      <c r="Q23" t="s">
        <v>74</v>
      </c>
    </row>
    <row r="24" spans="1:17" x14ac:dyDescent="0.2">
      <c r="A24">
        <v>39</v>
      </c>
      <c r="B24" t="s">
        <v>71</v>
      </c>
      <c r="C24" t="s">
        <v>73</v>
      </c>
      <c r="D24" t="s">
        <v>72</v>
      </c>
      <c r="E24" t="s">
        <v>73</v>
      </c>
      <c r="F24" t="s">
        <v>72</v>
      </c>
      <c r="G24" t="s">
        <v>72</v>
      </c>
      <c r="H24" t="s">
        <v>73</v>
      </c>
      <c r="I24" t="s">
        <v>72</v>
      </c>
      <c r="J24" t="s">
        <v>73</v>
      </c>
      <c r="K24" t="s">
        <v>73</v>
      </c>
      <c r="L24" t="s">
        <v>72</v>
      </c>
      <c r="M24" t="s">
        <v>72</v>
      </c>
      <c r="N24" t="s">
        <v>72</v>
      </c>
      <c r="O24" t="s">
        <v>73</v>
      </c>
      <c r="P24" t="s">
        <v>72</v>
      </c>
      <c r="Q24" t="s">
        <v>74</v>
      </c>
    </row>
    <row r="25" spans="1:17" x14ac:dyDescent="0.2">
      <c r="A25">
        <v>48</v>
      </c>
      <c r="B25" t="s">
        <v>71</v>
      </c>
      <c r="C25" t="s">
        <v>72</v>
      </c>
      <c r="D25" t="s">
        <v>73</v>
      </c>
      <c r="E25" t="s">
        <v>73</v>
      </c>
      <c r="F25" t="s">
        <v>73</v>
      </c>
      <c r="G25" t="s">
        <v>72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72</v>
      </c>
      <c r="N25" t="s">
        <v>72</v>
      </c>
      <c r="O25" t="s">
        <v>72</v>
      </c>
      <c r="P25" t="s">
        <v>72</v>
      </c>
      <c r="Q25" t="s">
        <v>74</v>
      </c>
    </row>
    <row r="26" spans="1:17" x14ac:dyDescent="0.2">
      <c r="A26">
        <v>58</v>
      </c>
      <c r="B26" t="s">
        <v>71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72</v>
      </c>
      <c r="I26" t="s">
        <v>73</v>
      </c>
      <c r="J26" t="s">
        <v>72</v>
      </c>
      <c r="K26" t="s">
        <v>72</v>
      </c>
      <c r="L26" t="s">
        <v>73</v>
      </c>
      <c r="M26" t="s">
        <v>73</v>
      </c>
      <c r="N26" t="s">
        <v>73</v>
      </c>
      <c r="O26" t="s">
        <v>72</v>
      </c>
      <c r="P26" t="s">
        <v>73</v>
      </c>
      <c r="Q26" t="s">
        <v>74</v>
      </c>
    </row>
    <row r="27" spans="1:17" x14ac:dyDescent="0.2">
      <c r="A27">
        <v>32</v>
      </c>
      <c r="B27" t="s">
        <v>71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73</v>
      </c>
      <c r="I27" t="s">
        <v>72</v>
      </c>
      <c r="J27" t="s">
        <v>72</v>
      </c>
      <c r="K27" t="s">
        <v>73</v>
      </c>
      <c r="L27" t="s">
        <v>73</v>
      </c>
      <c r="M27" t="s">
        <v>72</v>
      </c>
      <c r="N27" t="s">
        <v>72</v>
      </c>
      <c r="O27" t="s">
        <v>72</v>
      </c>
      <c r="P27" t="s">
        <v>73</v>
      </c>
      <c r="Q27" t="s">
        <v>74</v>
      </c>
    </row>
    <row r="28" spans="1:17" x14ac:dyDescent="0.2">
      <c r="A28">
        <v>42</v>
      </c>
      <c r="B28" t="s">
        <v>71</v>
      </c>
      <c r="C28" t="s">
        <v>72</v>
      </c>
      <c r="D28" t="s">
        <v>72</v>
      </c>
      <c r="E28" t="s">
        <v>72</v>
      </c>
      <c r="F28" t="s">
        <v>73</v>
      </c>
      <c r="G28" t="s">
        <v>73</v>
      </c>
      <c r="H28" t="s">
        <v>72</v>
      </c>
      <c r="I28" t="s">
        <v>72</v>
      </c>
      <c r="J28" t="s">
        <v>72</v>
      </c>
      <c r="K28" t="s">
        <v>73</v>
      </c>
      <c r="L28" t="s">
        <v>72</v>
      </c>
      <c r="M28" t="s">
        <v>72</v>
      </c>
      <c r="N28" t="s">
        <v>73</v>
      </c>
      <c r="O28" t="s">
        <v>72</v>
      </c>
      <c r="P28" t="s">
        <v>72</v>
      </c>
      <c r="Q28" t="s">
        <v>74</v>
      </c>
    </row>
    <row r="29" spans="1:17" x14ac:dyDescent="0.2">
      <c r="A29">
        <v>52</v>
      </c>
      <c r="B29" t="s">
        <v>71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72</v>
      </c>
      <c r="I29" t="s">
        <v>73</v>
      </c>
      <c r="J29" t="s">
        <v>73</v>
      </c>
      <c r="K29" t="s">
        <v>72</v>
      </c>
      <c r="L29" t="s">
        <v>73</v>
      </c>
      <c r="M29" t="s">
        <v>73</v>
      </c>
      <c r="N29" t="s">
        <v>73</v>
      </c>
      <c r="O29" t="s">
        <v>72</v>
      </c>
      <c r="P29" t="s">
        <v>72</v>
      </c>
      <c r="Q29" t="s">
        <v>74</v>
      </c>
    </row>
    <row r="30" spans="1:17" x14ac:dyDescent="0.2">
      <c r="A30">
        <v>38</v>
      </c>
      <c r="B30" t="s">
        <v>71</v>
      </c>
      <c r="C30" t="s">
        <v>72</v>
      </c>
      <c r="D30" t="s">
        <v>73</v>
      </c>
      <c r="E30" t="s">
        <v>72</v>
      </c>
      <c r="F30" t="s">
        <v>72</v>
      </c>
      <c r="G30" t="s">
        <v>72</v>
      </c>
      <c r="H30" t="s">
        <v>73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  <c r="N30" t="s">
        <v>72</v>
      </c>
      <c r="O30" t="s">
        <v>73</v>
      </c>
      <c r="P30" t="s">
        <v>72</v>
      </c>
      <c r="Q30" t="s">
        <v>74</v>
      </c>
    </row>
    <row r="31" spans="1:17" x14ac:dyDescent="0.2">
      <c r="A31">
        <v>53</v>
      </c>
      <c r="B31" t="s">
        <v>71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72</v>
      </c>
      <c r="I31" t="s">
        <v>73</v>
      </c>
      <c r="J31" t="s">
        <v>72</v>
      </c>
      <c r="K31" t="s">
        <v>73</v>
      </c>
      <c r="L31" t="s">
        <v>72</v>
      </c>
      <c r="M31" t="s">
        <v>73</v>
      </c>
      <c r="N31" t="s">
        <v>72</v>
      </c>
      <c r="O31" t="s">
        <v>73</v>
      </c>
      <c r="P31" t="s">
        <v>72</v>
      </c>
      <c r="Q31" t="s">
        <v>74</v>
      </c>
    </row>
    <row r="32" spans="1:17" x14ac:dyDescent="0.2">
      <c r="A32">
        <v>57</v>
      </c>
      <c r="B32" t="s">
        <v>71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72</v>
      </c>
      <c r="I32" t="s">
        <v>73</v>
      </c>
      <c r="J32" t="s">
        <v>72</v>
      </c>
      <c r="K32" t="s">
        <v>72</v>
      </c>
      <c r="L32" t="s">
        <v>72</v>
      </c>
      <c r="M32" t="s">
        <v>73</v>
      </c>
      <c r="N32" t="s">
        <v>72</v>
      </c>
      <c r="O32" t="s">
        <v>72</v>
      </c>
      <c r="P32" t="s">
        <v>72</v>
      </c>
      <c r="Q32" t="s">
        <v>74</v>
      </c>
    </row>
    <row r="33" spans="1:17" x14ac:dyDescent="0.2">
      <c r="A33">
        <v>41</v>
      </c>
      <c r="B33" t="s">
        <v>71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72</v>
      </c>
      <c r="M33" t="s">
        <v>72</v>
      </c>
      <c r="N33" t="s">
        <v>72</v>
      </c>
      <c r="O33" t="s">
        <v>72</v>
      </c>
      <c r="P33" t="s">
        <v>73</v>
      </c>
      <c r="Q33" t="s">
        <v>74</v>
      </c>
    </row>
    <row r="34" spans="1:17" x14ac:dyDescent="0.2">
      <c r="A34">
        <v>37</v>
      </c>
      <c r="B34" t="s">
        <v>71</v>
      </c>
      <c r="C34" t="s">
        <v>72</v>
      </c>
      <c r="D34" t="s">
        <v>72</v>
      </c>
      <c r="E34" t="s">
        <v>72</v>
      </c>
      <c r="F34" t="s">
        <v>73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73</v>
      </c>
      <c r="M34" t="s">
        <v>72</v>
      </c>
      <c r="N34" t="s">
        <v>72</v>
      </c>
      <c r="O34" t="s">
        <v>73</v>
      </c>
      <c r="P34" t="s">
        <v>72</v>
      </c>
      <c r="Q34" t="s">
        <v>74</v>
      </c>
    </row>
    <row r="35" spans="1:17" x14ac:dyDescent="0.2">
      <c r="A35">
        <v>54</v>
      </c>
      <c r="B35" t="s">
        <v>71</v>
      </c>
      <c r="C35" t="s">
        <v>73</v>
      </c>
      <c r="D35" t="s">
        <v>73</v>
      </c>
      <c r="E35" t="s">
        <v>73</v>
      </c>
      <c r="F35" t="s">
        <v>73</v>
      </c>
      <c r="G35" t="s">
        <v>72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72</v>
      </c>
      <c r="P35" t="s">
        <v>72</v>
      </c>
      <c r="Q35" t="s">
        <v>74</v>
      </c>
    </row>
    <row r="36" spans="1:17" x14ac:dyDescent="0.2">
      <c r="A36">
        <v>49</v>
      </c>
      <c r="B36" t="s">
        <v>71</v>
      </c>
      <c r="C36" t="s">
        <v>73</v>
      </c>
      <c r="D36" t="s">
        <v>73</v>
      </c>
      <c r="E36" t="s">
        <v>72</v>
      </c>
      <c r="F36" t="s">
        <v>73</v>
      </c>
      <c r="G36" t="s">
        <v>72</v>
      </c>
      <c r="H36" t="s">
        <v>72</v>
      </c>
      <c r="I36" t="s">
        <v>73</v>
      </c>
      <c r="J36" t="s">
        <v>73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74</v>
      </c>
    </row>
    <row r="37" spans="1:17" x14ac:dyDescent="0.2">
      <c r="A37">
        <v>48</v>
      </c>
      <c r="B37" t="s">
        <v>71</v>
      </c>
      <c r="C37" t="s">
        <v>73</v>
      </c>
      <c r="D37" t="s">
        <v>73</v>
      </c>
      <c r="E37" t="s">
        <v>72</v>
      </c>
      <c r="F37" t="s">
        <v>73</v>
      </c>
      <c r="G37" t="s">
        <v>72</v>
      </c>
      <c r="H37" t="s">
        <v>73</v>
      </c>
      <c r="I37" t="s">
        <v>73</v>
      </c>
      <c r="J37" t="s">
        <v>73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74</v>
      </c>
    </row>
    <row r="38" spans="1:17" x14ac:dyDescent="0.2">
      <c r="A38">
        <v>60</v>
      </c>
      <c r="B38" t="s">
        <v>71</v>
      </c>
      <c r="C38" t="s">
        <v>73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73</v>
      </c>
      <c r="J38" t="s">
        <v>72</v>
      </c>
      <c r="K38" t="s">
        <v>72</v>
      </c>
      <c r="L38" t="s">
        <v>72</v>
      </c>
      <c r="M38" t="s">
        <v>73</v>
      </c>
      <c r="N38" t="s">
        <v>72</v>
      </c>
      <c r="O38" t="s">
        <v>73</v>
      </c>
      <c r="P38" t="s">
        <v>72</v>
      </c>
      <c r="Q38" t="s">
        <v>74</v>
      </c>
    </row>
    <row r="39" spans="1:17" x14ac:dyDescent="0.2">
      <c r="A39">
        <v>63</v>
      </c>
      <c r="B39" t="s">
        <v>71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72</v>
      </c>
      <c r="I39" t="s">
        <v>73</v>
      </c>
      <c r="J39" t="s">
        <v>72</v>
      </c>
      <c r="K39" t="s">
        <v>72</v>
      </c>
      <c r="L39" t="s">
        <v>72</v>
      </c>
      <c r="M39" t="s">
        <v>72</v>
      </c>
      <c r="N39" t="s">
        <v>73</v>
      </c>
      <c r="O39" t="s">
        <v>73</v>
      </c>
      <c r="P39" t="s">
        <v>73</v>
      </c>
      <c r="Q39" t="s">
        <v>74</v>
      </c>
    </row>
    <row r="40" spans="1:17" x14ac:dyDescent="0.2">
      <c r="A40">
        <v>35</v>
      </c>
      <c r="B40" t="s">
        <v>71</v>
      </c>
      <c r="C40" t="s">
        <v>73</v>
      </c>
      <c r="D40" t="s">
        <v>72</v>
      </c>
      <c r="E40" t="s">
        <v>73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73</v>
      </c>
      <c r="N40" t="s">
        <v>72</v>
      </c>
      <c r="O40" t="s">
        <v>73</v>
      </c>
      <c r="P40" t="s">
        <v>72</v>
      </c>
      <c r="Q40" t="s">
        <v>74</v>
      </c>
    </row>
    <row r="41" spans="1:17" x14ac:dyDescent="0.2">
      <c r="A41">
        <v>30</v>
      </c>
      <c r="B41" t="s">
        <v>75</v>
      </c>
      <c r="C41" t="s">
        <v>73</v>
      </c>
      <c r="D41" t="s">
        <v>72</v>
      </c>
      <c r="E41" t="s">
        <v>73</v>
      </c>
      <c r="F41" t="s">
        <v>73</v>
      </c>
      <c r="G41" t="s">
        <v>73</v>
      </c>
      <c r="H41" t="s">
        <v>72</v>
      </c>
      <c r="I41" t="s">
        <v>72</v>
      </c>
      <c r="J41" t="s">
        <v>72</v>
      </c>
      <c r="K41" t="s">
        <v>72</v>
      </c>
      <c r="L41" t="s">
        <v>73</v>
      </c>
      <c r="M41" t="s">
        <v>72</v>
      </c>
      <c r="N41" t="s">
        <v>72</v>
      </c>
      <c r="O41" t="s">
        <v>72</v>
      </c>
      <c r="P41" t="s">
        <v>72</v>
      </c>
      <c r="Q41" t="s">
        <v>74</v>
      </c>
    </row>
    <row r="42" spans="1:17" x14ac:dyDescent="0.2">
      <c r="A42">
        <v>53</v>
      </c>
      <c r="B42" t="s">
        <v>75</v>
      </c>
      <c r="C42" t="s">
        <v>72</v>
      </c>
      <c r="D42" t="s">
        <v>73</v>
      </c>
      <c r="E42" t="s">
        <v>73</v>
      </c>
      <c r="F42" t="s">
        <v>72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72</v>
      </c>
      <c r="N42" t="s">
        <v>73</v>
      </c>
      <c r="O42" t="s">
        <v>72</v>
      </c>
      <c r="P42" t="s">
        <v>72</v>
      </c>
      <c r="Q42" t="s">
        <v>74</v>
      </c>
    </row>
    <row r="43" spans="1:17" x14ac:dyDescent="0.2">
      <c r="A43">
        <v>50</v>
      </c>
      <c r="B43" t="s">
        <v>75</v>
      </c>
      <c r="C43" t="s">
        <v>73</v>
      </c>
      <c r="D43" t="s">
        <v>73</v>
      </c>
      <c r="E43" t="s">
        <v>73</v>
      </c>
      <c r="F43" t="s">
        <v>72</v>
      </c>
      <c r="G43" t="s">
        <v>73</v>
      </c>
      <c r="H43" t="s">
        <v>72</v>
      </c>
      <c r="I43" t="s">
        <v>72</v>
      </c>
      <c r="J43" t="s">
        <v>72</v>
      </c>
      <c r="K43" t="s">
        <v>72</v>
      </c>
      <c r="L43" t="s">
        <v>73</v>
      </c>
      <c r="M43" t="s">
        <v>73</v>
      </c>
      <c r="N43" t="s">
        <v>72</v>
      </c>
      <c r="O43" t="s">
        <v>72</v>
      </c>
      <c r="P43" t="s">
        <v>72</v>
      </c>
      <c r="Q43" t="s">
        <v>74</v>
      </c>
    </row>
    <row r="44" spans="1:17" x14ac:dyDescent="0.2">
      <c r="A44">
        <v>50</v>
      </c>
      <c r="B44" t="s">
        <v>75</v>
      </c>
      <c r="C44" t="s">
        <v>72</v>
      </c>
      <c r="D44" t="s">
        <v>73</v>
      </c>
      <c r="E44" t="s">
        <v>72</v>
      </c>
      <c r="F44" t="s">
        <v>73</v>
      </c>
      <c r="G44" t="s">
        <v>73</v>
      </c>
      <c r="H44" t="s">
        <v>72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72</v>
      </c>
      <c r="P44" t="s">
        <v>72</v>
      </c>
      <c r="Q44" t="s">
        <v>74</v>
      </c>
    </row>
    <row r="45" spans="1:17" x14ac:dyDescent="0.2">
      <c r="A45">
        <v>35</v>
      </c>
      <c r="B45" t="s">
        <v>75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72</v>
      </c>
      <c r="I45" t="s">
        <v>72</v>
      </c>
      <c r="J45" t="s">
        <v>73</v>
      </c>
      <c r="K45" t="s">
        <v>72</v>
      </c>
      <c r="L45" t="s">
        <v>73</v>
      </c>
      <c r="M45" t="s">
        <v>73</v>
      </c>
      <c r="N45" t="s">
        <v>73</v>
      </c>
      <c r="O45" t="s">
        <v>72</v>
      </c>
      <c r="P45" t="s">
        <v>72</v>
      </c>
      <c r="Q45" t="s">
        <v>74</v>
      </c>
    </row>
    <row r="46" spans="1:17" x14ac:dyDescent="0.2">
      <c r="A46">
        <v>40</v>
      </c>
      <c r="B46" t="s">
        <v>75</v>
      </c>
      <c r="C46" t="s">
        <v>73</v>
      </c>
      <c r="D46" t="s">
        <v>73</v>
      </c>
      <c r="E46" t="s">
        <v>73</v>
      </c>
      <c r="F46" t="s">
        <v>73</v>
      </c>
      <c r="G46" t="s">
        <v>72</v>
      </c>
      <c r="H46" t="s">
        <v>72</v>
      </c>
      <c r="I46" t="s">
        <v>73</v>
      </c>
      <c r="J46" t="s">
        <v>73</v>
      </c>
      <c r="K46" t="s">
        <v>72</v>
      </c>
      <c r="L46" t="s">
        <v>72</v>
      </c>
      <c r="M46" t="s">
        <v>73</v>
      </c>
      <c r="N46" t="s">
        <v>73</v>
      </c>
      <c r="O46" t="s">
        <v>72</v>
      </c>
      <c r="P46" t="s">
        <v>72</v>
      </c>
      <c r="Q46" t="s">
        <v>74</v>
      </c>
    </row>
    <row r="47" spans="1:17" x14ac:dyDescent="0.2">
      <c r="A47">
        <v>48</v>
      </c>
      <c r="B47" t="s">
        <v>75</v>
      </c>
      <c r="C47" t="s">
        <v>72</v>
      </c>
      <c r="D47" t="s">
        <v>72</v>
      </c>
      <c r="E47" t="s">
        <v>73</v>
      </c>
      <c r="F47" t="s">
        <v>73</v>
      </c>
      <c r="G47" t="s">
        <v>72</v>
      </c>
      <c r="H47" t="s">
        <v>72</v>
      </c>
      <c r="I47" t="s">
        <v>73</v>
      </c>
      <c r="J47" t="s">
        <v>73</v>
      </c>
      <c r="K47" t="s">
        <v>72</v>
      </c>
      <c r="L47" t="s">
        <v>73</v>
      </c>
      <c r="M47" t="s">
        <v>73</v>
      </c>
      <c r="N47" t="s">
        <v>72</v>
      </c>
      <c r="O47" t="s">
        <v>72</v>
      </c>
      <c r="P47" t="s">
        <v>72</v>
      </c>
      <c r="Q47" t="s">
        <v>74</v>
      </c>
    </row>
    <row r="48" spans="1:17" x14ac:dyDescent="0.2">
      <c r="A48">
        <v>60</v>
      </c>
      <c r="B48" t="s">
        <v>75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72</v>
      </c>
      <c r="I48" t="s">
        <v>73</v>
      </c>
      <c r="J48" t="s">
        <v>73</v>
      </c>
      <c r="K48" t="s">
        <v>72</v>
      </c>
      <c r="L48" t="s">
        <v>73</v>
      </c>
      <c r="M48" t="s">
        <v>73</v>
      </c>
      <c r="N48" t="s">
        <v>73</v>
      </c>
      <c r="O48" t="s">
        <v>72</v>
      </c>
      <c r="P48" t="s">
        <v>73</v>
      </c>
      <c r="Q48" t="s">
        <v>74</v>
      </c>
    </row>
    <row r="49" spans="1:17" x14ac:dyDescent="0.2">
      <c r="A49">
        <v>60</v>
      </c>
      <c r="B49" t="s">
        <v>75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72</v>
      </c>
      <c r="I49" t="s">
        <v>73</v>
      </c>
      <c r="J49" t="s">
        <v>73</v>
      </c>
      <c r="K49" t="s">
        <v>72</v>
      </c>
      <c r="L49" t="s">
        <v>72</v>
      </c>
      <c r="M49" t="s">
        <v>73</v>
      </c>
      <c r="N49" t="s">
        <v>73</v>
      </c>
      <c r="O49" t="s">
        <v>72</v>
      </c>
      <c r="P49" t="s">
        <v>72</v>
      </c>
      <c r="Q49" t="s">
        <v>74</v>
      </c>
    </row>
    <row r="50" spans="1:17" x14ac:dyDescent="0.2">
      <c r="A50">
        <v>35</v>
      </c>
      <c r="B50" t="s">
        <v>75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72</v>
      </c>
      <c r="I50" t="s">
        <v>73</v>
      </c>
      <c r="J50" t="s">
        <v>73</v>
      </c>
      <c r="K50" t="s">
        <v>72</v>
      </c>
      <c r="L50" t="s">
        <v>73</v>
      </c>
      <c r="M50" t="s">
        <v>72</v>
      </c>
      <c r="N50" t="s">
        <v>73</v>
      </c>
      <c r="O50" t="s">
        <v>72</v>
      </c>
      <c r="P50" t="s">
        <v>73</v>
      </c>
      <c r="Q50" t="s">
        <v>74</v>
      </c>
    </row>
    <row r="51" spans="1:17" x14ac:dyDescent="0.2">
      <c r="A51">
        <v>46</v>
      </c>
      <c r="B51" t="s">
        <v>75</v>
      </c>
      <c r="C51" t="s">
        <v>73</v>
      </c>
      <c r="D51" t="s">
        <v>72</v>
      </c>
      <c r="E51" t="s">
        <v>73</v>
      </c>
      <c r="F51" t="s">
        <v>73</v>
      </c>
      <c r="G51" t="s">
        <v>72</v>
      </c>
      <c r="H51" t="s">
        <v>72</v>
      </c>
      <c r="I51" t="s">
        <v>73</v>
      </c>
      <c r="J51" t="s">
        <v>72</v>
      </c>
      <c r="K51" t="s">
        <v>72</v>
      </c>
      <c r="L51" t="s">
        <v>73</v>
      </c>
      <c r="M51" t="s">
        <v>73</v>
      </c>
      <c r="N51" t="s">
        <v>73</v>
      </c>
      <c r="O51" t="s">
        <v>72</v>
      </c>
      <c r="P51" t="s">
        <v>72</v>
      </c>
      <c r="Q51" t="s">
        <v>74</v>
      </c>
    </row>
    <row r="52" spans="1:17" x14ac:dyDescent="0.2">
      <c r="A52">
        <v>36</v>
      </c>
      <c r="B52" t="s">
        <v>75</v>
      </c>
      <c r="C52" t="s">
        <v>73</v>
      </c>
      <c r="D52" t="s">
        <v>73</v>
      </c>
      <c r="E52" t="s">
        <v>73</v>
      </c>
      <c r="F52" t="s">
        <v>72</v>
      </c>
      <c r="G52" t="s">
        <v>73</v>
      </c>
      <c r="H52" t="s">
        <v>72</v>
      </c>
      <c r="I52" t="s">
        <v>73</v>
      </c>
      <c r="J52" t="s">
        <v>72</v>
      </c>
      <c r="K52" t="s">
        <v>73</v>
      </c>
      <c r="L52" t="s">
        <v>73</v>
      </c>
      <c r="M52" t="s">
        <v>73</v>
      </c>
      <c r="N52" t="s">
        <v>73</v>
      </c>
      <c r="O52" t="s">
        <v>72</v>
      </c>
      <c r="P52" t="s">
        <v>72</v>
      </c>
      <c r="Q52" t="s">
        <v>74</v>
      </c>
    </row>
    <row r="53" spans="1:17" x14ac:dyDescent="0.2">
      <c r="A53">
        <v>50</v>
      </c>
      <c r="B53" t="s">
        <v>75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72</v>
      </c>
      <c r="I53" t="s">
        <v>73</v>
      </c>
      <c r="J53" t="s">
        <v>72</v>
      </c>
      <c r="K53" t="s">
        <v>72</v>
      </c>
      <c r="L53" t="s">
        <v>72</v>
      </c>
      <c r="M53" t="s">
        <v>73</v>
      </c>
      <c r="N53" t="s">
        <v>72</v>
      </c>
      <c r="O53" t="s">
        <v>72</v>
      </c>
      <c r="P53" t="s">
        <v>72</v>
      </c>
      <c r="Q53" t="s">
        <v>74</v>
      </c>
    </row>
    <row r="54" spans="1:17" x14ac:dyDescent="0.2">
      <c r="A54">
        <v>60</v>
      </c>
      <c r="B54" t="s">
        <v>75</v>
      </c>
      <c r="C54" t="s">
        <v>72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  <c r="J54" t="s">
        <v>72</v>
      </c>
      <c r="K54" t="s">
        <v>73</v>
      </c>
      <c r="L54" t="s">
        <v>73</v>
      </c>
      <c r="M54" t="s">
        <v>73</v>
      </c>
      <c r="N54" t="s">
        <v>73</v>
      </c>
      <c r="O54" t="s">
        <v>72</v>
      </c>
      <c r="P54" t="s">
        <v>72</v>
      </c>
      <c r="Q54" t="s">
        <v>74</v>
      </c>
    </row>
    <row r="55" spans="1:17" x14ac:dyDescent="0.2">
      <c r="A55">
        <v>50</v>
      </c>
      <c r="B55" t="s">
        <v>75</v>
      </c>
      <c r="C55" t="s">
        <v>72</v>
      </c>
      <c r="D55" t="s">
        <v>73</v>
      </c>
      <c r="E55" t="s">
        <v>73</v>
      </c>
      <c r="F55" t="s">
        <v>73</v>
      </c>
      <c r="G55" t="s">
        <v>72</v>
      </c>
      <c r="H55" t="s">
        <v>72</v>
      </c>
      <c r="I55" t="s">
        <v>73</v>
      </c>
      <c r="J55" t="s">
        <v>72</v>
      </c>
      <c r="K55" t="s">
        <v>72</v>
      </c>
      <c r="L55" t="s">
        <v>73</v>
      </c>
      <c r="M55" t="s">
        <v>72</v>
      </c>
      <c r="N55" t="s">
        <v>72</v>
      </c>
      <c r="O55" t="s">
        <v>72</v>
      </c>
      <c r="P55" t="s">
        <v>72</v>
      </c>
      <c r="Q55" t="s">
        <v>74</v>
      </c>
    </row>
    <row r="56" spans="1:17" x14ac:dyDescent="0.2">
      <c r="A56">
        <v>51</v>
      </c>
      <c r="B56" t="s">
        <v>75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73</v>
      </c>
      <c r="J56" t="s">
        <v>72</v>
      </c>
      <c r="K56" t="s">
        <v>72</v>
      </c>
      <c r="L56" t="s">
        <v>72</v>
      </c>
      <c r="M56" t="s">
        <v>73</v>
      </c>
      <c r="N56" t="s">
        <v>73</v>
      </c>
      <c r="O56" t="s">
        <v>72</v>
      </c>
      <c r="P56" t="s">
        <v>72</v>
      </c>
      <c r="Q56" t="s">
        <v>74</v>
      </c>
    </row>
    <row r="57" spans="1:17" x14ac:dyDescent="0.2">
      <c r="A57">
        <v>38</v>
      </c>
      <c r="B57" t="s">
        <v>75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72</v>
      </c>
      <c r="M57" t="s">
        <v>72</v>
      </c>
      <c r="N57" t="s">
        <v>72</v>
      </c>
      <c r="O57" t="s">
        <v>72</v>
      </c>
      <c r="P57" t="s">
        <v>73</v>
      </c>
      <c r="Q57" t="s">
        <v>74</v>
      </c>
    </row>
    <row r="58" spans="1:17" x14ac:dyDescent="0.2">
      <c r="A58">
        <v>66</v>
      </c>
      <c r="B58" t="s">
        <v>75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  <c r="J58" t="s">
        <v>73</v>
      </c>
      <c r="K58" t="s">
        <v>72</v>
      </c>
      <c r="L58" t="s">
        <v>73</v>
      </c>
      <c r="M58" t="s">
        <v>73</v>
      </c>
      <c r="N58" t="s">
        <v>73</v>
      </c>
      <c r="O58" t="s">
        <v>72</v>
      </c>
      <c r="P58" t="s">
        <v>72</v>
      </c>
      <c r="Q58" t="s">
        <v>74</v>
      </c>
    </row>
    <row r="59" spans="1:17" x14ac:dyDescent="0.2">
      <c r="A59">
        <v>53</v>
      </c>
      <c r="B59" t="s">
        <v>75</v>
      </c>
      <c r="C59" t="s">
        <v>72</v>
      </c>
      <c r="D59" t="s">
        <v>72</v>
      </c>
      <c r="E59" t="s">
        <v>72</v>
      </c>
      <c r="F59" t="s">
        <v>72</v>
      </c>
      <c r="G59" t="s">
        <v>73</v>
      </c>
      <c r="H59" t="s">
        <v>72</v>
      </c>
      <c r="I59" t="s">
        <v>73</v>
      </c>
      <c r="J59" t="s">
        <v>72</v>
      </c>
      <c r="K59" t="s">
        <v>72</v>
      </c>
      <c r="L59" t="s">
        <v>72</v>
      </c>
      <c r="M59" t="s">
        <v>73</v>
      </c>
      <c r="N59" t="s">
        <v>72</v>
      </c>
      <c r="O59" t="s">
        <v>72</v>
      </c>
      <c r="P59" t="s">
        <v>72</v>
      </c>
      <c r="Q59" t="s">
        <v>74</v>
      </c>
    </row>
    <row r="60" spans="1:17" x14ac:dyDescent="0.2">
      <c r="A60">
        <v>59</v>
      </c>
      <c r="B60" t="s">
        <v>75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72</v>
      </c>
      <c r="L60" t="s">
        <v>72</v>
      </c>
      <c r="M60" t="s">
        <v>72</v>
      </c>
      <c r="N60" t="s">
        <v>72</v>
      </c>
      <c r="O60" t="s">
        <v>72</v>
      </c>
      <c r="P60" t="s">
        <v>72</v>
      </c>
      <c r="Q60" t="s">
        <v>74</v>
      </c>
    </row>
    <row r="61" spans="1:17" x14ac:dyDescent="0.2">
      <c r="A61">
        <v>39</v>
      </c>
      <c r="B61" t="s">
        <v>75</v>
      </c>
      <c r="C61" t="s">
        <v>73</v>
      </c>
      <c r="D61" t="s">
        <v>73</v>
      </c>
      <c r="E61" t="s">
        <v>72</v>
      </c>
      <c r="F61" t="s">
        <v>73</v>
      </c>
      <c r="G61" t="s">
        <v>73</v>
      </c>
      <c r="H61" t="s">
        <v>72</v>
      </c>
      <c r="I61" t="s">
        <v>73</v>
      </c>
      <c r="J61" t="s">
        <v>72</v>
      </c>
      <c r="K61" t="s">
        <v>73</v>
      </c>
      <c r="L61" t="s">
        <v>73</v>
      </c>
      <c r="M61" t="s">
        <v>73</v>
      </c>
      <c r="N61" t="s">
        <v>73</v>
      </c>
      <c r="O61" t="s">
        <v>72</v>
      </c>
      <c r="P61" t="s">
        <v>73</v>
      </c>
      <c r="Q61" t="s">
        <v>74</v>
      </c>
    </row>
    <row r="62" spans="1:17" x14ac:dyDescent="0.2">
      <c r="A62">
        <v>65</v>
      </c>
      <c r="B62" t="s">
        <v>75</v>
      </c>
      <c r="C62" t="s">
        <v>73</v>
      </c>
      <c r="D62" t="s">
        <v>73</v>
      </c>
      <c r="E62" t="s">
        <v>72</v>
      </c>
      <c r="F62" t="s">
        <v>73</v>
      </c>
      <c r="G62" t="s">
        <v>73</v>
      </c>
      <c r="H62" t="s">
        <v>72</v>
      </c>
      <c r="I62" t="s">
        <v>72</v>
      </c>
      <c r="J62" t="s">
        <v>73</v>
      </c>
      <c r="K62" t="s">
        <v>72</v>
      </c>
      <c r="L62" t="s">
        <v>72</v>
      </c>
      <c r="M62" t="s">
        <v>73</v>
      </c>
      <c r="N62" t="s">
        <v>73</v>
      </c>
      <c r="O62" t="s">
        <v>72</v>
      </c>
      <c r="P62" t="s">
        <v>72</v>
      </c>
      <c r="Q62" t="s">
        <v>74</v>
      </c>
    </row>
    <row r="63" spans="1:17" x14ac:dyDescent="0.2">
      <c r="A63">
        <v>35</v>
      </c>
      <c r="B63" t="s">
        <v>75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72</v>
      </c>
      <c r="I63" t="s">
        <v>73</v>
      </c>
      <c r="J63" t="s">
        <v>73</v>
      </c>
      <c r="K63" t="s">
        <v>72</v>
      </c>
      <c r="L63" t="s">
        <v>73</v>
      </c>
      <c r="M63" t="s">
        <v>73</v>
      </c>
      <c r="N63" t="s">
        <v>73</v>
      </c>
      <c r="O63" t="s">
        <v>72</v>
      </c>
      <c r="P63" t="s">
        <v>72</v>
      </c>
      <c r="Q63" t="s">
        <v>74</v>
      </c>
    </row>
    <row r="64" spans="1:17" x14ac:dyDescent="0.2">
      <c r="A64">
        <v>55</v>
      </c>
      <c r="B64" t="s">
        <v>75</v>
      </c>
      <c r="C64" t="s">
        <v>73</v>
      </c>
      <c r="D64" t="s">
        <v>73</v>
      </c>
      <c r="E64" t="s">
        <v>72</v>
      </c>
      <c r="F64" t="s">
        <v>73</v>
      </c>
      <c r="G64" t="s">
        <v>73</v>
      </c>
      <c r="H64" t="s">
        <v>72</v>
      </c>
      <c r="I64" t="s">
        <v>73</v>
      </c>
      <c r="J64" t="s">
        <v>73</v>
      </c>
      <c r="K64" t="s">
        <v>72</v>
      </c>
      <c r="L64" t="s">
        <v>73</v>
      </c>
      <c r="M64" t="s">
        <v>73</v>
      </c>
      <c r="N64" t="s">
        <v>73</v>
      </c>
      <c r="O64" t="s">
        <v>72</v>
      </c>
      <c r="P64" t="s">
        <v>72</v>
      </c>
      <c r="Q64" t="s">
        <v>74</v>
      </c>
    </row>
    <row r="65" spans="1:17" x14ac:dyDescent="0.2">
      <c r="A65">
        <v>60</v>
      </c>
      <c r="B65" t="s">
        <v>75</v>
      </c>
      <c r="C65" t="s">
        <v>73</v>
      </c>
      <c r="D65" t="s">
        <v>72</v>
      </c>
      <c r="E65" t="s">
        <v>73</v>
      </c>
      <c r="F65" t="s">
        <v>73</v>
      </c>
      <c r="G65" t="s">
        <v>72</v>
      </c>
      <c r="H65" t="s">
        <v>73</v>
      </c>
      <c r="I65" t="s">
        <v>73</v>
      </c>
      <c r="J65" t="s">
        <v>73</v>
      </c>
      <c r="K65" t="s">
        <v>72</v>
      </c>
      <c r="L65" t="s">
        <v>73</v>
      </c>
      <c r="M65" t="s">
        <v>73</v>
      </c>
      <c r="N65" t="s">
        <v>73</v>
      </c>
      <c r="O65" t="s">
        <v>72</v>
      </c>
      <c r="P65" t="s">
        <v>73</v>
      </c>
      <c r="Q65" t="s">
        <v>74</v>
      </c>
    </row>
    <row r="66" spans="1:17" x14ac:dyDescent="0.2">
      <c r="A66">
        <v>45</v>
      </c>
      <c r="B66" t="s">
        <v>75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73</v>
      </c>
      <c r="J66" t="s">
        <v>73</v>
      </c>
      <c r="K66" t="s">
        <v>72</v>
      </c>
      <c r="L66" t="s">
        <v>72</v>
      </c>
      <c r="M66" t="s">
        <v>73</v>
      </c>
      <c r="N66" t="s">
        <v>72</v>
      </c>
      <c r="O66" t="s">
        <v>72</v>
      </c>
      <c r="P66" t="s">
        <v>72</v>
      </c>
      <c r="Q66" t="s">
        <v>74</v>
      </c>
    </row>
    <row r="67" spans="1:17" x14ac:dyDescent="0.2">
      <c r="A67">
        <v>40</v>
      </c>
      <c r="B67" t="s">
        <v>75</v>
      </c>
      <c r="C67" t="s">
        <v>73</v>
      </c>
      <c r="D67" t="s">
        <v>72</v>
      </c>
      <c r="E67" t="s">
        <v>73</v>
      </c>
      <c r="F67" t="s">
        <v>72</v>
      </c>
      <c r="G67" t="s">
        <v>73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72</v>
      </c>
      <c r="N67" t="s">
        <v>72</v>
      </c>
      <c r="O67" t="s">
        <v>72</v>
      </c>
      <c r="P67" t="s">
        <v>72</v>
      </c>
      <c r="Q67" t="s">
        <v>74</v>
      </c>
    </row>
    <row r="68" spans="1:17" x14ac:dyDescent="0.2">
      <c r="A68">
        <v>30</v>
      </c>
      <c r="B68" t="s">
        <v>75</v>
      </c>
      <c r="C68" t="s">
        <v>73</v>
      </c>
      <c r="D68" t="s">
        <v>73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73</v>
      </c>
      <c r="K68" t="s">
        <v>72</v>
      </c>
      <c r="L68" t="s">
        <v>73</v>
      </c>
      <c r="M68" t="s">
        <v>73</v>
      </c>
      <c r="N68" t="s">
        <v>72</v>
      </c>
      <c r="O68" t="s">
        <v>72</v>
      </c>
      <c r="P68" t="s">
        <v>72</v>
      </c>
      <c r="Q68" t="s">
        <v>74</v>
      </c>
    </row>
    <row r="69" spans="1:17" x14ac:dyDescent="0.2">
      <c r="A69">
        <v>35</v>
      </c>
      <c r="B69" t="s">
        <v>75</v>
      </c>
      <c r="C69" t="s">
        <v>72</v>
      </c>
      <c r="D69" t="s">
        <v>73</v>
      </c>
      <c r="E69" t="s">
        <v>73</v>
      </c>
      <c r="F69" t="s">
        <v>73</v>
      </c>
      <c r="G69" t="s">
        <v>73</v>
      </c>
      <c r="H69" t="s">
        <v>72</v>
      </c>
      <c r="I69" t="s">
        <v>72</v>
      </c>
      <c r="J69" t="s">
        <v>73</v>
      </c>
      <c r="K69" t="s">
        <v>72</v>
      </c>
      <c r="L69" t="s">
        <v>72</v>
      </c>
      <c r="M69" t="s">
        <v>73</v>
      </c>
      <c r="N69" t="s">
        <v>72</v>
      </c>
      <c r="O69" t="s">
        <v>72</v>
      </c>
      <c r="P69" t="s">
        <v>72</v>
      </c>
      <c r="Q69" t="s">
        <v>74</v>
      </c>
    </row>
    <row r="70" spans="1:17" x14ac:dyDescent="0.2">
      <c r="A70">
        <v>25</v>
      </c>
      <c r="B70" t="s">
        <v>75</v>
      </c>
      <c r="C70" t="s">
        <v>72</v>
      </c>
      <c r="D70" t="s">
        <v>72</v>
      </c>
      <c r="E70" t="s">
        <v>72</v>
      </c>
      <c r="F70" t="s">
        <v>73</v>
      </c>
      <c r="G70" t="s">
        <v>73</v>
      </c>
      <c r="H70" t="s">
        <v>72</v>
      </c>
      <c r="I70" t="s">
        <v>73</v>
      </c>
      <c r="J70" t="s">
        <v>72</v>
      </c>
      <c r="K70" t="s">
        <v>72</v>
      </c>
      <c r="L70" t="s">
        <v>72</v>
      </c>
      <c r="M70" t="s">
        <v>72</v>
      </c>
      <c r="N70" t="s">
        <v>72</v>
      </c>
      <c r="O70" t="s">
        <v>73</v>
      </c>
      <c r="P70" t="s">
        <v>72</v>
      </c>
      <c r="Q70" t="s">
        <v>74</v>
      </c>
    </row>
    <row r="71" spans="1:17" x14ac:dyDescent="0.2">
      <c r="A71">
        <v>50</v>
      </c>
      <c r="B71" t="s">
        <v>75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72</v>
      </c>
      <c r="I71" t="s">
        <v>73</v>
      </c>
      <c r="J71" t="s">
        <v>72</v>
      </c>
      <c r="K71" t="s">
        <v>72</v>
      </c>
      <c r="L71" t="s">
        <v>72</v>
      </c>
      <c r="M71" t="s">
        <v>73</v>
      </c>
      <c r="N71" t="s">
        <v>72</v>
      </c>
      <c r="O71" t="s">
        <v>72</v>
      </c>
      <c r="P71" t="s">
        <v>73</v>
      </c>
      <c r="Q71" t="s">
        <v>74</v>
      </c>
    </row>
    <row r="72" spans="1:17" x14ac:dyDescent="0.2">
      <c r="A72">
        <v>40</v>
      </c>
      <c r="B72" t="s">
        <v>75</v>
      </c>
      <c r="C72" t="s">
        <v>72</v>
      </c>
      <c r="D72" t="s">
        <v>72</v>
      </c>
      <c r="E72" t="s">
        <v>73</v>
      </c>
      <c r="F72" t="s">
        <v>73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72</v>
      </c>
      <c r="M72" t="s">
        <v>72</v>
      </c>
      <c r="N72" t="s">
        <v>72</v>
      </c>
      <c r="O72" t="s">
        <v>72</v>
      </c>
      <c r="P72" t="s">
        <v>72</v>
      </c>
      <c r="Q72" t="s">
        <v>74</v>
      </c>
    </row>
    <row r="73" spans="1:17" x14ac:dyDescent="0.2">
      <c r="A73">
        <v>35</v>
      </c>
      <c r="B73" t="s">
        <v>75</v>
      </c>
      <c r="C73" t="s">
        <v>72</v>
      </c>
      <c r="D73" t="s">
        <v>73</v>
      </c>
      <c r="E73" t="s">
        <v>73</v>
      </c>
      <c r="F73" t="s">
        <v>73</v>
      </c>
      <c r="G73" t="s">
        <v>72</v>
      </c>
      <c r="H73" t="s">
        <v>72</v>
      </c>
      <c r="I73" t="s">
        <v>72</v>
      </c>
      <c r="J73" t="s">
        <v>73</v>
      </c>
      <c r="K73" t="s">
        <v>72</v>
      </c>
      <c r="L73" t="s">
        <v>73</v>
      </c>
      <c r="M73" t="s">
        <v>73</v>
      </c>
      <c r="N73" t="s">
        <v>73</v>
      </c>
      <c r="O73" t="s">
        <v>72</v>
      </c>
      <c r="P73" t="s">
        <v>72</v>
      </c>
      <c r="Q73" t="s">
        <v>74</v>
      </c>
    </row>
    <row r="74" spans="1:17" x14ac:dyDescent="0.2">
      <c r="A74">
        <v>65</v>
      </c>
      <c r="B74" t="s">
        <v>75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73</v>
      </c>
      <c r="I74" t="s">
        <v>72</v>
      </c>
      <c r="J74" t="s">
        <v>72</v>
      </c>
      <c r="K74" t="s">
        <v>72</v>
      </c>
      <c r="L74" t="s">
        <v>72</v>
      </c>
      <c r="M74" t="s">
        <v>72</v>
      </c>
      <c r="N74" t="s">
        <v>72</v>
      </c>
      <c r="O74" t="s">
        <v>72</v>
      </c>
      <c r="P74" t="s">
        <v>72</v>
      </c>
      <c r="Q74" t="s">
        <v>74</v>
      </c>
    </row>
    <row r="75" spans="1:17" x14ac:dyDescent="0.2">
      <c r="A75">
        <v>38</v>
      </c>
      <c r="B75" t="s">
        <v>75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73</v>
      </c>
      <c r="N75" t="s">
        <v>72</v>
      </c>
      <c r="O75" t="s">
        <v>72</v>
      </c>
      <c r="P75" t="s">
        <v>72</v>
      </c>
      <c r="Q75" t="s">
        <v>74</v>
      </c>
    </row>
    <row r="76" spans="1:17" x14ac:dyDescent="0.2">
      <c r="A76">
        <v>50</v>
      </c>
      <c r="B76" t="s">
        <v>75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72</v>
      </c>
      <c r="I76" t="s">
        <v>72</v>
      </c>
      <c r="J76" t="s">
        <v>73</v>
      </c>
      <c r="K76" t="s">
        <v>72</v>
      </c>
      <c r="L76" t="s">
        <v>73</v>
      </c>
      <c r="M76" t="s">
        <v>73</v>
      </c>
      <c r="N76" t="s">
        <v>73</v>
      </c>
      <c r="O76" t="s">
        <v>72</v>
      </c>
      <c r="P76" t="s">
        <v>72</v>
      </c>
      <c r="Q76" t="s">
        <v>74</v>
      </c>
    </row>
    <row r="77" spans="1:17" x14ac:dyDescent="0.2">
      <c r="A77">
        <v>55</v>
      </c>
      <c r="B77" t="s">
        <v>75</v>
      </c>
      <c r="C77" t="s">
        <v>73</v>
      </c>
      <c r="D77" t="s">
        <v>73</v>
      </c>
      <c r="E77" t="s">
        <v>73</v>
      </c>
      <c r="F77" t="s">
        <v>73</v>
      </c>
      <c r="G77" t="s">
        <v>72</v>
      </c>
      <c r="H77" t="s">
        <v>72</v>
      </c>
      <c r="I77" t="s">
        <v>73</v>
      </c>
      <c r="J77" t="s">
        <v>72</v>
      </c>
      <c r="K77" t="s">
        <v>72</v>
      </c>
      <c r="L77" t="s">
        <v>72</v>
      </c>
      <c r="M77" t="s">
        <v>73</v>
      </c>
      <c r="N77" t="s">
        <v>72</v>
      </c>
      <c r="O77" t="s">
        <v>72</v>
      </c>
      <c r="P77" t="s">
        <v>73</v>
      </c>
      <c r="Q77" t="s">
        <v>74</v>
      </c>
    </row>
    <row r="78" spans="1:17" x14ac:dyDescent="0.2">
      <c r="A78">
        <v>48</v>
      </c>
      <c r="B78" t="s">
        <v>75</v>
      </c>
      <c r="C78" t="s">
        <v>73</v>
      </c>
      <c r="D78" t="s">
        <v>73</v>
      </c>
      <c r="E78" t="s">
        <v>73</v>
      </c>
      <c r="F78" t="s">
        <v>73</v>
      </c>
      <c r="G78" t="s">
        <v>73</v>
      </c>
      <c r="H78" t="s">
        <v>72</v>
      </c>
      <c r="I78" t="s">
        <v>72</v>
      </c>
      <c r="J78" t="s">
        <v>72</v>
      </c>
      <c r="K78" t="s">
        <v>72</v>
      </c>
      <c r="L78" t="s">
        <v>72</v>
      </c>
      <c r="M78" t="s">
        <v>73</v>
      </c>
      <c r="N78" t="s">
        <v>72</v>
      </c>
      <c r="O78" t="s">
        <v>72</v>
      </c>
      <c r="P78" t="s">
        <v>72</v>
      </c>
      <c r="Q78" t="s">
        <v>74</v>
      </c>
    </row>
    <row r="79" spans="1:17" x14ac:dyDescent="0.2">
      <c r="A79">
        <v>55</v>
      </c>
      <c r="B79" t="s">
        <v>75</v>
      </c>
      <c r="C79" t="s">
        <v>73</v>
      </c>
      <c r="D79" t="s">
        <v>73</v>
      </c>
      <c r="E79" t="s">
        <v>73</v>
      </c>
      <c r="F79" t="s">
        <v>72</v>
      </c>
      <c r="G79" t="s">
        <v>73</v>
      </c>
      <c r="H79" t="s">
        <v>72</v>
      </c>
      <c r="I79" t="s">
        <v>72</v>
      </c>
      <c r="J79" t="s">
        <v>73</v>
      </c>
      <c r="K79" t="s">
        <v>72</v>
      </c>
      <c r="L79" t="s">
        <v>73</v>
      </c>
      <c r="M79" t="s">
        <v>73</v>
      </c>
      <c r="N79" t="s">
        <v>72</v>
      </c>
      <c r="O79" t="s">
        <v>72</v>
      </c>
      <c r="P79" t="s">
        <v>72</v>
      </c>
      <c r="Q79" t="s">
        <v>74</v>
      </c>
    </row>
    <row r="80" spans="1:17" x14ac:dyDescent="0.2">
      <c r="A80">
        <v>39</v>
      </c>
      <c r="B80" t="s">
        <v>75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72</v>
      </c>
      <c r="I80" t="s">
        <v>72</v>
      </c>
      <c r="J80" t="s">
        <v>73</v>
      </c>
      <c r="K80" t="s">
        <v>73</v>
      </c>
      <c r="L80" t="s">
        <v>73</v>
      </c>
      <c r="M80" t="s">
        <v>73</v>
      </c>
      <c r="N80" t="s">
        <v>72</v>
      </c>
      <c r="O80" t="s">
        <v>72</v>
      </c>
      <c r="P80" t="s">
        <v>72</v>
      </c>
      <c r="Q80" t="s">
        <v>74</v>
      </c>
    </row>
    <row r="81" spans="1:17" x14ac:dyDescent="0.2">
      <c r="A81">
        <v>43</v>
      </c>
      <c r="B81" t="s">
        <v>75</v>
      </c>
      <c r="C81" t="s">
        <v>73</v>
      </c>
      <c r="D81" t="s">
        <v>73</v>
      </c>
      <c r="E81" t="s">
        <v>73</v>
      </c>
      <c r="F81" t="s">
        <v>73</v>
      </c>
      <c r="G81" t="s">
        <v>73</v>
      </c>
      <c r="H81" t="s">
        <v>72</v>
      </c>
      <c r="I81" t="s">
        <v>73</v>
      </c>
      <c r="J81" t="s">
        <v>72</v>
      </c>
      <c r="K81" t="s">
        <v>72</v>
      </c>
      <c r="L81" t="s">
        <v>72</v>
      </c>
      <c r="M81" t="s">
        <v>73</v>
      </c>
      <c r="N81" t="s">
        <v>73</v>
      </c>
      <c r="O81" t="s">
        <v>72</v>
      </c>
      <c r="P81" t="s">
        <v>73</v>
      </c>
      <c r="Q81" t="s">
        <v>74</v>
      </c>
    </row>
    <row r="82" spans="1:17" x14ac:dyDescent="0.2">
      <c r="A82">
        <v>35</v>
      </c>
      <c r="B82" t="s">
        <v>75</v>
      </c>
      <c r="C82" t="s">
        <v>73</v>
      </c>
      <c r="D82" t="s">
        <v>73</v>
      </c>
      <c r="E82" t="s">
        <v>72</v>
      </c>
      <c r="F82" t="s">
        <v>73</v>
      </c>
      <c r="G82" t="s">
        <v>72</v>
      </c>
      <c r="H82" t="s">
        <v>72</v>
      </c>
      <c r="I82" t="s">
        <v>73</v>
      </c>
      <c r="J82" t="s">
        <v>72</v>
      </c>
      <c r="K82" t="s">
        <v>72</v>
      </c>
      <c r="L82" t="s">
        <v>72</v>
      </c>
      <c r="M82" t="s">
        <v>72</v>
      </c>
      <c r="N82" t="s">
        <v>72</v>
      </c>
      <c r="O82" t="s">
        <v>72</v>
      </c>
      <c r="P82" t="s">
        <v>72</v>
      </c>
      <c r="Q82" t="s">
        <v>74</v>
      </c>
    </row>
    <row r="83" spans="1:17" x14ac:dyDescent="0.2">
      <c r="A83">
        <v>47</v>
      </c>
      <c r="B83" t="s">
        <v>75</v>
      </c>
      <c r="C83" t="s">
        <v>72</v>
      </c>
      <c r="D83" t="s">
        <v>72</v>
      </c>
      <c r="E83" t="s">
        <v>73</v>
      </c>
      <c r="F83" t="s">
        <v>73</v>
      </c>
      <c r="G83" t="s">
        <v>73</v>
      </c>
      <c r="H83" t="s">
        <v>72</v>
      </c>
      <c r="I83" t="s">
        <v>72</v>
      </c>
      <c r="J83" t="s">
        <v>72</v>
      </c>
      <c r="K83" t="s">
        <v>72</v>
      </c>
      <c r="L83" t="s">
        <v>72</v>
      </c>
      <c r="M83" t="s">
        <v>72</v>
      </c>
      <c r="N83" t="s">
        <v>73</v>
      </c>
      <c r="O83" t="s">
        <v>72</v>
      </c>
      <c r="P83" t="s">
        <v>72</v>
      </c>
      <c r="Q83" t="s">
        <v>74</v>
      </c>
    </row>
    <row r="84" spans="1:17" x14ac:dyDescent="0.2">
      <c r="A84">
        <v>50</v>
      </c>
      <c r="B84" t="s">
        <v>75</v>
      </c>
      <c r="C84" t="s">
        <v>73</v>
      </c>
      <c r="D84" t="s">
        <v>73</v>
      </c>
      <c r="E84" t="s">
        <v>72</v>
      </c>
      <c r="F84" t="s">
        <v>73</v>
      </c>
      <c r="G84" t="s">
        <v>73</v>
      </c>
      <c r="H84" t="s">
        <v>72</v>
      </c>
      <c r="I84" t="s">
        <v>72</v>
      </c>
      <c r="J84" t="s">
        <v>72</v>
      </c>
      <c r="K84" t="s">
        <v>72</v>
      </c>
      <c r="L84" t="s">
        <v>73</v>
      </c>
      <c r="M84" t="s">
        <v>73</v>
      </c>
      <c r="N84" t="s">
        <v>72</v>
      </c>
      <c r="O84" t="s">
        <v>72</v>
      </c>
      <c r="P84" t="s">
        <v>72</v>
      </c>
      <c r="Q84" t="s">
        <v>74</v>
      </c>
    </row>
    <row r="85" spans="1:17" x14ac:dyDescent="0.2">
      <c r="A85">
        <v>48</v>
      </c>
      <c r="B85" t="s">
        <v>75</v>
      </c>
      <c r="C85" t="s">
        <v>73</v>
      </c>
      <c r="D85" t="s">
        <v>73</v>
      </c>
      <c r="E85" t="s">
        <v>72</v>
      </c>
      <c r="F85" t="s">
        <v>73</v>
      </c>
      <c r="G85" t="s">
        <v>72</v>
      </c>
      <c r="H85" t="s">
        <v>72</v>
      </c>
      <c r="I85" t="s">
        <v>73</v>
      </c>
      <c r="J85" t="s">
        <v>73</v>
      </c>
      <c r="K85" t="s">
        <v>72</v>
      </c>
      <c r="L85" t="s">
        <v>73</v>
      </c>
      <c r="M85" t="s">
        <v>73</v>
      </c>
      <c r="N85" t="s">
        <v>72</v>
      </c>
      <c r="O85" t="s">
        <v>72</v>
      </c>
      <c r="P85" t="s">
        <v>72</v>
      </c>
      <c r="Q85" t="s">
        <v>74</v>
      </c>
    </row>
    <row r="86" spans="1:17" x14ac:dyDescent="0.2">
      <c r="A86">
        <v>35</v>
      </c>
      <c r="B86" t="s">
        <v>75</v>
      </c>
      <c r="C86" t="s">
        <v>73</v>
      </c>
      <c r="D86" t="s">
        <v>73</v>
      </c>
      <c r="E86" t="s">
        <v>73</v>
      </c>
      <c r="F86" t="s">
        <v>73</v>
      </c>
      <c r="G86" t="s">
        <v>73</v>
      </c>
      <c r="H86" t="s">
        <v>72</v>
      </c>
      <c r="I86" t="s">
        <v>73</v>
      </c>
      <c r="J86" t="s">
        <v>73</v>
      </c>
      <c r="K86" t="s">
        <v>72</v>
      </c>
      <c r="L86" t="s">
        <v>73</v>
      </c>
      <c r="M86" t="s">
        <v>73</v>
      </c>
      <c r="N86" t="s">
        <v>73</v>
      </c>
      <c r="O86" t="s">
        <v>72</v>
      </c>
      <c r="P86" t="s">
        <v>72</v>
      </c>
      <c r="Q86" t="s">
        <v>74</v>
      </c>
    </row>
    <row r="87" spans="1:17" x14ac:dyDescent="0.2">
      <c r="A87">
        <v>49</v>
      </c>
      <c r="B87" t="s">
        <v>75</v>
      </c>
      <c r="C87" t="s">
        <v>72</v>
      </c>
      <c r="D87" t="s">
        <v>72</v>
      </c>
      <c r="E87" t="s">
        <v>73</v>
      </c>
      <c r="F87" t="s">
        <v>73</v>
      </c>
      <c r="G87" t="s">
        <v>72</v>
      </c>
      <c r="H87" t="s">
        <v>72</v>
      </c>
      <c r="I87" t="s">
        <v>72</v>
      </c>
      <c r="J87" t="s">
        <v>72</v>
      </c>
      <c r="K87" t="s">
        <v>72</v>
      </c>
      <c r="L87" t="s">
        <v>72</v>
      </c>
      <c r="M87" t="s">
        <v>72</v>
      </c>
      <c r="N87" t="s">
        <v>72</v>
      </c>
      <c r="O87" t="s">
        <v>72</v>
      </c>
      <c r="P87" t="s">
        <v>73</v>
      </c>
      <c r="Q87" t="s">
        <v>74</v>
      </c>
    </row>
    <row r="88" spans="1:17" x14ac:dyDescent="0.2">
      <c r="A88">
        <v>38</v>
      </c>
      <c r="B88" t="s">
        <v>75</v>
      </c>
      <c r="C88" t="s">
        <v>73</v>
      </c>
      <c r="D88" t="s">
        <v>73</v>
      </c>
      <c r="E88" t="s">
        <v>73</v>
      </c>
      <c r="F88" t="s">
        <v>73</v>
      </c>
      <c r="G88" t="s">
        <v>73</v>
      </c>
      <c r="H88" t="s">
        <v>72</v>
      </c>
      <c r="I88" t="s">
        <v>73</v>
      </c>
      <c r="J88" t="s">
        <v>73</v>
      </c>
      <c r="K88" t="s">
        <v>73</v>
      </c>
      <c r="L88" t="s">
        <v>73</v>
      </c>
      <c r="M88" t="s">
        <v>73</v>
      </c>
      <c r="N88" t="s">
        <v>73</v>
      </c>
      <c r="O88" t="s">
        <v>72</v>
      </c>
      <c r="P88" t="s">
        <v>72</v>
      </c>
      <c r="Q88" t="s">
        <v>74</v>
      </c>
    </row>
    <row r="89" spans="1:17" x14ac:dyDescent="0.2">
      <c r="A89">
        <v>28</v>
      </c>
      <c r="B89" t="s">
        <v>75</v>
      </c>
      <c r="C89" t="s">
        <v>72</v>
      </c>
      <c r="D89" t="s">
        <v>72</v>
      </c>
      <c r="E89" t="s">
        <v>72</v>
      </c>
      <c r="F89" t="s">
        <v>72</v>
      </c>
      <c r="G89" t="s">
        <v>72</v>
      </c>
      <c r="H89" t="s">
        <v>72</v>
      </c>
      <c r="I89" t="s">
        <v>73</v>
      </c>
      <c r="J89" t="s">
        <v>72</v>
      </c>
      <c r="K89" t="s">
        <v>72</v>
      </c>
      <c r="L89" t="s">
        <v>72</v>
      </c>
      <c r="M89" t="s">
        <v>73</v>
      </c>
      <c r="N89" t="s">
        <v>73</v>
      </c>
      <c r="O89" t="s">
        <v>72</v>
      </c>
      <c r="P89" t="s">
        <v>72</v>
      </c>
      <c r="Q89" t="s">
        <v>74</v>
      </c>
    </row>
    <row r="90" spans="1:17" x14ac:dyDescent="0.2">
      <c r="A90">
        <v>68</v>
      </c>
      <c r="B90" t="s">
        <v>75</v>
      </c>
      <c r="C90" t="s">
        <v>73</v>
      </c>
      <c r="D90" t="s">
        <v>73</v>
      </c>
      <c r="E90" t="s">
        <v>72</v>
      </c>
      <c r="F90" t="s">
        <v>73</v>
      </c>
      <c r="G90" t="s">
        <v>73</v>
      </c>
      <c r="H90" t="s">
        <v>72</v>
      </c>
      <c r="I90" t="s">
        <v>73</v>
      </c>
      <c r="J90" t="s">
        <v>73</v>
      </c>
      <c r="K90" t="s">
        <v>72</v>
      </c>
      <c r="L90" t="s">
        <v>73</v>
      </c>
      <c r="M90" t="s">
        <v>73</v>
      </c>
      <c r="N90" t="s">
        <v>72</v>
      </c>
      <c r="O90" t="s">
        <v>72</v>
      </c>
      <c r="P90" t="s">
        <v>72</v>
      </c>
      <c r="Q90" t="s">
        <v>74</v>
      </c>
    </row>
    <row r="91" spans="1:17" x14ac:dyDescent="0.2">
      <c r="A91">
        <v>35</v>
      </c>
      <c r="B91" t="s">
        <v>75</v>
      </c>
      <c r="C91" t="s">
        <v>72</v>
      </c>
      <c r="D91" t="s">
        <v>72</v>
      </c>
      <c r="E91" t="s">
        <v>72</v>
      </c>
      <c r="F91" t="s">
        <v>72</v>
      </c>
      <c r="G91" t="s">
        <v>72</v>
      </c>
      <c r="H91" t="s">
        <v>72</v>
      </c>
      <c r="I91" t="s">
        <v>72</v>
      </c>
      <c r="J91" t="s">
        <v>72</v>
      </c>
      <c r="K91" t="s">
        <v>72</v>
      </c>
      <c r="L91" t="s">
        <v>72</v>
      </c>
      <c r="M91" t="s">
        <v>72</v>
      </c>
      <c r="N91" t="s">
        <v>72</v>
      </c>
      <c r="O91" t="s">
        <v>72</v>
      </c>
      <c r="P91" t="s">
        <v>72</v>
      </c>
      <c r="Q91" t="s">
        <v>74</v>
      </c>
    </row>
    <row r="92" spans="1:17" x14ac:dyDescent="0.2">
      <c r="A92">
        <v>45</v>
      </c>
      <c r="B92" t="s">
        <v>75</v>
      </c>
      <c r="C92" t="s">
        <v>72</v>
      </c>
      <c r="D92" t="s">
        <v>72</v>
      </c>
      <c r="E92" t="s">
        <v>72</v>
      </c>
      <c r="F92" t="s">
        <v>72</v>
      </c>
      <c r="G92" t="s">
        <v>73</v>
      </c>
      <c r="H92" t="s">
        <v>72</v>
      </c>
      <c r="I92" t="s">
        <v>73</v>
      </c>
      <c r="J92" t="s">
        <v>73</v>
      </c>
      <c r="K92" t="s">
        <v>72</v>
      </c>
      <c r="L92" t="s">
        <v>72</v>
      </c>
      <c r="M92" t="s">
        <v>73</v>
      </c>
      <c r="N92" t="s">
        <v>72</v>
      </c>
      <c r="O92" t="s">
        <v>72</v>
      </c>
      <c r="P92" t="s">
        <v>72</v>
      </c>
      <c r="Q92" t="s">
        <v>74</v>
      </c>
    </row>
    <row r="93" spans="1:17" x14ac:dyDescent="0.2">
      <c r="A93">
        <v>48</v>
      </c>
      <c r="B93" t="s">
        <v>75</v>
      </c>
      <c r="C93" t="s">
        <v>73</v>
      </c>
      <c r="D93" t="s">
        <v>73</v>
      </c>
      <c r="E93" t="s">
        <v>73</v>
      </c>
      <c r="F93" t="s">
        <v>73</v>
      </c>
      <c r="G93" t="s">
        <v>73</v>
      </c>
      <c r="H93" t="s">
        <v>72</v>
      </c>
      <c r="I93" t="s">
        <v>73</v>
      </c>
      <c r="J93" t="s">
        <v>73</v>
      </c>
      <c r="K93" t="s">
        <v>73</v>
      </c>
      <c r="L93" t="s">
        <v>73</v>
      </c>
      <c r="M93" t="s">
        <v>73</v>
      </c>
      <c r="N93" t="s">
        <v>73</v>
      </c>
      <c r="O93" t="s">
        <v>72</v>
      </c>
      <c r="P93" t="s">
        <v>72</v>
      </c>
      <c r="Q93" t="s">
        <v>74</v>
      </c>
    </row>
    <row r="94" spans="1:17" x14ac:dyDescent="0.2">
      <c r="A94">
        <v>40</v>
      </c>
      <c r="B94" t="s">
        <v>75</v>
      </c>
      <c r="C94" t="s">
        <v>73</v>
      </c>
      <c r="D94" t="s">
        <v>73</v>
      </c>
      <c r="E94" t="s">
        <v>73</v>
      </c>
      <c r="F94" t="s">
        <v>73</v>
      </c>
      <c r="G94" t="s">
        <v>72</v>
      </c>
      <c r="H94" t="s">
        <v>72</v>
      </c>
      <c r="I94" t="s">
        <v>73</v>
      </c>
      <c r="J94" t="s">
        <v>72</v>
      </c>
      <c r="K94" t="s">
        <v>72</v>
      </c>
      <c r="L94" t="s">
        <v>73</v>
      </c>
      <c r="M94" t="s">
        <v>73</v>
      </c>
      <c r="N94" t="s">
        <v>73</v>
      </c>
      <c r="O94" t="s">
        <v>72</v>
      </c>
      <c r="P94" t="s">
        <v>72</v>
      </c>
      <c r="Q94" t="s">
        <v>74</v>
      </c>
    </row>
    <row r="95" spans="1:17" x14ac:dyDescent="0.2">
      <c r="A95">
        <v>40</v>
      </c>
      <c r="B95" t="s">
        <v>75</v>
      </c>
      <c r="C95" t="s">
        <v>73</v>
      </c>
      <c r="D95" t="s">
        <v>73</v>
      </c>
      <c r="E95" t="s">
        <v>72</v>
      </c>
      <c r="F95" t="s">
        <v>73</v>
      </c>
      <c r="G95" t="s">
        <v>73</v>
      </c>
      <c r="H95" t="s">
        <v>72</v>
      </c>
      <c r="I95" t="s">
        <v>72</v>
      </c>
      <c r="J95" t="s">
        <v>73</v>
      </c>
      <c r="K95" t="s">
        <v>72</v>
      </c>
      <c r="L95" t="s">
        <v>72</v>
      </c>
      <c r="M95" t="s">
        <v>73</v>
      </c>
      <c r="N95" t="s">
        <v>72</v>
      </c>
      <c r="O95" t="s">
        <v>72</v>
      </c>
      <c r="P95" t="s">
        <v>72</v>
      </c>
      <c r="Q95" t="s">
        <v>74</v>
      </c>
    </row>
    <row r="96" spans="1:17" x14ac:dyDescent="0.2">
      <c r="A96">
        <v>36</v>
      </c>
      <c r="B96" t="s">
        <v>75</v>
      </c>
      <c r="C96" t="s">
        <v>73</v>
      </c>
      <c r="D96" t="s">
        <v>73</v>
      </c>
      <c r="E96" t="s">
        <v>72</v>
      </c>
      <c r="F96" t="s">
        <v>73</v>
      </c>
      <c r="G96" t="s">
        <v>73</v>
      </c>
      <c r="H96" t="s">
        <v>72</v>
      </c>
      <c r="I96" t="s">
        <v>73</v>
      </c>
      <c r="J96" t="s">
        <v>73</v>
      </c>
      <c r="K96" t="s">
        <v>72</v>
      </c>
      <c r="L96" t="s">
        <v>73</v>
      </c>
      <c r="M96" t="s">
        <v>73</v>
      </c>
      <c r="N96" t="s">
        <v>72</v>
      </c>
      <c r="O96" t="s">
        <v>72</v>
      </c>
      <c r="P96" t="s">
        <v>72</v>
      </c>
      <c r="Q96" t="s">
        <v>74</v>
      </c>
    </row>
    <row r="97" spans="1:17" x14ac:dyDescent="0.2">
      <c r="A97">
        <v>56</v>
      </c>
      <c r="B97" t="s">
        <v>75</v>
      </c>
      <c r="C97" t="s">
        <v>73</v>
      </c>
      <c r="D97" t="s">
        <v>73</v>
      </c>
      <c r="E97" t="s">
        <v>72</v>
      </c>
      <c r="F97" t="s">
        <v>73</v>
      </c>
      <c r="G97" t="s">
        <v>72</v>
      </c>
      <c r="H97" t="s">
        <v>72</v>
      </c>
      <c r="I97" t="s">
        <v>73</v>
      </c>
      <c r="J97" t="s">
        <v>73</v>
      </c>
      <c r="K97" t="s">
        <v>72</v>
      </c>
      <c r="L97" t="s">
        <v>72</v>
      </c>
      <c r="M97" t="s">
        <v>73</v>
      </c>
      <c r="N97" t="s">
        <v>72</v>
      </c>
      <c r="O97" t="s">
        <v>72</v>
      </c>
      <c r="P97" t="s">
        <v>72</v>
      </c>
      <c r="Q97" t="s">
        <v>74</v>
      </c>
    </row>
    <row r="98" spans="1:17" x14ac:dyDescent="0.2">
      <c r="A98">
        <v>30</v>
      </c>
      <c r="B98" t="s">
        <v>75</v>
      </c>
      <c r="C98" t="s">
        <v>73</v>
      </c>
      <c r="D98" t="s">
        <v>73</v>
      </c>
      <c r="E98" t="s">
        <v>73</v>
      </c>
      <c r="F98" t="s">
        <v>73</v>
      </c>
      <c r="G98" t="s">
        <v>72</v>
      </c>
      <c r="H98" t="s">
        <v>72</v>
      </c>
      <c r="I98" t="s">
        <v>72</v>
      </c>
      <c r="J98" t="s">
        <v>73</v>
      </c>
      <c r="K98" t="s">
        <v>72</v>
      </c>
      <c r="L98" t="s">
        <v>73</v>
      </c>
      <c r="M98" t="s">
        <v>73</v>
      </c>
      <c r="N98" t="s">
        <v>73</v>
      </c>
      <c r="O98" t="s">
        <v>72</v>
      </c>
      <c r="P98" t="s">
        <v>72</v>
      </c>
      <c r="Q98" t="s">
        <v>74</v>
      </c>
    </row>
    <row r="99" spans="1:17" x14ac:dyDescent="0.2">
      <c r="A99">
        <v>31</v>
      </c>
      <c r="B99" t="s">
        <v>75</v>
      </c>
      <c r="C99" t="s">
        <v>73</v>
      </c>
      <c r="D99" t="s">
        <v>73</v>
      </c>
      <c r="E99" t="s">
        <v>73</v>
      </c>
      <c r="F99" t="s">
        <v>73</v>
      </c>
      <c r="G99" t="s">
        <v>73</v>
      </c>
      <c r="H99" t="s">
        <v>72</v>
      </c>
      <c r="I99" t="s">
        <v>72</v>
      </c>
      <c r="J99" t="s">
        <v>73</v>
      </c>
      <c r="K99" t="s">
        <v>73</v>
      </c>
      <c r="L99" t="s">
        <v>72</v>
      </c>
      <c r="M99" t="s">
        <v>73</v>
      </c>
      <c r="N99" t="s">
        <v>73</v>
      </c>
      <c r="O99" t="s">
        <v>72</v>
      </c>
      <c r="P99" t="s">
        <v>72</v>
      </c>
      <c r="Q99" t="s">
        <v>74</v>
      </c>
    </row>
    <row r="100" spans="1:17" x14ac:dyDescent="0.2">
      <c r="A100">
        <v>35</v>
      </c>
      <c r="B100" t="s">
        <v>75</v>
      </c>
      <c r="C100" t="s">
        <v>73</v>
      </c>
      <c r="D100" t="s">
        <v>73</v>
      </c>
      <c r="E100" t="s">
        <v>72</v>
      </c>
      <c r="F100" t="s">
        <v>72</v>
      </c>
      <c r="G100" t="s">
        <v>72</v>
      </c>
      <c r="H100" t="s">
        <v>72</v>
      </c>
      <c r="I100" t="s">
        <v>73</v>
      </c>
      <c r="J100" t="s">
        <v>72</v>
      </c>
      <c r="K100" t="s">
        <v>72</v>
      </c>
      <c r="L100" t="s">
        <v>72</v>
      </c>
      <c r="M100" t="s">
        <v>72</v>
      </c>
      <c r="N100" t="s">
        <v>72</v>
      </c>
      <c r="O100" t="s">
        <v>73</v>
      </c>
      <c r="P100" t="s">
        <v>72</v>
      </c>
      <c r="Q100" t="s">
        <v>74</v>
      </c>
    </row>
    <row r="101" spans="1:17" x14ac:dyDescent="0.2">
      <c r="A101">
        <v>39</v>
      </c>
      <c r="B101" t="s">
        <v>75</v>
      </c>
      <c r="C101" t="s">
        <v>73</v>
      </c>
      <c r="D101" t="s">
        <v>73</v>
      </c>
      <c r="E101" t="s">
        <v>72</v>
      </c>
      <c r="F101" t="s">
        <v>72</v>
      </c>
      <c r="G101" t="s">
        <v>73</v>
      </c>
      <c r="H101" t="s">
        <v>73</v>
      </c>
      <c r="I101" t="s">
        <v>73</v>
      </c>
      <c r="J101" t="s">
        <v>73</v>
      </c>
      <c r="K101" t="s">
        <v>72</v>
      </c>
      <c r="L101" t="s">
        <v>73</v>
      </c>
      <c r="M101" t="s">
        <v>73</v>
      </c>
      <c r="N101" t="s">
        <v>72</v>
      </c>
      <c r="O101" t="s">
        <v>72</v>
      </c>
      <c r="P101" t="s">
        <v>72</v>
      </c>
      <c r="Q101" t="s">
        <v>74</v>
      </c>
    </row>
    <row r="102" spans="1:17" x14ac:dyDescent="0.2">
      <c r="A102">
        <v>48</v>
      </c>
      <c r="B102" t="s">
        <v>75</v>
      </c>
      <c r="C102" t="s">
        <v>73</v>
      </c>
      <c r="D102" t="s">
        <v>73</v>
      </c>
      <c r="E102" t="s">
        <v>73</v>
      </c>
      <c r="F102" t="s">
        <v>72</v>
      </c>
      <c r="G102" t="s">
        <v>73</v>
      </c>
      <c r="H102" t="s">
        <v>73</v>
      </c>
      <c r="I102" t="s">
        <v>72</v>
      </c>
      <c r="J102" t="s">
        <v>72</v>
      </c>
      <c r="K102" t="s">
        <v>73</v>
      </c>
      <c r="L102" t="s">
        <v>73</v>
      </c>
      <c r="M102" t="s">
        <v>72</v>
      </c>
      <c r="N102" t="s">
        <v>73</v>
      </c>
      <c r="O102" t="s">
        <v>73</v>
      </c>
      <c r="P102" t="s">
        <v>73</v>
      </c>
      <c r="Q102" t="s">
        <v>74</v>
      </c>
    </row>
    <row r="103" spans="1:17" x14ac:dyDescent="0.2">
      <c r="A103">
        <v>85</v>
      </c>
      <c r="B103" t="s">
        <v>71</v>
      </c>
      <c r="C103" t="s">
        <v>73</v>
      </c>
      <c r="D103" t="s">
        <v>73</v>
      </c>
      <c r="E103" t="s">
        <v>73</v>
      </c>
      <c r="F103" t="s">
        <v>73</v>
      </c>
      <c r="G103" t="s">
        <v>73</v>
      </c>
      <c r="H103" t="s">
        <v>73</v>
      </c>
      <c r="I103" t="s">
        <v>73</v>
      </c>
      <c r="J103" t="s">
        <v>73</v>
      </c>
      <c r="K103" t="s">
        <v>72</v>
      </c>
      <c r="L103" t="s">
        <v>73</v>
      </c>
      <c r="M103" t="s">
        <v>73</v>
      </c>
      <c r="N103" t="s">
        <v>73</v>
      </c>
      <c r="O103" t="s">
        <v>72</v>
      </c>
      <c r="P103" t="s">
        <v>72</v>
      </c>
      <c r="Q103" t="s">
        <v>74</v>
      </c>
    </row>
    <row r="104" spans="1:17" x14ac:dyDescent="0.2">
      <c r="A104">
        <v>90</v>
      </c>
      <c r="B104" t="s">
        <v>75</v>
      </c>
      <c r="C104" t="s">
        <v>72</v>
      </c>
      <c r="D104" t="s">
        <v>73</v>
      </c>
      <c r="E104" t="s">
        <v>73</v>
      </c>
      <c r="F104" t="s">
        <v>72</v>
      </c>
      <c r="G104" t="s">
        <v>72</v>
      </c>
      <c r="H104" t="s">
        <v>73</v>
      </c>
      <c r="I104" t="s">
        <v>73</v>
      </c>
      <c r="J104" t="s">
        <v>73</v>
      </c>
      <c r="K104" t="s">
        <v>72</v>
      </c>
      <c r="L104" t="s">
        <v>72</v>
      </c>
      <c r="M104" t="s">
        <v>72</v>
      </c>
      <c r="N104" t="s">
        <v>73</v>
      </c>
      <c r="O104" t="s">
        <v>73</v>
      </c>
      <c r="P104" t="s">
        <v>72</v>
      </c>
      <c r="Q104" t="s">
        <v>74</v>
      </c>
    </row>
    <row r="105" spans="1:17" x14ac:dyDescent="0.2">
      <c r="A105">
        <v>72</v>
      </c>
      <c r="B105" t="s">
        <v>71</v>
      </c>
      <c r="C105" t="s">
        <v>73</v>
      </c>
      <c r="D105" t="s">
        <v>72</v>
      </c>
      <c r="E105" t="s">
        <v>73</v>
      </c>
      <c r="F105" t="s">
        <v>73</v>
      </c>
      <c r="G105" t="s">
        <v>73</v>
      </c>
      <c r="H105" t="s">
        <v>72</v>
      </c>
      <c r="I105" t="s">
        <v>72</v>
      </c>
      <c r="J105" t="s">
        <v>72</v>
      </c>
      <c r="K105" t="s">
        <v>73</v>
      </c>
      <c r="L105" t="s">
        <v>73</v>
      </c>
      <c r="M105" t="s">
        <v>73</v>
      </c>
      <c r="N105" t="s">
        <v>73</v>
      </c>
      <c r="O105" t="s">
        <v>73</v>
      </c>
      <c r="P105" t="s">
        <v>72</v>
      </c>
      <c r="Q105" t="s">
        <v>74</v>
      </c>
    </row>
    <row r="106" spans="1:17" x14ac:dyDescent="0.2">
      <c r="A106">
        <v>70</v>
      </c>
      <c r="B106" t="s">
        <v>71</v>
      </c>
      <c r="C106" t="s">
        <v>73</v>
      </c>
      <c r="D106" t="s">
        <v>72</v>
      </c>
      <c r="E106" t="s">
        <v>73</v>
      </c>
      <c r="F106" t="s">
        <v>73</v>
      </c>
      <c r="G106" t="s">
        <v>73</v>
      </c>
      <c r="H106" t="s">
        <v>73</v>
      </c>
      <c r="I106" t="s">
        <v>72</v>
      </c>
      <c r="J106" t="s">
        <v>72</v>
      </c>
      <c r="K106" t="s">
        <v>73</v>
      </c>
      <c r="L106" t="s">
        <v>73</v>
      </c>
      <c r="M106" t="s">
        <v>73</v>
      </c>
      <c r="N106" t="s">
        <v>73</v>
      </c>
      <c r="O106" t="s">
        <v>73</v>
      </c>
      <c r="P106" t="s">
        <v>72</v>
      </c>
      <c r="Q106" t="s">
        <v>74</v>
      </c>
    </row>
    <row r="107" spans="1:17" x14ac:dyDescent="0.2">
      <c r="A107">
        <v>69</v>
      </c>
      <c r="B107" t="s">
        <v>75</v>
      </c>
      <c r="C107" t="s">
        <v>73</v>
      </c>
      <c r="D107" t="s">
        <v>72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72</v>
      </c>
      <c r="L107" t="s">
        <v>73</v>
      </c>
      <c r="M107" t="s">
        <v>72</v>
      </c>
      <c r="N107" t="s">
        <v>72</v>
      </c>
      <c r="O107" t="s">
        <v>73</v>
      </c>
      <c r="P107" t="s">
        <v>72</v>
      </c>
      <c r="Q107" t="s">
        <v>74</v>
      </c>
    </row>
    <row r="108" spans="1:17" x14ac:dyDescent="0.2">
      <c r="A108">
        <v>58</v>
      </c>
      <c r="B108" t="s">
        <v>71</v>
      </c>
      <c r="C108" t="s">
        <v>72</v>
      </c>
      <c r="D108" t="s">
        <v>73</v>
      </c>
      <c r="E108" t="s">
        <v>73</v>
      </c>
      <c r="F108" t="s">
        <v>73</v>
      </c>
      <c r="G108" t="s">
        <v>73</v>
      </c>
      <c r="H108" t="s">
        <v>72</v>
      </c>
      <c r="I108" t="s">
        <v>73</v>
      </c>
      <c r="J108" t="s">
        <v>73</v>
      </c>
      <c r="K108" t="s">
        <v>72</v>
      </c>
      <c r="L108" t="s">
        <v>72</v>
      </c>
      <c r="M108" t="s">
        <v>73</v>
      </c>
      <c r="N108" t="s">
        <v>72</v>
      </c>
      <c r="O108" t="s">
        <v>73</v>
      </c>
      <c r="P108" t="s">
        <v>73</v>
      </c>
      <c r="Q108" t="s">
        <v>74</v>
      </c>
    </row>
    <row r="109" spans="1:17" x14ac:dyDescent="0.2">
      <c r="A109">
        <v>47</v>
      </c>
      <c r="B109" t="s">
        <v>71</v>
      </c>
      <c r="C109" t="s">
        <v>73</v>
      </c>
      <c r="D109" t="s">
        <v>72</v>
      </c>
      <c r="E109" t="s">
        <v>73</v>
      </c>
      <c r="F109" t="s">
        <v>73</v>
      </c>
      <c r="G109" t="s">
        <v>73</v>
      </c>
      <c r="H109" t="s">
        <v>72</v>
      </c>
      <c r="I109" t="s">
        <v>72</v>
      </c>
      <c r="J109" t="s">
        <v>72</v>
      </c>
      <c r="K109" t="s">
        <v>72</v>
      </c>
      <c r="L109" t="s">
        <v>73</v>
      </c>
      <c r="M109" t="s">
        <v>73</v>
      </c>
      <c r="N109" t="s">
        <v>73</v>
      </c>
      <c r="O109" t="s">
        <v>72</v>
      </c>
      <c r="P109" t="s">
        <v>72</v>
      </c>
      <c r="Q109" t="s">
        <v>74</v>
      </c>
    </row>
    <row r="110" spans="1:17" x14ac:dyDescent="0.2">
      <c r="A110">
        <v>25</v>
      </c>
      <c r="B110" t="s">
        <v>71</v>
      </c>
      <c r="C110" t="s">
        <v>73</v>
      </c>
      <c r="D110" t="s">
        <v>73</v>
      </c>
      <c r="E110" t="s">
        <v>72</v>
      </c>
      <c r="F110" t="s">
        <v>72</v>
      </c>
      <c r="G110" t="s">
        <v>73</v>
      </c>
      <c r="H110" t="s">
        <v>73</v>
      </c>
      <c r="I110" t="s">
        <v>73</v>
      </c>
      <c r="J110" t="s">
        <v>73</v>
      </c>
      <c r="K110" t="s">
        <v>72</v>
      </c>
      <c r="L110" t="s">
        <v>73</v>
      </c>
      <c r="M110" t="s">
        <v>72</v>
      </c>
      <c r="N110" t="s">
        <v>72</v>
      </c>
      <c r="O110" t="s">
        <v>73</v>
      </c>
      <c r="P110" t="s">
        <v>72</v>
      </c>
      <c r="Q110" t="s">
        <v>74</v>
      </c>
    </row>
    <row r="111" spans="1:17" x14ac:dyDescent="0.2">
      <c r="A111">
        <v>39</v>
      </c>
      <c r="B111" t="s">
        <v>75</v>
      </c>
      <c r="C111" t="s">
        <v>73</v>
      </c>
      <c r="D111" t="s">
        <v>73</v>
      </c>
      <c r="E111" t="s">
        <v>72</v>
      </c>
      <c r="F111" t="s">
        <v>72</v>
      </c>
      <c r="G111" t="s">
        <v>73</v>
      </c>
      <c r="H111" t="s">
        <v>72</v>
      </c>
      <c r="I111" t="s">
        <v>73</v>
      </c>
      <c r="J111" t="s">
        <v>72</v>
      </c>
      <c r="K111" t="s">
        <v>73</v>
      </c>
      <c r="L111" t="s">
        <v>73</v>
      </c>
      <c r="M111" t="s">
        <v>73</v>
      </c>
      <c r="N111" t="s">
        <v>73</v>
      </c>
      <c r="O111" t="s">
        <v>72</v>
      </c>
      <c r="P111" t="s">
        <v>72</v>
      </c>
      <c r="Q111" t="s">
        <v>74</v>
      </c>
    </row>
    <row r="112" spans="1:17" x14ac:dyDescent="0.2">
      <c r="A112">
        <v>53</v>
      </c>
      <c r="B112" t="s">
        <v>75</v>
      </c>
      <c r="C112" t="s">
        <v>72</v>
      </c>
      <c r="D112" t="s">
        <v>72</v>
      </c>
      <c r="E112" t="s">
        <v>73</v>
      </c>
      <c r="F112" t="s">
        <v>73</v>
      </c>
      <c r="G112" t="s">
        <v>72</v>
      </c>
      <c r="H112" t="s">
        <v>72</v>
      </c>
      <c r="I112" t="s">
        <v>73</v>
      </c>
      <c r="J112" t="s">
        <v>73</v>
      </c>
      <c r="K112" t="s">
        <v>72</v>
      </c>
      <c r="L112" t="s">
        <v>73</v>
      </c>
      <c r="M112" t="s">
        <v>72</v>
      </c>
      <c r="N112" t="s">
        <v>72</v>
      </c>
      <c r="O112" t="s">
        <v>72</v>
      </c>
      <c r="P112" t="s">
        <v>72</v>
      </c>
      <c r="Q112" t="s">
        <v>74</v>
      </c>
    </row>
    <row r="113" spans="1:17" x14ac:dyDescent="0.2">
      <c r="A113">
        <v>52</v>
      </c>
      <c r="B113" t="s">
        <v>71</v>
      </c>
      <c r="C113" t="s">
        <v>73</v>
      </c>
      <c r="D113" t="s">
        <v>73</v>
      </c>
      <c r="E113" t="s">
        <v>73</v>
      </c>
      <c r="F113" t="s">
        <v>72</v>
      </c>
      <c r="G113" t="s">
        <v>73</v>
      </c>
      <c r="H113" t="s">
        <v>73</v>
      </c>
      <c r="I113" t="s">
        <v>73</v>
      </c>
      <c r="J113" t="s">
        <v>72</v>
      </c>
      <c r="K113" t="s">
        <v>73</v>
      </c>
      <c r="L113" t="s">
        <v>72</v>
      </c>
      <c r="M113" t="s">
        <v>73</v>
      </c>
      <c r="N113" t="s">
        <v>72</v>
      </c>
      <c r="O113" t="s">
        <v>73</v>
      </c>
      <c r="P113" t="s">
        <v>73</v>
      </c>
      <c r="Q113" t="s">
        <v>74</v>
      </c>
    </row>
    <row r="114" spans="1:17" x14ac:dyDescent="0.2">
      <c r="A114">
        <v>68</v>
      </c>
      <c r="B114" t="s">
        <v>75</v>
      </c>
      <c r="C114" t="s">
        <v>73</v>
      </c>
      <c r="D114" t="s">
        <v>73</v>
      </c>
      <c r="E114" t="s">
        <v>73</v>
      </c>
      <c r="F114" t="s">
        <v>72</v>
      </c>
      <c r="G114" t="s">
        <v>73</v>
      </c>
      <c r="H114" t="s">
        <v>73</v>
      </c>
      <c r="I114" t="s">
        <v>73</v>
      </c>
      <c r="J114" t="s">
        <v>72</v>
      </c>
      <c r="K114" t="s">
        <v>73</v>
      </c>
      <c r="L114" t="s">
        <v>73</v>
      </c>
      <c r="M114" t="s">
        <v>72</v>
      </c>
      <c r="N114" t="s">
        <v>73</v>
      </c>
      <c r="O114" t="s">
        <v>73</v>
      </c>
      <c r="P114" t="s">
        <v>72</v>
      </c>
      <c r="Q114" t="s">
        <v>74</v>
      </c>
    </row>
    <row r="115" spans="1:17" x14ac:dyDescent="0.2">
      <c r="A115">
        <v>79</v>
      </c>
      <c r="B115" t="s">
        <v>71</v>
      </c>
      <c r="C115" t="s">
        <v>72</v>
      </c>
      <c r="D115" t="s">
        <v>73</v>
      </c>
      <c r="E115" t="s">
        <v>73</v>
      </c>
      <c r="F115" t="s">
        <v>73</v>
      </c>
      <c r="G115" t="s">
        <v>73</v>
      </c>
      <c r="H115" t="s">
        <v>73</v>
      </c>
      <c r="I115" t="s">
        <v>72</v>
      </c>
      <c r="J115" t="s">
        <v>73</v>
      </c>
      <c r="K115" t="s">
        <v>73</v>
      </c>
      <c r="L115" t="s">
        <v>72</v>
      </c>
      <c r="M115" t="s">
        <v>73</v>
      </c>
      <c r="N115" t="s">
        <v>72</v>
      </c>
      <c r="O115" t="s">
        <v>72</v>
      </c>
      <c r="P115" t="s">
        <v>72</v>
      </c>
      <c r="Q115" t="s">
        <v>74</v>
      </c>
    </row>
    <row r="116" spans="1:17" x14ac:dyDescent="0.2">
      <c r="A116">
        <v>55</v>
      </c>
      <c r="B116" t="s">
        <v>75</v>
      </c>
      <c r="C116" t="s">
        <v>73</v>
      </c>
      <c r="D116" t="s">
        <v>72</v>
      </c>
      <c r="E116" t="s">
        <v>73</v>
      </c>
      <c r="F116" t="s">
        <v>72</v>
      </c>
      <c r="G116" t="s">
        <v>72</v>
      </c>
      <c r="H116" t="s">
        <v>73</v>
      </c>
      <c r="I116" t="s">
        <v>73</v>
      </c>
      <c r="J116" t="s">
        <v>73</v>
      </c>
      <c r="K116" t="s">
        <v>72</v>
      </c>
      <c r="L116" t="s">
        <v>73</v>
      </c>
      <c r="M116" t="s">
        <v>73</v>
      </c>
      <c r="N116" t="s">
        <v>72</v>
      </c>
      <c r="O116" t="s">
        <v>72</v>
      </c>
      <c r="P116" t="s">
        <v>72</v>
      </c>
      <c r="Q116" t="s">
        <v>74</v>
      </c>
    </row>
    <row r="117" spans="1:17" x14ac:dyDescent="0.2">
      <c r="A117">
        <v>45</v>
      </c>
      <c r="B117" t="s">
        <v>75</v>
      </c>
      <c r="C117" t="s">
        <v>73</v>
      </c>
      <c r="D117" t="s">
        <v>73</v>
      </c>
      <c r="E117" t="s">
        <v>73</v>
      </c>
      <c r="F117" t="s">
        <v>73</v>
      </c>
      <c r="G117" t="s">
        <v>73</v>
      </c>
      <c r="H117" t="s">
        <v>72</v>
      </c>
      <c r="I117" t="s">
        <v>73</v>
      </c>
      <c r="J117" t="s">
        <v>73</v>
      </c>
      <c r="K117" t="s">
        <v>73</v>
      </c>
      <c r="L117" t="s">
        <v>73</v>
      </c>
      <c r="M117" t="s">
        <v>73</v>
      </c>
      <c r="N117" t="s">
        <v>72</v>
      </c>
      <c r="O117" t="s">
        <v>72</v>
      </c>
      <c r="P117" t="s">
        <v>72</v>
      </c>
      <c r="Q117" t="s">
        <v>74</v>
      </c>
    </row>
    <row r="118" spans="1:17" x14ac:dyDescent="0.2">
      <c r="A118">
        <v>30</v>
      </c>
      <c r="B118" t="s">
        <v>75</v>
      </c>
      <c r="C118" t="s">
        <v>73</v>
      </c>
      <c r="D118" t="s">
        <v>73</v>
      </c>
      <c r="E118" t="s">
        <v>73</v>
      </c>
      <c r="F118" t="s">
        <v>72</v>
      </c>
      <c r="G118" t="s">
        <v>73</v>
      </c>
      <c r="H118" t="s">
        <v>72</v>
      </c>
      <c r="I118" t="s">
        <v>72</v>
      </c>
      <c r="J118" t="s">
        <v>72</v>
      </c>
      <c r="K118" t="s">
        <v>73</v>
      </c>
      <c r="L118" t="s">
        <v>72</v>
      </c>
      <c r="M118" t="s">
        <v>73</v>
      </c>
      <c r="N118" t="s">
        <v>73</v>
      </c>
      <c r="O118" t="s">
        <v>72</v>
      </c>
      <c r="P118" t="s">
        <v>72</v>
      </c>
      <c r="Q118" t="s">
        <v>74</v>
      </c>
    </row>
    <row r="119" spans="1:17" x14ac:dyDescent="0.2">
      <c r="A119">
        <v>45</v>
      </c>
      <c r="B119" t="s">
        <v>75</v>
      </c>
      <c r="C119" t="s">
        <v>73</v>
      </c>
      <c r="D119" t="s">
        <v>73</v>
      </c>
      <c r="E119" t="s">
        <v>72</v>
      </c>
      <c r="F119" t="s">
        <v>73</v>
      </c>
      <c r="G119" t="s">
        <v>73</v>
      </c>
      <c r="H119" t="s">
        <v>72</v>
      </c>
      <c r="I119" t="s">
        <v>73</v>
      </c>
      <c r="J119" t="s">
        <v>73</v>
      </c>
      <c r="K119" t="s">
        <v>73</v>
      </c>
      <c r="L119" t="s">
        <v>73</v>
      </c>
      <c r="M119" t="s">
        <v>73</v>
      </c>
      <c r="N119" t="s">
        <v>73</v>
      </c>
      <c r="O119" t="s">
        <v>72</v>
      </c>
      <c r="P119" t="s">
        <v>72</v>
      </c>
      <c r="Q119" t="s">
        <v>74</v>
      </c>
    </row>
    <row r="120" spans="1:17" x14ac:dyDescent="0.2">
      <c r="A120">
        <v>65</v>
      </c>
      <c r="B120" t="s">
        <v>75</v>
      </c>
      <c r="C120" t="s">
        <v>73</v>
      </c>
      <c r="D120" t="s">
        <v>73</v>
      </c>
      <c r="E120" t="s">
        <v>72</v>
      </c>
      <c r="F120" t="s">
        <v>73</v>
      </c>
      <c r="G120" t="s">
        <v>72</v>
      </c>
      <c r="H120" t="s">
        <v>72</v>
      </c>
      <c r="I120" t="s">
        <v>73</v>
      </c>
      <c r="J120" t="s">
        <v>73</v>
      </c>
      <c r="K120" t="s">
        <v>73</v>
      </c>
      <c r="L120" t="s">
        <v>73</v>
      </c>
      <c r="M120" t="s">
        <v>73</v>
      </c>
      <c r="N120" t="s">
        <v>72</v>
      </c>
      <c r="O120" t="s">
        <v>72</v>
      </c>
      <c r="P120" t="s">
        <v>72</v>
      </c>
      <c r="Q120" t="s">
        <v>74</v>
      </c>
    </row>
    <row r="121" spans="1:17" x14ac:dyDescent="0.2">
      <c r="A121">
        <v>34</v>
      </c>
      <c r="B121" t="s">
        <v>75</v>
      </c>
      <c r="C121" t="s">
        <v>73</v>
      </c>
      <c r="D121" t="s">
        <v>73</v>
      </c>
      <c r="E121" t="s">
        <v>72</v>
      </c>
      <c r="F121" t="s">
        <v>73</v>
      </c>
      <c r="G121" t="s">
        <v>72</v>
      </c>
      <c r="H121" t="s">
        <v>72</v>
      </c>
      <c r="I121" t="s">
        <v>72</v>
      </c>
      <c r="J121" t="s">
        <v>72</v>
      </c>
      <c r="K121" t="s">
        <v>73</v>
      </c>
      <c r="L121" t="s">
        <v>72</v>
      </c>
      <c r="M121" t="s">
        <v>72</v>
      </c>
      <c r="N121" t="s">
        <v>73</v>
      </c>
      <c r="O121" t="s">
        <v>72</v>
      </c>
      <c r="P121" t="s">
        <v>72</v>
      </c>
      <c r="Q121" t="s">
        <v>74</v>
      </c>
    </row>
    <row r="122" spans="1:17" x14ac:dyDescent="0.2">
      <c r="A122">
        <v>48</v>
      </c>
      <c r="B122" t="s">
        <v>71</v>
      </c>
      <c r="C122" t="s">
        <v>73</v>
      </c>
      <c r="D122" t="s">
        <v>73</v>
      </c>
      <c r="E122" t="s">
        <v>72</v>
      </c>
      <c r="F122" t="s">
        <v>73</v>
      </c>
      <c r="G122" t="s">
        <v>73</v>
      </c>
      <c r="H122" t="s">
        <v>72</v>
      </c>
      <c r="I122" t="s">
        <v>72</v>
      </c>
      <c r="J122" t="s">
        <v>72</v>
      </c>
      <c r="K122" t="s">
        <v>72</v>
      </c>
      <c r="L122" t="s">
        <v>73</v>
      </c>
      <c r="M122" t="s">
        <v>72</v>
      </c>
      <c r="N122" t="s">
        <v>73</v>
      </c>
      <c r="O122" t="s">
        <v>73</v>
      </c>
      <c r="P122" t="s">
        <v>72</v>
      </c>
      <c r="Q122" t="s">
        <v>74</v>
      </c>
    </row>
    <row r="123" spans="1:17" x14ac:dyDescent="0.2">
      <c r="A123">
        <v>35</v>
      </c>
      <c r="B123" t="s">
        <v>71</v>
      </c>
      <c r="C123" t="s">
        <v>73</v>
      </c>
      <c r="D123" t="s">
        <v>73</v>
      </c>
      <c r="E123" t="s">
        <v>72</v>
      </c>
      <c r="F123" t="s">
        <v>73</v>
      </c>
      <c r="G123" t="s">
        <v>73</v>
      </c>
      <c r="H123" t="s">
        <v>73</v>
      </c>
      <c r="I123" t="s">
        <v>72</v>
      </c>
      <c r="J123" t="s">
        <v>73</v>
      </c>
      <c r="K123" t="s">
        <v>72</v>
      </c>
      <c r="L123" t="s">
        <v>73</v>
      </c>
      <c r="M123" t="s">
        <v>73</v>
      </c>
      <c r="N123" t="s">
        <v>73</v>
      </c>
      <c r="O123" t="s">
        <v>72</v>
      </c>
      <c r="P123" t="s">
        <v>72</v>
      </c>
      <c r="Q123" t="s">
        <v>74</v>
      </c>
    </row>
    <row r="124" spans="1:17" x14ac:dyDescent="0.2">
      <c r="A124">
        <v>40</v>
      </c>
      <c r="B124" t="s">
        <v>71</v>
      </c>
      <c r="C124" t="s">
        <v>72</v>
      </c>
      <c r="D124" t="s">
        <v>73</v>
      </c>
      <c r="E124" t="s">
        <v>72</v>
      </c>
      <c r="F124" t="s">
        <v>73</v>
      </c>
      <c r="G124" t="s">
        <v>73</v>
      </c>
      <c r="H124" t="s">
        <v>72</v>
      </c>
      <c r="I124" t="s">
        <v>72</v>
      </c>
      <c r="J124" t="s">
        <v>73</v>
      </c>
      <c r="K124" t="s">
        <v>73</v>
      </c>
      <c r="L124" t="s">
        <v>73</v>
      </c>
      <c r="M124" t="s">
        <v>73</v>
      </c>
      <c r="N124" t="s">
        <v>73</v>
      </c>
      <c r="O124" t="s">
        <v>72</v>
      </c>
      <c r="P124" t="s">
        <v>73</v>
      </c>
      <c r="Q124" t="s">
        <v>74</v>
      </c>
    </row>
    <row r="125" spans="1:17" x14ac:dyDescent="0.2">
      <c r="A125">
        <v>47</v>
      </c>
      <c r="B125" t="s">
        <v>71</v>
      </c>
      <c r="C125" t="s">
        <v>72</v>
      </c>
      <c r="D125" t="s">
        <v>73</v>
      </c>
      <c r="E125" t="s">
        <v>72</v>
      </c>
      <c r="F125" t="s">
        <v>72</v>
      </c>
      <c r="G125" t="s">
        <v>72</v>
      </c>
      <c r="H125" t="s">
        <v>72</v>
      </c>
      <c r="I125" t="s">
        <v>73</v>
      </c>
      <c r="J125" t="s">
        <v>73</v>
      </c>
      <c r="K125" t="s">
        <v>72</v>
      </c>
      <c r="L125" t="s">
        <v>72</v>
      </c>
      <c r="M125" t="s">
        <v>72</v>
      </c>
      <c r="N125" t="s">
        <v>72</v>
      </c>
      <c r="O125" t="s">
        <v>73</v>
      </c>
      <c r="P125" t="s">
        <v>73</v>
      </c>
      <c r="Q125" t="s">
        <v>74</v>
      </c>
    </row>
    <row r="126" spans="1:17" x14ac:dyDescent="0.2">
      <c r="A126">
        <v>38</v>
      </c>
      <c r="B126" t="s">
        <v>71</v>
      </c>
      <c r="C126" t="s">
        <v>73</v>
      </c>
      <c r="D126" t="s">
        <v>72</v>
      </c>
      <c r="E126" t="s">
        <v>73</v>
      </c>
      <c r="F126" t="s">
        <v>73</v>
      </c>
      <c r="G126" t="s">
        <v>72</v>
      </c>
      <c r="H126" t="s">
        <v>72</v>
      </c>
      <c r="I126" t="s">
        <v>72</v>
      </c>
      <c r="J126" t="s">
        <v>72</v>
      </c>
      <c r="K126" t="s">
        <v>72</v>
      </c>
      <c r="L126" t="s">
        <v>72</v>
      </c>
      <c r="M126" t="s">
        <v>72</v>
      </c>
      <c r="N126" t="s">
        <v>72</v>
      </c>
      <c r="O126" t="s">
        <v>72</v>
      </c>
      <c r="P126" t="s">
        <v>72</v>
      </c>
      <c r="Q126" t="s">
        <v>74</v>
      </c>
    </row>
    <row r="127" spans="1:17" x14ac:dyDescent="0.2">
      <c r="A127">
        <v>55</v>
      </c>
      <c r="B127" t="s">
        <v>71</v>
      </c>
      <c r="C127" t="s">
        <v>73</v>
      </c>
      <c r="D127" t="s">
        <v>73</v>
      </c>
      <c r="E127" t="s">
        <v>73</v>
      </c>
      <c r="F127" t="s">
        <v>73</v>
      </c>
      <c r="G127" t="s">
        <v>73</v>
      </c>
      <c r="H127" t="s">
        <v>72</v>
      </c>
      <c r="I127" t="s">
        <v>73</v>
      </c>
      <c r="J127" t="s">
        <v>72</v>
      </c>
      <c r="K127" t="s">
        <v>72</v>
      </c>
      <c r="L127" t="s">
        <v>73</v>
      </c>
      <c r="M127" t="s">
        <v>73</v>
      </c>
      <c r="N127" t="s">
        <v>72</v>
      </c>
      <c r="O127" t="s">
        <v>72</v>
      </c>
      <c r="P127" t="s">
        <v>72</v>
      </c>
      <c r="Q127" t="s">
        <v>74</v>
      </c>
    </row>
    <row r="128" spans="1:17" x14ac:dyDescent="0.2">
      <c r="A128">
        <v>66</v>
      </c>
      <c r="B128" t="s">
        <v>71</v>
      </c>
      <c r="C128" t="s">
        <v>73</v>
      </c>
      <c r="D128" t="s">
        <v>73</v>
      </c>
      <c r="E128" t="s">
        <v>72</v>
      </c>
      <c r="F128" t="s">
        <v>73</v>
      </c>
      <c r="G128" t="s">
        <v>72</v>
      </c>
      <c r="H128" t="s">
        <v>73</v>
      </c>
      <c r="I128" t="s">
        <v>72</v>
      </c>
      <c r="J128" t="s">
        <v>73</v>
      </c>
      <c r="K128" t="s">
        <v>73</v>
      </c>
      <c r="L128" t="s">
        <v>73</v>
      </c>
      <c r="M128" t="s">
        <v>73</v>
      </c>
      <c r="N128" t="s">
        <v>72</v>
      </c>
      <c r="O128" t="s">
        <v>72</v>
      </c>
      <c r="P128" t="s">
        <v>72</v>
      </c>
      <c r="Q128" t="s">
        <v>74</v>
      </c>
    </row>
    <row r="129" spans="1:17" x14ac:dyDescent="0.2">
      <c r="A129">
        <v>57</v>
      </c>
      <c r="B129" t="s">
        <v>71</v>
      </c>
      <c r="C129" t="s">
        <v>73</v>
      </c>
      <c r="D129" t="s">
        <v>72</v>
      </c>
      <c r="E129" t="s">
        <v>72</v>
      </c>
      <c r="F129" t="s">
        <v>73</v>
      </c>
      <c r="G129" t="s">
        <v>73</v>
      </c>
      <c r="H129" t="s">
        <v>72</v>
      </c>
      <c r="I129" t="s">
        <v>72</v>
      </c>
      <c r="J129" t="s">
        <v>73</v>
      </c>
      <c r="K129" t="s">
        <v>73</v>
      </c>
      <c r="L129" t="s">
        <v>72</v>
      </c>
      <c r="M129" t="s">
        <v>72</v>
      </c>
      <c r="N129" t="s">
        <v>73</v>
      </c>
      <c r="O129" t="s">
        <v>73</v>
      </c>
      <c r="P129" t="s">
        <v>72</v>
      </c>
      <c r="Q129" t="s">
        <v>74</v>
      </c>
    </row>
    <row r="130" spans="1:17" x14ac:dyDescent="0.2">
      <c r="A130">
        <v>32</v>
      </c>
      <c r="B130" t="s">
        <v>71</v>
      </c>
      <c r="C130" t="s">
        <v>72</v>
      </c>
      <c r="D130" t="s">
        <v>73</v>
      </c>
      <c r="E130" t="s">
        <v>72</v>
      </c>
      <c r="F130" t="s">
        <v>73</v>
      </c>
      <c r="G130" t="s">
        <v>73</v>
      </c>
      <c r="H130" t="s">
        <v>73</v>
      </c>
      <c r="I130" t="s">
        <v>72</v>
      </c>
      <c r="J130" t="s">
        <v>73</v>
      </c>
      <c r="K130" t="s">
        <v>73</v>
      </c>
      <c r="L130" t="s">
        <v>72</v>
      </c>
      <c r="M130" t="s">
        <v>72</v>
      </c>
      <c r="N130" t="s">
        <v>72</v>
      </c>
      <c r="O130" t="s">
        <v>73</v>
      </c>
      <c r="P130" t="s">
        <v>72</v>
      </c>
      <c r="Q130" t="s">
        <v>74</v>
      </c>
    </row>
    <row r="131" spans="1:17" x14ac:dyDescent="0.2">
      <c r="A131">
        <v>48</v>
      </c>
      <c r="B131" t="s">
        <v>71</v>
      </c>
      <c r="C131" t="s">
        <v>73</v>
      </c>
      <c r="D131" t="s">
        <v>73</v>
      </c>
      <c r="E131" t="s">
        <v>73</v>
      </c>
      <c r="F131" t="s">
        <v>73</v>
      </c>
      <c r="G131" t="s">
        <v>72</v>
      </c>
      <c r="H131" t="s">
        <v>72</v>
      </c>
      <c r="I131" t="s">
        <v>72</v>
      </c>
      <c r="J131" t="s">
        <v>73</v>
      </c>
      <c r="K131" t="s">
        <v>72</v>
      </c>
      <c r="L131" t="s">
        <v>72</v>
      </c>
      <c r="M131" t="s">
        <v>73</v>
      </c>
      <c r="N131" t="s">
        <v>72</v>
      </c>
      <c r="O131" t="s">
        <v>73</v>
      </c>
      <c r="P131" t="s">
        <v>72</v>
      </c>
      <c r="Q131" t="s">
        <v>74</v>
      </c>
    </row>
    <row r="132" spans="1:17" x14ac:dyDescent="0.2">
      <c r="A132">
        <v>47</v>
      </c>
      <c r="B132" t="s">
        <v>71</v>
      </c>
      <c r="C132" t="s">
        <v>73</v>
      </c>
      <c r="D132" t="s">
        <v>73</v>
      </c>
      <c r="E132" t="s">
        <v>73</v>
      </c>
      <c r="F132" t="s">
        <v>73</v>
      </c>
      <c r="G132" t="s">
        <v>73</v>
      </c>
      <c r="H132" t="s">
        <v>73</v>
      </c>
      <c r="I132" t="s">
        <v>73</v>
      </c>
      <c r="J132" t="s">
        <v>73</v>
      </c>
      <c r="K132" t="s">
        <v>73</v>
      </c>
      <c r="L132" t="s">
        <v>72</v>
      </c>
      <c r="M132" t="s">
        <v>72</v>
      </c>
      <c r="N132" t="s">
        <v>73</v>
      </c>
      <c r="O132" t="s">
        <v>72</v>
      </c>
      <c r="P132" t="s">
        <v>72</v>
      </c>
      <c r="Q132" t="s">
        <v>74</v>
      </c>
    </row>
    <row r="133" spans="1:17" x14ac:dyDescent="0.2">
      <c r="A133">
        <v>43</v>
      </c>
      <c r="B133" t="s">
        <v>71</v>
      </c>
      <c r="C133" t="s">
        <v>73</v>
      </c>
      <c r="D133" t="s">
        <v>72</v>
      </c>
      <c r="E133" t="s">
        <v>72</v>
      </c>
      <c r="F133" t="s">
        <v>72</v>
      </c>
      <c r="G133" t="s">
        <v>73</v>
      </c>
      <c r="H133" t="s">
        <v>72</v>
      </c>
      <c r="I133" t="s">
        <v>72</v>
      </c>
      <c r="J133" t="s">
        <v>72</v>
      </c>
      <c r="K133" t="s">
        <v>73</v>
      </c>
      <c r="L133" t="s">
        <v>72</v>
      </c>
      <c r="M133" t="s">
        <v>72</v>
      </c>
      <c r="N133" t="s">
        <v>73</v>
      </c>
      <c r="O133" t="s">
        <v>72</v>
      </c>
      <c r="P133" t="s">
        <v>72</v>
      </c>
      <c r="Q133" t="s">
        <v>74</v>
      </c>
    </row>
    <row r="134" spans="1:17" x14ac:dyDescent="0.2">
      <c r="A134">
        <v>30</v>
      </c>
      <c r="B134" t="s">
        <v>71</v>
      </c>
      <c r="C134" t="s">
        <v>73</v>
      </c>
      <c r="D134" t="s">
        <v>73</v>
      </c>
      <c r="E134" t="s">
        <v>73</v>
      </c>
      <c r="F134" t="s">
        <v>73</v>
      </c>
      <c r="G134" t="s">
        <v>72</v>
      </c>
      <c r="H134" t="s">
        <v>73</v>
      </c>
      <c r="I134" t="s">
        <v>72</v>
      </c>
      <c r="J134" t="s">
        <v>72</v>
      </c>
      <c r="K134" t="s">
        <v>72</v>
      </c>
      <c r="L134" t="s">
        <v>73</v>
      </c>
      <c r="M134" t="s">
        <v>72</v>
      </c>
      <c r="N134" t="s">
        <v>72</v>
      </c>
      <c r="O134" t="s">
        <v>72</v>
      </c>
      <c r="P134" t="s">
        <v>72</v>
      </c>
      <c r="Q134" t="s">
        <v>74</v>
      </c>
    </row>
    <row r="135" spans="1:17" x14ac:dyDescent="0.2">
      <c r="A135">
        <v>16</v>
      </c>
      <c r="B135" t="s">
        <v>71</v>
      </c>
      <c r="C135" t="s">
        <v>73</v>
      </c>
      <c r="D135" t="s">
        <v>72</v>
      </c>
      <c r="E135" t="s">
        <v>73</v>
      </c>
      <c r="F135" t="s">
        <v>72</v>
      </c>
      <c r="G135" t="s">
        <v>73</v>
      </c>
      <c r="H135" t="s">
        <v>72</v>
      </c>
      <c r="I135" t="s">
        <v>72</v>
      </c>
      <c r="J135" t="s">
        <v>72</v>
      </c>
      <c r="K135" t="s">
        <v>72</v>
      </c>
      <c r="L135" t="s">
        <v>72</v>
      </c>
      <c r="M135" t="s">
        <v>72</v>
      </c>
      <c r="N135" t="s">
        <v>72</v>
      </c>
      <c r="O135" t="s">
        <v>72</v>
      </c>
      <c r="P135" t="s">
        <v>72</v>
      </c>
      <c r="Q135" t="s">
        <v>74</v>
      </c>
    </row>
    <row r="136" spans="1:17" x14ac:dyDescent="0.2">
      <c r="A136">
        <v>35</v>
      </c>
      <c r="B136" t="s">
        <v>71</v>
      </c>
      <c r="C136" t="s">
        <v>73</v>
      </c>
      <c r="D136" t="s">
        <v>73</v>
      </c>
      <c r="E136" t="s">
        <v>73</v>
      </c>
      <c r="F136" t="s">
        <v>73</v>
      </c>
      <c r="G136" t="s">
        <v>72</v>
      </c>
      <c r="H136" t="s">
        <v>72</v>
      </c>
      <c r="I136" t="s">
        <v>72</v>
      </c>
      <c r="J136" t="s">
        <v>72</v>
      </c>
      <c r="K136" t="s">
        <v>72</v>
      </c>
      <c r="L136" t="s">
        <v>72</v>
      </c>
      <c r="M136" t="s">
        <v>72</v>
      </c>
      <c r="N136" t="s">
        <v>72</v>
      </c>
      <c r="O136" t="s">
        <v>72</v>
      </c>
      <c r="P136" t="s">
        <v>72</v>
      </c>
      <c r="Q136" t="s">
        <v>74</v>
      </c>
    </row>
    <row r="137" spans="1:17" x14ac:dyDescent="0.2">
      <c r="A137">
        <v>66</v>
      </c>
      <c r="B137" t="s">
        <v>71</v>
      </c>
      <c r="C137" t="s">
        <v>72</v>
      </c>
      <c r="D137" t="s">
        <v>72</v>
      </c>
      <c r="E137" t="s">
        <v>72</v>
      </c>
      <c r="F137" t="s">
        <v>73</v>
      </c>
      <c r="G137" t="s">
        <v>72</v>
      </c>
      <c r="H137" t="s">
        <v>73</v>
      </c>
      <c r="I137" t="s">
        <v>73</v>
      </c>
      <c r="J137" t="s">
        <v>72</v>
      </c>
      <c r="K137" t="s">
        <v>73</v>
      </c>
      <c r="L137" t="s">
        <v>73</v>
      </c>
      <c r="M137" t="s">
        <v>73</v>
      </c>
      <c r="N137" t="s">
        <v>73</v>
      </c>
      <c r="O137" t="s">
        <v>73</v>
      </c>
      <c r="P137" t="s">
        <v>72</v>
      </c>
      <c r="Q137" t="s">
        <v>74</v>
      </c>
    </row>
    <row r="138" spans="1:17" x14ac:dyDescent="0.2">
      <c r="A138">
        <v>54</v>
      </c>
      <c r="B138" t="s">
        <v>71</v>
      </c>
      <c r="C138" t="s">
        <v>72</v>
      </c>
      <c r="D138" t="s">
        <v>72</v>
      </c>
      <c r="E138" t="s">
        <v>72</v>
      </c>
      <c r="F138" t="s">
        <v>72</v>
      </c>
      <c r="G138" t="s">
        <v>72</v>
      </c>
      <c r="H138" t="s">
        <v>73</v>
      </c>
      <c r="I138" t="s">
        <v>72</v>
      </c>
      <c r="J138" t="s">
        <v>73</v>
      </c>
      <c r="K138" t="s">
        <v>73</v>
      </c>
      <c r="L138" t="s">
        <v>72</v>
      </c>
      <c r="M138" t="s">
        <v>72</v>
      </c>
      <c r="N138" t="s">
        <v>73</v>
      </c>
      <c r="O138" t="s">
        <v>73</v>
      </c>
      <c r="P138" t="s">
        <v>73</v>
      </c>
      <c r="Q138" t="s">
        <v>74</v>
      </c>
    </row>
    <row r="139" spans="1:17" x14ac:dyDescent="0.2">
      <c r="A139">
        <v>58</v>
      </c>
      <c r="B139" t="s">
        <v>71</v>
      </c>
      <c r="C139" t="s">
        <v>73</v>
      </c>
      <c r="D139" t="s">
        <v>73</v>
      </c>
      <c r="E139" t="s">
        <v>73</v>
      </c>
      <c r="F139" t="s">
        <v>73</v>
      </c>
      <c r="G139" t="s">
        <v>73</v>
      </c>
      <c r="H139" t="s">
        <v>73</v>
      </c>
      <c r="I139" t="s">
        <v>72</v>
      </c>
      <c r="J139" t="s">
        <v>73</v>
      </c>
      <c r="K139" t="s">
        <v>73</v>
      </c>
      <c r="L139" t="s">
        <v>73</v>
      </c>
      <c r="M139" t="s">
        <v>73</v>
      </c>
      <c r="N139" t="s">
        <v>73</v>
      </c>
      <c r="O139" t="s">
        <v>73</v>
      </c>
      <c r="P139" t="s">
        <v>73</v>
      </c>
      <c r="Q139" t="s">
        <v>74</v>
      </c>
    </row>
    <row r="140" spans="1:17" x14ac:dyDescent="0.2">
      <c r="A140">
        <v>51</v>
      </c>
      <c r="B140" t="s">
        <v>71</v>
      </c>
      <c r="C140" t="s">
        <v>73</v>
      </c>
      <c r="D140" t="s">
        <v>73</v>
      </c>
      <c r="E140" t="s">
        <v>73</v>
      </c>
      <c r="F140" t="s">
        <v>73</v>
      </c>
      <c r="G140" t="s">
        <v>72</v>
      </c>
      <c r="H140" t="s">
        <v>73</v>
      </c>
      <c r="I140" t="s">
        <v>72</v>
      </c>
      <c r="J140" t="s">
        <v>72</v>
      </c>
      <c r="K140" t="s">
        <v>73</v>
      </c>
      <c r="L140" t="s">
        <v>73</v>
      </c>
      <c r="M140" t="s">
        <v>73</v>
      </c>
      <c r="N140" t="s">
        <v>72</v>
      </c>
      <c r="O140" t="s">
        <v>73</v>
      </c>
      <c r="P140" t="s">
        <v>72</v>
      </c>
      <c r="Q140" t="s">
        <v>74</v>
      </c>
    </row>
    <row r="141" spans="1:17" x14ac:dyDescent="0.2">
      <c r="A141">
        <v>40</v>
      </c>
      <c r="B141" t="s">
        <v>71</v>
      </c>
      <c r="C141" t="s">
        <v>73</v>
      </c>
      <c r="D141" t="s">
        <v>72</v>
      </c>
      <c r="E141" t="s">
        <v>72</v>
      </c>
      <c r="F141" t="s">
        <v>72</v>
      </c>
      <c r="G141" t="s">
        <v>72</v>
      </c>
      <c r="H141" t="s">
        <v>73</v>
      </c>
      <c r="I141" t="s">
        <v>72</v>
      </c>
      <c r="J141" t="s">
        <v>73</v>
      </c>
      <c r="K141" t="s">
        <v>72</v>
      </c>
      <c r="L141" t="s">
        <v>73</v>
      </c>
      <c r="M141" t="s">
        <v>72</v>
      </c>
      <c r="N141" t="s">
        <v>72</v>
      </c>
      <c r="O141" t="s">
        <v>73</v>
      </c>
      <c r="P141" t="s">
        <v>72</v>
      </c>
      <c r="Q141" t="s">
        <v>74</v>
      </c>
    </row>
    <row r="142" spans="1:17" x14ac:dyDescent="0.2">
      <c r="A142">
        <v>47</v>
      </c>
      <c r="B142" t="s">
        <v>71</v>
      </c>
      <c r="C142" t="s">
        <v>73</v>
      </c>
      <c r="D142" t="s">
        <v>73</v>
      </c>
      <c r="E142" t="s">
        <v>72</v>
      </c>
      <c r="F142" t="s">
        <v>72</v>
      </c>
      <c r="G142" t="s">
        <v>72</v>
      </c>
      <c r="H142" t="s">
        <v>72</v>
      </c>
      <c r="I142" t="s">
        <v>72</v>
      </c>
      <c r="J142" t="s">
        <v>72</v>
      </c>
      <c r="K142" t="s">
        <v>72</v>
      </c>
      <c r="L142" t="s">
        <v>72</v>
      </c>
      <c r="M142" t="s">
        <v>72</v>
      </c>
      <c r="N142" t="s">
        <v>73</v>
      </c>
      <c r="O142" t="s">
        <v>72</v>
      </c>
      <c r="P142" t="s">
        <v>72</v>
      </c>
      <c r="Q142" t="s">
        <v>74</v>
      </c>
    </row>
    <row r="143" spans="1:17" x14ac:dyDescent="0.2">
      <c r="A143">
        <v>62</v>
      </c>
      <c r="B143" t="s">
        <v>71</v>
      </c>
      <c r="C143" t="s">
        <v>73</v>
      </c>
      <c r="D143" t="s">
        <v>73</v>
      </c>
      <c r="E143" t="s">
        <v>72</v>
      </c>
      <c r="F143" t="s">
        <v>72</v>
      </c>
      <c r="G143" t="s">
        <v>73</v>
      </c>
      <c r="H143" t="s">
        <v>72</v>
      </c>
      <c r="I143" t="s">
        <v>73</v>
      </c>
      <c r="J143" t="s">
        <v>72</v>
      </c>
      <c r="K143" t="s">
        <v>73</v>
      </c>
      <c r="L143" t="s">
        <v>73</v>
      </c>
      <c r="M143" t="s">
        <v>73</v>
      </c>
      <c r="N143" t="s">
        <v>72</v>
      </c>
      <c r="O143" t="s">
        <v>73</v>
      </c>
      <c r="P143" t="s">
        <v>72</v>
      </c>
      <c r="Q143" t="s">
        <v>74</v>
      </c>
    </row>
    <row r="144" spans="1:17" x14ac:dyDescent="0.2">
      <c r="A144">
        <v>49</v>
      </c>
      <c r="B144" t="s">
        <v>71</v>
      </c>
      <c r="C144" t="s">
        <v>73</v>
      </c>
      <c r="D144" t="s">
        <v>73</v>
      </c>
      <c r="E144" t="s">
        <v>73</v>
      </c>
      <c r="F144" t="s">
        <v>72</v>
      </c>
      <c r="G144" t="s">
        <v>72</v>
      </c>
      <c r="H144" t="s">
        <v>72</v>
      </c>
      <c r="I144" t="s">
        <v>72</v>
      </c>
      <c r="J144" t="s">
        <v>73</v>
      </c>
      <c r="K144" t="s">
        <v>72</v>
      </c>
      <c r="L144" t="s">
        <v>72</v>
      </c>
      <c r="M144" t="s">
        <v>72</v>
      </c>
      <c r="N144" t="s">
        <v>72</v>
      </c>
      <c r="O144" t="s">
        <v>72</v>
      </c>
      <c r="P144" t="s">
        <v>72</v>
      </c>
      <c r="Q144" t="s">
        <v>74</v>
      </c>
    </row>
    <row r="145" spans="1:17" x14ac:dyDescent="0.2">
      <c r="A145">
        <v>53</v>
      </c>
      <c r="B145" t="s">
        <v>71</v>
      </c>
      <c r="C145" t="s">
        <v>73</v>
      </c>
      <c r="D145" t="s">
        <v>72</v>
      </c>
      <c r="E145" t="s">
        <v>73</v>
      </c>
      <c r="F145" t="s">
        <v>72</v>
      </c>
      <c r="G145" t="s">
        <v>72</v>
      </c>
      <c r="H145" t="s">
        <v>72</v>
      </c>
      <c r="I145" t="s">
        <v>72</v>
      </c>
      <c r="J145" t="s">
        <v>72</v>
      </c>
      <c r="K145" t="s">
        <v>72</v>
      </c>
      <c r="L145" t="s">
        <v>73</v>
      </c>
      <c r="M145" t="s">
        <v>73</v>
      </c>
      <c r="N145" t="s">
        <v>72</v>
      </c>
      <c r="O145" t="s">
        <v>72</v>
      </c>
      <c r="P145" t="s">
        <v>72</v>
      </c>
      <c r="Q145" t="s">
        <v>74</v>
      </c>
    </row>
    <row r="146" spans="1:17" x14ac:dyDescent="0.2">
      <c r="A146">
        <v>68</v>
      </c>
      <c r="B146" t="s">
        <v>71</v>
      </c>
      <c r="C146" t="s">
        <v>73</v>
      </c>
      <c r="D146" t="s">
        <v>73</v>
      </c>
      <c r="E146" t="s">
        <v>72</v>
      </c>
      <c r="F146" t="s">
        <v>72</v>
      </c>
      <c r="G146" t="s">
        <v>73</v>
      </c>
      <c r="H146" t="s">
        <v>72</v>
      </c>
      <c r="I146" t="s">
        <v>73</v>
      </c>
      <c r="J146" t="s">
        <v>73</v>
      </c>
      <c r="K146" t="s">
        <v>73</v>
      </c>
      <c r="L146" t="s">
        <v>72</v>
      </c>
      <c r="M146" t="s">
        <v>73</v>
      </c>
      <c r="N146" t="s">
        <v>72</v>
      </c>
      <c r="O146" t="s">
        <v>72</v>
      </c>
      <c r="P146" t="s">
        <v>72</v>
      </c>
      <c r="Q146" t="s">
        <v>74</v>
      </c>
    </row>
    <row r="147" spans="1:17" x14ac:dyDescent="0.2">
      <c r="A147">
        <v>61</v>
      </c>
      <c r="B147" t="s">
        <v>71</v>
      </c>
      <c r="C147" t="s">
        <v>73</v>
      </c>
      <c r="D147" t="s">
        <v>72</v>
      </c>
      <c r="E147" t="s">
        <v>72</v>
      </c>
      <c r="F147" t="s">
        <v>73</v>
      </c>
      <c r="G147" t="s">
        <v>73</v>
      </c>
      <c r="H147" t="s">
        <v>73</v>
      </c>
      <c r="I147" t="s">
        <v>73</v>
      </c>
      <c r="J147" t="s">
        <v>73</v>
      </c>
      <c r="K147" t="s">
        <v>73</v>
      </c>
      <c r="L147" t="s">
        <v>73</v>
      </c>
      <c r="M147" t="s">
        <v>73</v>
      </c>
      <c r="N147" t="s">
        <v>72</v>
      </c>
      <c r="O147" t="s">
        <v>72</v>
      </c>
      <c r="P147" t="s">
        <v>72</v>
      </c>
      <c r="Q147" t="s">
        <v>74</v>
      </c>
    </row>
    <row r="148" spans="1:17" x14ac:dyDescent="0.2">
      <c r="A148">
        <v>39</v>
      </c>
      <c r="B148" t="s">
        <v>71</v>
      </c>
      <c r="C148" t="s">
        <v>73</v>
      </c>
      <c r="D148" t="s">
        <v>73</v>
      </c>
      <c r="E148" t="s">
        <v>72</v>
      </c>
      <c r="F148" t="s">
        <v>72</v>
      </c>
      <c r="G148" t="s">
        <v>72</v>
      </c>
      <c r="H148" t="s">
        <v>73</v>
      </c>
      <c r="I148" t="s">
        <v>72</v>
      </c>
      <c r="J148" t="s">
        <v>73</v>
      </c>
      <c r="K148" t="s">
        <v>72</v>
      </c>
      <c r="L148" t="s">
        <v>72</v>
      </c>
      <c r="M148" t="s">
        <v>72</v>
      </c>
      <c r="N148" t="s">
        <v>73</v>
      </c>
      <c r="O148" t="s">
        <v>72</v>
      </c>
      <c r="P148" t="s">
        <v>73</v>
      </c>
      <c r="Q148" t="s">
        <v>74</v>
      </c>
    </row>
    <row r="149" spans="1:17" x14ac:dyDescent="0.2">
      <c r="A149">
        <v>38</v>
      </c>
      <c r="B149" t="s">
        <v>71</v>
      </c>
      <c r="C149" t="s">
        <v>73</v>
      </c>
      <c r="D149" t="s">
        <v>72</v>
      </c>
      <c r="E149" t="s">
        <v>72</v>
      </c>
      <c r="F149" t="s">
        <v>72</v>
      </c>
      <c r="G149" t="s">
        <v>72</v>
      </c>
      <c r="H149" t="s">
        <v>73</v>
      </c>
      <c r="I149" t="s">
        <v>72</v>
      </c>
      <c r="J149" t="s">
        <v>73</v>
      </c>
      <c r="K149" t="s">
        <v>72</v>
      </c>
      <c r="L149" t="s">
        <v>72</v>
      </c>
      <c r="M149" t="s">
        <v>72</v>
      </c>
      <c r="N149" t="s">
        <v>73</v>
      </c>
      <c r="O149" t="s">
        <v>72</v>
      </c>
      <c r="P149" t="s">
        <v>73</v>
      </c>
      <c r="Q149" t="s">
        <v>74</v>
      </c>
    </row>
    <row r="150" spans="1:17" x14ac:dyDescent="0.2">
      <c r="A150">
        <v>44</v>
      </c>
      <c r="B150" t="s">
        <v>71</v>
      </c>
      <c r="C150" t="s">
        <v>72</v>
      </c>
      <c r="D150" t="s">
        <v>73</v>
      </c>
      <c r="E150" t="s">
        <v>72</v>
      </c>
      <c r="F150" t="s">
        <v>72</v>
      </c>
      <c r="G150" t="s">
        <v>72</v>
      </c>
      <c r="H150" t="s">
        <v>73</v>
      </c>
      <c r="I150" t="s">
        <v>72</v>
      </c>
      <c r="J150" t="s">
        <v>72</v>
      </c>
      <c r="K150" t="s">
        <v>72</v>
      </c>
      <c r="L150" t="s">
        <v>73</v>
      </c>
      <c r="M150" t="s">
        <v>72</v>
      </c>
      <c r="N150" t="s">
        <v>72</v>
      </c>
      <c r="O150" t="s">
        <v>72</v>
      </c>
      <c r="P150" t="s">
        <v>73</v>
      </c>
      <c r="Q150" t="s">
        <v>74</v>
      </c>
    </row>
    <row r="151" spans="1:17" x14ac:dyDescent="0.2">
      <c r="A151">
        <v>45</v>
      </c>
      <c r="B151" t="s">
        <v>71</v>
      </c>
      <c r="C151" t="s">
        <v>73</v>
      </c>
      <c r="D151" t="s">
        <v>73</v>
      </c>
      <c r="E151" t="s">
        <v>72</v>
      </c>
      <c r="F151" t="s">
        <v>73</v>
      </c>
      <c r="G151" t="s">
        <v>72</v>
      </c>
      <c r="H151" t="s">
        <v>73</v>
      </c>
      <c r="I151" t="s">
        <v>72</v>
      </c>
      <c r="J151" t="s">
        <v>72</v>
      </c>
      <c r="K151" t="s">
        <v>72</v>
      </c>
      <c r="L151" t="s">
        <v>73</v>
      </c>
      <c r="M151" t="s">
        <v>72</v>
      </c>
      <c r="N151" t="s">
        <v>72</v>
      </c>
      <c r="O151" t="s">
        <v>73</v>
      </c>
      <c r="P151" t="s">
        <v>72</v>
      </c>
      <c r="Q151" t="s">
        <v>74</v>
      </c>
    </row>
    <row r="152" spans="1:17" x14ac:dyDescent="0.2">
      <c r="A152">
        <v>50</v>
      </c>
      <c r="B152" t="s">
        <v>71</v>
      </c>
      <c r="C152" t="s">
        <v>73</v>
      </c>
      <c r="D152" t="s">
        <v>73</v>
      </c>
      <c r="E152" t="s">
        <v>73</v>
      </c>
      <c r="F152" t="s">
        <v>73</v>
      </c>
      <c r="G152" t="s">
        <v>73</v>
      </c>
      <c r="H152" t="s">
        <v>72</v>
      </c>
      <c r="I152" t="s">
        <v>72</v>
      </c>
      <c r="J152" t="s">
        <v>73</v>
      </c>
      <c r="K152" t="s">
        <v>73</v>
      </c>
      <c r="L152" t="s">
        <v>73</v>
      </c>
      <c r="M152" t="s">
        <v>72</v>
      </c>
      <c r="N152" t="s">
        <v>72</v>
      </c>
      <c r="O152" t="s">
        <v>73</v>
      </c>
      <c r="P152" t="s">
        <v>72</v>
      </c>
      <c r="Q152" t="s">
        <v>74</v>
      </c>
    </row>
    <row r="153" spans="1:17" x14ac:dyDescent="0.2">
      <c r="A153">
        <v>42</v>
      </c>
      <c r="B153" t="s">
        <v>71</v>
      </c>
      <c r="C153" t="s">
        <v>73</v>
      </c>
      <c r="D153" t="s">
        <v>73</v>
      </c>
      <c r="E153" t="s">
        <v>72</v>
      </c>
      <c r="F153" t="s">
        <v>73</v>
      </c>
      <c r="G153" t="s">
        <v>72</v>
      </c>
      <c r="H153" t="s">
        <v>73</v>
      </c>
      <c r="I153" t="s">
        <v>72</v>
      </c>
      <c r="J153" t="s">
        <v>72</v>
      </c>
      <c r="K153" t="s">
        <v>73</v>
      </c>
      <c r="L153" t="s">
        <v>72</v>
      </c>
      <c r="M153" t="s">
        <v>73</v>
      </c>
      <c r="N153" t="s">
        <v>72</v>
      </c>
      <c r="O153" t="s">
        <v>73</v>
      </c>
      <c r="P153" t="s">
        <v>72</v>
      </c>
      <c r="Q153" t="s">
        <v>74</v>
      </c>
    </row>
    <row r="154" spans="1:17" x14ac:dyDescent="0.2">
      <c r="A154">
        <v>55</v>
      </c>
      <c r="B154" t="s">
        <v>71</v>
      </c>
      <c r="C154" t="s">
        <v>72</v>
      </c>
      <c r="D154" t="s">
        <v>73</v>
      </c>
      <c r="E154" t="s">
        <v>72</v>
      </c>
      <c r="F154" t="s">
        <v>73</v>
      </c>
      <c r="G154" t="s">
        <v>72</v>
      </c>
      <c r="H154" t="s">
        <v>73</v>
      </c>
      <c r="I154" t="s">
        <v>72</v>
      </c>
      <c r="J154" t="s">
        <v>72</v>
      </c>
      <c r="K154" t="s">
        <v>73</v>
      </c>
      <c r="L154" t="s">
        <v>73</v>
      </c>
      <c r="M154" t="s">
        <v>72</v>
      </c>
      <c r="N154" t="s">
        <v>72</v>
      </c>
      <c r="O154" t="s">
        <v>73</v>
      </c>
      <c r="P154" t="s">
        <v>72</v>
      </c>
      <c r="Q154" t="s">
        <v>74</v>
      </c>
    </row>
    <row r="155" spans="1:17" x14ac:dyDescent="0.2">
      <c r="A155">
        <v>57</v>
      </c>
      <c r="B155" t="s">
        <v>71</v>
      </c>
      <c r="C155" t="s">
        <v>72</v>
      </c>
      <c r="D155" t="s">
        <v>73</v>
      </c>
      <c r="E155" t="s">
        <v>72</v>
      </c>
      <c r="F155" t="s">
        <v>73</v>
      </c>
      <c r="G155" t="s">
        <v>72</v>
      </c>
      <c r="H155" t="s">
        <v>73</v>
      </c>
      <c r="I155" t="s">
        <v>73</v>
      </c>
      <c r="J155" t="s">
        <v>72</v>
      </c>
      <c r="K155" t="s">
        <v>73</v>
      </c>
      <c r="L155" t="s">
        <v>73</v>
      </c>
      <c r="M155" t="s">
        <v>73</v>
      </c>
      <c r="N155" t="s">
        <v>73</v>
      </c>
      <c r="O155" t="s">
        <v>73</v>
      </c>
      <c r="P155" t="s">
        <v>72</v>
      </c>
      <c r="Q155" t="s">
        <v>74</v>
      </c>
    </row>
    <row r="156" spans="1:17" x14ac:dyDescent="0.2">
      <c r="A156">
        <v>62</v>
      </c>
      <c r="B156" t="s">
        <v>71</v>
      </c>
      <c r="C156" t="s">
        <v>73</v>
      </c>
      <c r="D156" t="s">
        <v>72</v>
      </c>
      <c r="E156" t="s">
        <v>72</v>
      </c>
      <c r="F156" t="s">
        <v>73</v>
      </c>
      <c r="G156" t="s">
        <v>72</v>
      </c>
      <c r="H156" t="s">
        <v>73</v>
      </c>
      <c r="I156" t="s">
        <v>73</v>
      </c>
      <c r="J156" t="s">
        <v>73</v>
      </c>
      <c r="K156" t="s">
        <v>73</v>
      </c>
      <c r="L156" t="s">
        <v>72</v>
      </c>
      <c r="M156" t="s">
        <v>73</v>
      </c>
      <c r="N156" t="s">
        <v>73</v>
      </c>
      <c r="O156" t="s">
        <v>73</v>
      </c>
      <c r="P156" t="s">
        <v>73</v>
      </c>
      <c r="Q156" t="s">
        <v>74</v>
      </c>
    </row>
    <row r="157" spans="1:17" x14ac:dyDescent="0.2">
      <c r="A157">
        <v>33</v>
      </c>
      <c r="B157" t="s">
        <v>71</v>
      </c>
      <c r="C157" t="s">
        <v>72</v>
      </c>
      <c r="D157" t="s">
        <v>73</v>
      </c>
      <c r="E157" t="s">
        <v>72</v>
      </c>
      <c r="F157" t="s">
        <v>72</v>
      </c>
      <c r="G157" t="s">
        <v>72</v>
      </c>
      <c r="H157" t="s">
        <v>72</v>
      </c>
      <c r="I157" t="s">
        <v>72</v>
      </c>
      <c r="J157" t="s">
        <v>72</v>
      </c>
      <c r="K157" t="s">
        <v>72</v>
      </c>
      <c r="L157" t="s">
        <v>72</v>
      </c>
      <c r="M157" t="s">
        <v>72</v>
      </c>
      <c r="N157" t="s">
        <v>72</v>
      </c>
      <c r="O157" t="s">
        <v>72</v>
      </c>
      <c r="P157" t="s">
        <v>72</v>
      </c>
      <c r="Q157" t="s">
        <v>74</v>
      </c>
    </row>
    <row r="158" spans="1:17" x14ac:dyDescent="0.2">
      <c r="A158">
        <v>55</v>
      </c>
      <c r="B158" t="s">
        <v>71</v>
      </c>
      <c r="C158" t="s">
        <v>73</v>
      </c>
      <c r="D158" t="s">
        <v>73</v>
      </c>
      <c r="E158" t="s">
        <v>73</v>
      </c>
      <c r="F158" t="s">
        <v>73</v>
      </c>
      <c r="G158" t="s">
        <v>72</v>
      </c>
      <c r="H158" t="s">
        <v>73</v>
      </c>
      <c r="I158" t="s">
        <v>72</v>
      </c>
      <c r="J158" t="s">
        <v>72</v>
      </c>
      <c r="K158" t="s">
        <v>73</v>
      </c>
      <c r="L158" t="s">
        <v>72</v>
      </c>
      <c r="M158" t="s">
        <v>73</v>
      </c>
      <c r="N158" t="s">
        <v>72</v>
      </c>
      <c r="O158" t="s">
        <v>72</v>
      </c>
      <c r="P158" t="s">
        <v>72</v>
      </c>
      <c r="Q158" t="s">
        <v>74</v>
      </c>
    </row>
    <row r="159" spans="1:17" x14ac:dyDescent="0.2">
      <c r="A159">
        <v>48</v>
      </c>
      <c r="B159" t="s">
        <v>71</v>
      </c>
      <c r="C159" t="s">
        <v>73</v>
      </c>
      <c r="D159" t="s">
        <v>73</v>
      </c>
      <c r="E159" t="s">
        <v>73</v>
      </c>
      <c r="F159" t="s">
        <v>72</v>
      </c>
      <c r="G159" t="s">
        <v>73</v>
      </c>
      <c r="H159" t="s">
        <v>73</v>
      </c>
      <c r="I159" t="s">
        <v>72</v>
      </c>
      <c r="J159" t="s">
        <v>72</v>
      </c>
      <c r="K159" t="s">
        <v>72</v>
      </c>
      <c r="L159" t="s">
        <v>73</v>
      </c>
      <c r="M159" t="s">
        <v>72</v>
      </c>
      <c r="N159" t="s">
        <v>72</v>
      </c>
      <c r="O159" t="s">
        <v>72</v>
      </c>
      <c r="P159" t="s">
        <v>72</v>
      </c>
      <c r="Q159" t="s">
        <v>74</v>
      </c>
    </row>
    <row r="160" spans="1:17" x14ac:dyDescent="0.2">
      <c r="A160">
        <v>56</v>
      </c>
      <c r="B160" t="s">
        <v>71</v>
      </c>
      <c r="C160" t="s">
        <v>73</v>
      </c>
      <c r="D160" t="s">
        <v>72</v>
      </c>
      <c r="E160" t="s">
        <v>73</v>
      </c>
      <c r="F160" t="s">
        <v>73</v>
      </c>
      <c r="G160" t="s">
        <v>72</v>
      </c>
      <c r="H160" t="s">
        <v>73</v>
      </c>
      <c r="I160" t="s">
        <v>72</v>
      </c>
      <c r="J160" t="s">
        <v>73</v>
      </c>
      <c r="K160" t="s">
        <v>73</v>
      </c>
      <c r="L160" t="s">
        <v>72</v>
      </c>
      <c r="M160" t="s">
        <v>72</v>
      </c>
      <c r="N160" t="s">
        <v>72</v>
      </c>
      <c r="O160" t="s">
        <v>73</v>
      </c>
      <c r="P160" t="s">
        <v>72</v>
      </c>
      <c r="Q160" t="s">
        <v>74</v>
      </c>
    </row>
    <row r="161" spans="1:17" x14ac:dyDescent="0.2">
      <c r="A161">
        <v>38</v>
      </c>
      <c r="B161" t="s">
        <v>75</v>
      </c>
      <c r="C161" t="s">
        <v>73</v>
      </c>
      <c r="D161" t="s">
        <v>73</v>
      </c>
      <c r="E161" t="s">
        <v>73</v>
      </c>
      <c r="F161" t="s">
        <v>73</v>
      </c>
      <c r="G161" t="s">
        <v>73</v>
      </c>
      <c r="H161" t="s">
        <v>72</v>
      </c>
      <c r="I161" t="s">
        <v>73</v>
      </c>
      <c r="J161" t="s">
        <v>73</v>
      </c>
      <c r="K161" t="s">
        <v>73</v>
      </c>
      <c r="L161" t="s">
        <v>73</v>
      </c>
      <c r="M161" t="s">
        <v>73</v>
      </c>
      <c r="N161" t="s">
        <v>73</v>
      </c>
      <c r="O161" t="s">
        <v>72</v>
      </c>
      <c r="P161" t="s">
        <v>72</v>
      </c>
      <c r="Q161" t="s">
        <v>74</v>
      </c>
    </row>
    <row r="162" spans="1:17" x14ac:dyDescent="0.2">
      <c r="A162">
        <v>28</v>
      </c>
      <c r="B162" t="s">
        <v>75</v>
      </c>
      <c r="C162" t="s">
        <v>72</v>
      </c>
      <c r="D162" t="s">
        <v>72</v>
      </c>
      <c r="E162" t="s">
        <v>72</v>
      </c>
      <c r="F162" t="s">
        <v>72</v>
      </c>
      <c r="G162" t="s">
        <v>72</v>
      </c>
      <c r="H162" t="s">
        <v>72</v>
      </c>
      <c r="I162" t="s">
        <v>73</v>
      </c>
      <c r="J162" t="s">
        <v>72</v>
      </c>
      <c r="K162" t="s">
        <v>72</v>
      </c>
      <c r="L162" t="s">
        <v>72</v>
      </c>
      <c r="M162" t="s">
        <v>73</v>
      </c>
      <c r="N162" t="s">
        <v>73</v>
      </c>
      <c r="O162" t="s">
        <v>72</v>
      </c>
      <c r="P162" t="s">
        <v>72</v>
      </c>
      <c r="Q162" t="s">
        <v>74</v>
      </c>
    </row>
    <row r="163" spans="1:17" x14ac:dyDescent="0.2">
      <c r="A163">
        <v>68</v>
      </c>
      <c r="B163" t="s">
        <v>75</v>
      </c>
      <c r="C163" t="s">
        <v>73</v>
      </c>
      <c r="D163" t="s">
        <v>73</v>
      </c>
      <c r="E163" t="s">
        <v>72</v>
      </c>
      <c r="F163" t="s">
        <v>73</v>
      </c>
      <c r="G163" t="s">
        <v>73</v>
      </c>
      <c r="H163" t="s">
        <v>72</v>
      </c>
      <c r="I163" t="s">
        <v>73</v>
      </c>
      <c r="J163" t="s">
        <v>73</v>
      </c>
      <c r="K163" t="s">
        <v>72</v>
      </c>
      <c r="L163" t="s">
        <v>73</v>
      </c>
      <c r="M163" t="s">
        <v>73</v>
      </c>
      <c r="N163" t="s">
        <v>72</v>
      </c>
      <c r="O163" t="s">
        <v>72</v>
      </c>
      <c r="P163" t="s">
        <v>72</v>
      </c>
      <c r="Q163" t="s">
        <v>74</v>
      </c>
    </row>
    <row r="164" spans="1:17" x14ac:dyDescent="0.2">
      <c r="A164">
        <v>35</v>
      </c>
      <c r="B164" t="s">
        <v>75</v>
      </c>
      <c r="C164" t="s">
        <v>72</v>
      </c>
      <c r="D164" t="s">
        <v>72</v>
      </c>
      <c r="E164" t="s">
        <v>72</v>
      </c>
      <c r="F164" t="s">
        <v>72</v>
      </c>
      <c r="G164" t="s">
        <v>72</v>
      </c>
      <c r="H164" t="s">
        <v>72</v>
      </c>
      <c r="I164" t="s">
        <v>72</v>
      </c>
      <c r="J164" t="s">
        <v>72</v>
      </c>
      <c r="K164" t="s">
        <v>72</v>
      </c>
      <c r="L164" t="s">
        <v>72</v>
      </c>
      <c r="M164" t="s">
        <v>72</v>
      </c>
      <c r="N164" t="s">
        <v>72</v>
      </c>
      <c r="O164" t="s">
        <v>72</v>
      </c>
      <c r="P164" t="s">
        <v>72</v>
      </c>
      <c r="Q164" t="s">
        <v>74</v>
      </c>
    </row>
    <row r="165" spans="1:17" x14ac:dyDescent="0.2">
      <c r="A165">
        <v>45</v>
      </c>
      <c r="B165" t="s">
        <v>75</v>
      </c>
      <c r="C165" t="s">
        <v>72</v>
      </c>
      <c r="D165" t="s">
        <v>72</v>
      </c>
      <c r="E165" t="s">
        <v>72</v>
      </c>
      <c r="F165" t="s">
        <v>72</v>
      </c>
      <c r="G165" t="s">
        <v>73</v>
      </c>
      <c r="H165" t="s">
        <v>72</v>
      </c>
      <c r="I165" t="s">
        <v>73</v>
      </c>
      <c r="J165" t="s">
        <v>73</v>
      </c>
      <c r="K165" t="s">
        <v>72</v>
      </c>
      <c r="L165" t="s">
        <v>72</v>
      </c>
      <c r="M165" t="s">
        <v>73</v>
      </c>
      <c r="N165" t="s">
        <v>72</v>
      </c>
      <c r="O165" t="s">
        <v>72</v>
      </c>
      <c r="P165" t="s">
        <v>72</v>
      </c>
      <c r="Q165" t="s">
        <v>74</v>
      </c>
    </row>
    <row r="166" spans="1:17" x14ac:dyDescent="0.2">
      <c r="A166">
        <v>48</v>
      </c>
      <c r="B166" t="s">
        <v>75</v>
      </c>
      <c r="C166" t="s">
        <v>73</v>
      </c>
      <c r="D166" t="s">
        <v>73</v>
      </c>
      <c r="E166" t="s">
        <v>73</v>
      </c>
      <c r="F166" t="s">
        <v>73</v>
      </c>
      <c r="G166" t="s">
        <v>73</v>
      </c>
      <c r="H166" t="s">
        <v>72</v>
      </c>
      <c r="I166" t="s">
        <v>73</v>
      </c>
      <c r="J166" t="s">
        <v>73</v>
      </c>
      <c r="K166" t="s">
        <v>73</v>
      </c>
      <c r="L166" t="s">
        <v>73</v>
      </c>
      <c r="M166" t="s">
        <v>73</v>
      </c>
      <c r="N166" t="s">
        <v>73</v>
      </c>
      <c r="O166" t="s">
        <v>72</v>
      </c>
      <c r="P166" t="s">
        <v>72</v>
      </c>
      <c r="Q166" t="s">
        <v>74</v>
      </c>
    </row>
    <row r="167" spans="1:17" x14ac:dyDescent="0.2">
      <c r="A167">
        <v>40</v>
      </c>
      <c r="B167" t="s">
        <v>75</v>
      </c>
      <c r="C167" t="s">
        <v>73</v>
      </c>
      <c r="D167" t="s">
        <v>73</v>
      </c>
      <c r="E167" t="s">
        <v>73</v>
      </c>
      <c r="F167" t="s">
        <v>73</v>
      </c>
      <c r="G167" t="s">
        <v>72</v>
      </c>
      <c r="H167" t="s">
        <v>72</v>
      </c>
      <c r="I167" t="s">
        <v>73</v>
      </c>
      <c r="J167" t="s">
        <v>72</v>
      </c>
      <c r="K167" t="s">
        <v>72</v>
      </c>
      <c r="L167" t="s">
        <v>73</v>
      </c>
      <c r="M167" t="s">
        <v>73</v>
      </c>
      <c r="N167" t="s">
        <v>73</v>
      </c>
      <c r="O167" t="s">
        <v>72</v>
      </c>
      <c r="P167" t="s">
        <v>72</v>
      </c>
      <c r="Q167" t="s">
        <v>74</v>
      </c>
    </row>
    <row r="168" spans="1:17" x14ac:dyDescent="0.2">
      <c r="A168">
        <v>57</v>
      </c>
      <c r="B168" t="s">
        <v>71</v>
      </c>
      <c r="C168" t="s">
        <v>73</v>
      </c>
      <c r="D168" t="s">
        <v>73</v>
      </c>
      <c r="E168" t="s">
        <v>73</v>
      </c>
      <c r="F168" t="s">
        <v>73</v>
      </c>
      <c r="G168" t="s">
        <v>73</v>
      </c>
      <c r="H168" t="s">
        <v>72</v>
      </c>
      <c r="I168" t="s">
        <v>73</v>
      </c>
      <c r="J168" t="s">
        <v>72</v>
      </c>
      <c r="K168" t="s">
        <v>72</v>
      </c>
      <c r="L168" t="s">
        <v>72</v>
      </c>
      <c r="M168" t="s">
        <v>73</v>
      </c>
      <c r="N168" t="s">
        <v>72</v>
      </c>
      <c r="O168" t="s">
        <v>72</v>
      </c>
      <c r="P168" t="s">
        <v>72</v>
      </c>
      <c r="Q168" t="s">
        <v>74</v>
      </c>
    </row>
    <row r="169" spans="1:17" x14ac:dyDescent="0.2">
      <c r="A169">
        <v>41</v>
      </c>
      <c r="B169" t="s">
        <v>71</v>
      </c>
      <c r="C169" t="s">
        <v>73</v>
      </c>
      <c r="D169" t="s">
        <v>73</v>
      </c>
      <c r="E169" t="s">
        <v>73</v>
      </c>
      <c r="F169" t="s">
        <v>73</v>
      </c>
      <c r="G169" t="s">
        <v>73</v>
      </c>
      <c r="H169" t="s">
        <v>73</v>
      </c>
      <c r="I169" t="s">
        <v>73</v>
      </c>
      <c r="J169" t="s">
        <v>73</v>
      </c>
      <c r="K169" t="s">
        <v>73</v>
      </c>
      <c r="L169" t="s">
        <v>72</v>
      </c>
      <c r="M169" t="s">
        <v>72</v>
      </c>
      <c r="N169" t="s">
        <v>72</v>
      </c>
      <c r="O169" t="s">
        <v>72</v>
      </c>
      <c r="P169" t="s">
        <v>73</v>
      </c>
      <c r="Q169" t="s">
        <v>74</v>
      </c>
    </row>
    <row r="170" spans="1:17" x14ac:dyDescent="0.2">
      <c r="A170">
        <v>37</v>
      </c>
      <c r="B170" t="s">
        <v>71</v>
      </c>
      <c r="C170" t="s">
        <v>72</v>
      </c>
      <c r="D170" t="s">
        <v>72</v>
      </c>
      <c r="E170" t="s">
        <v>72</v>
      </c>
      <c r="F170" t="s">
        <v>73</v>
      </c>
      <c r="G170" t="s">
        <v>72</v>
      </c>
      <c r="H170" t="s">
        <v>72</v>
      </c>
      <c r="I170" t="s">
        <v>72</v>
      </c>
      <c r="J170" t="s">
        <v>72</v>
      </c>
      <c r="K170" t="s">
        <v>72</v>
      </c>
      <c r="L170" t="s">
        <v>73</v>
      </c>
      <c r="M170" t="s">
        <v>72</v>
      </c>
      <c r="N170" t="s">
        <v>72</v>
      </c>
      <c r="O170" t="s">
        <v>73</v>
      </c>
      <c r="P170" t="s">
        <v>72</v>
      </c>
      <c r="Q170" t="s">
        <v>74</v>
      </c>
    </row>
    <row r="171" spans="1:17" x14ac:dyDescent="0.2">
      <c r="A171">
        <v>54</v>
      </c>
      <c r="B171" t="s">
        <v>71</v>
      </c>
      <c r="C171" t="s">
        <v>73</v>
      </c>
      <c r="D171" t="s">
        <v>73</v>
      </c>
      <c r="E171" t="s">
        <v>73</v>
      </c>
      <c r="F171" t="s">
        <v>73</v>
      </c>
      <c r="G171" t="s">
        <v>72</v>
      </c>
      <c r="H171" t="s">
        <v>72</v>
      </c>
      <c r="I171" t="s">
        <v>73</v>
      </c>
      <c r="J171" t="s">
        <v>73</v>
      </c>
      <c r="K171" t="s">
        <v>73</v>
      </c>
      <c r="L171" t="s">
        <v>73</v>
      </c>
      <c r="M171" t="s">
        <v>73</v>
      </c>
      <c r="N171" t="s">
        <v>73</v>
      </c>
      <c r="O171" t="s">
        <v>72</v>
      </c>
      <c r="P171" t="s">
        <v>72</v>
      </c>
      <c r="Q171" t="s">
        <v>74</v>
      </c>
    </row>
    <row r="172" spans="1:17" x14ac:dyDescent="0.2">
      <c r="A172">
        <v>49</v>
      </c>
      <c r="B172" t="s">
        <v>71</v>
      </c>
      <c r="C172" t="s">
        <v>73</v>
      </c>
      <c r="D172" t="s">
        <v>73</v>
      </c>
      <c r="E172" t="s">
        <v>72</v>
      </c>
      <c r="F172" t="s">
        <v>73</v>
      </c>
      <c r="G172" t="s">
        <v>72</v>
      </c>
      <c r="H172" t="s">
        <v>72</v>
      </c>
      <c r="I172" t="s">
        <v>73</v>
      </c>
      <c r="J172" t="s">
        <v>73</v>
      </c>
      <c r="K172" t="s">
        <v>72</v>
      </c>
      <c r="L172" t="s">
        <v>72</v>
      </c>
      <c r="M172" t="s">
        <v>72</v>
      </c>
      <c r="N172" t="s">
        <v>72</v>
      </c>
      <c r="O172" t="s">
        <v>72</v>
      </c>
      <c r="P172" t="s">
        <v>72</v>
      </c>
      <c r="Q172" t="s">
        <v>74</v>
      </c>
    </row>
    <row r="173" spans="1:17" x14ac:dyDescent="0.2">
      <c r="A173">
        <v>48</v>
      </c>
      <c r="B173" t="s">
        <v>71</v>
      </c>
      <c r="C173" t="s">
        <v>73</v>
      </c>
      <c r="D173" t="s">
        <v>73</v>
      </c>
      <c r="E173" t="s">
        <v>72</v>
      </c>
      <c r="F173" t="s">
        <v>73</v>
      </c>
      <c r="G173" t="s">
        <v>72</v>
      </c>
      <c r="H173" t="s">
        <v>73</v>
      </c>
      <c r="I173" t="s">
        <v>73</v>
      </c>
      <c r="J173" t="s">
        <v>73</v>
      </c>
      <c r="K173" t="s">
        <v>72</v>
      </c>
      <c r="L173" t="s">
        <v>72</v>
      </c>
      <c r="M173" t="s">
        <v>72</v>
      </c>
      <c r="N173" t="s">
        <v>72</v>
      </c>
      <c r="O173" t="s">
        <v>72</v>
      </c>
      <c r="P173" t="s">
        <v>72</v>
      </c>
      <c r="Q173" t="s">
        <v>74</v>
      </c>
    </row>
    <row r="174" spans="1:17" x14ac:dyDescent="0.2">
      <c r="A174">
        <v>60</v>
      </c>
      <c r="B174" t="s">
        <v>71</v>
      </c>
      <c r="C174" t="s">
        <v>73</v>
      </c>
      <c r="D174" t="s">
        <v>72</v>
      </c>
      <c r="E174" t="s">
        <v>72</v>
      </c>
      <c r="F174" t="s">
        <v>72</v>
      </c>
      <c r="G174" t="s">
        <v>72</v>
      </c>
      <c r="H174" t="s">
        <v>72</v>
      </c>
      <c r="I174" t="s">
        <v>73</v>
      </c>
      <c r="J174" t="s">
        <v>72</v>
      </c>
      <c r="K174" t="s">
        <v>72</v>
      </c>
      <c r="L174" t="s">
        <v>72</v>
      </c>
      <c r="M174" t="s">
        <v>73</v>
      </c>
      <c r="N174" t="s">
        <v>72</v>
      </c>
      <c r="O174" t="s">
        <v>73</v>
      </c>
      <c r="P174" t="s">
        <v>72</v>
      </c>
      <c r="Q174" t="s">
        <v>74</v>
      </c>
    </row>
    <row r="175" spans="1:17" x14ac:dyDescent="0.2">
      <c r="A175">
        <v>63</v>
      </c>
      <c r="B175" t="s">
        <v>71</v>
      </c>
      <c r="C175" t="s">
        <v>73</v>
      </c>
      <c r="D175" t="s">
        <v>73</v>
      </c>
      <c r="E175" t="s">
        <v>73</v>
      </c>
      <c r="F175" t="s">
        <v>73</v>
      </c>
      <c r="G175" t="s">
        <v>73</v>
      </c>
      <c r="H175" t="s">
        <v>72</v>
      </c>
      <c r="I175" t="s">
        <v>73</v>
      </c>
      <c r="J175" t="s">
        <v>72</v>
      </c>
      <c r="K175" t="s">
        <v>72</v>
      </c>
      <c r="L175" t="s">
        <v>72</v>
      </c>
      <c r="M175" t="s">
        <v>72</v>
      </c>
      <c r="N175" t="s">
        <v>73</v>
      </c>
      <c r="O175" t="s">
        <v>73</v>
      </c>
      <c r="P175" t="s">
        <v>73</v>
      </c>
      <c r="Q175" t="s">
        <v>74</v>
      </c>
    </row>
    <row r="176" spans="1:17" x14ac:dyDescent="0.2">
      <c r="A176">
        <v>35</v>
      </c>
      <c r="B176" t="s">
        <v>71</v>
      </c>
      <c r="C176" t="s">
        <v>73</v>
      </c>
      <c r="D176" t="s">
        <v>72</v>
      </c>
      <c r="E176" t="s">
        <v>73</v>
      </c>
      <c r="F176" t="s">
        <v>72</v>
      </c>
      <c r="G176" t="s">
        <v>72</v>
      </c>
      <c r="H176" t="s">
        <v>72</v>
      </c>
      <c r="I176" t="s">
        <v>72</v>
      </c>
      <c r="J176" t="s">
        <v>72</v>
      </c>
      <c r="K176" t="s">
        <v>72</v>
      </c>
      <c r="L176" t="s">
        <v>72</v>
      </c>
      <c r="M176" t="s">
        <v>73</v>
      </c>
      <c r="N176" t="s">
        <v>72</v>
      </c>
      <c r="O176" t="s">
        <v>73</v>
      </c>
      <c r="P176" t="s">
        <v>72</v>
      </c>
      <c r="Q176" t="s">
        <v>74</v>
      </c>
    </row>
    <row r="177" spans="1:17" x14ac:dyDescent="0.2">
      <c r="A177">
        <v>30</v>
      </c>
      <c r="B177" t="s">
        <v>75</v>
      </c>
      <c r="C177" t="s">
        <v>73</v>
      </c>
      <c r="D177" t="s">
        <v>72</v>
      </c>
      <c r="E177" t="s">
        <v>73</v>
      </c>
      <c r="F177" t="s">
        <v>73</v>
      </c>
      <c r="G177" t="s">
        <v>73</v>
      </c>
      <c r="H177" t="s">
        <v>72</v>
      </c>
      <c r="I177" t="s">
        <v>72</v>
      </c>
      <c r="J177" t="s">
        <v>72</v>
      </c>
      <c r="K177" t="s">
        <v>72</v>
      </c>
      <c r="L177" t="s">
        <v>73</v>
      </c>
      <c r="M177" t="s">
        <v>72</v>
      </c>
      <c r="N177" t="s">
        <v>72</v>
      </c>
      <c r="O177" t="s">
        <v>72</v>
      </c>
      <c r="P177" t="s">
        <v>72</v>
      </c>
      <c r="Q177" t="s">
        <v>74</v>
      </c>
    </row>
    <row r="178" spans="1:17" x14ac:dyDescent="0.2">
      <c r="A178">
        <v>53</v>
      </c>
      <c r="B178" t="s">
        <v>75</v>
      </c>
      <c r="C178" t="s">
        <v>72</v>
      </c>
      <c r="D178" t="s">
        <v>73</v>
      </c>
      <c r="E178" t="s">
        <v>73</v>
      </c>
      <c r="F178" t="s">
        <v>72</v>
      </c>
      <c r="G178" t="s">
        <v>73</v>
      </c>
      <c r="H178" t="s">
        <v>73</v>
      </c>
      <c r="I178" t="s">
        <v>73</v>
      </c>
      <c r="J178" t="s">
        <v>73</v>
      </c>
      <c r="K178" t="s">
        <v>73</v>
      </c>
      <c r="L178" t="s">
        <v>73</v>
      </c>
      <c r="M178" t="s">
        <v>72</v>
      </c>
      <c r="N178" t="s">
        <v>73</v>
      </c>
      <c r="O178" t="s">
        <v>72</v>
      </c>
      <c r="P178" t="s">
        <v>72</v>
      </c>
      <c r="Q178" t="s">
        <v>74</v>
      </c>
    </row>
    <row r="179" spans="1:17" x14ac:dyDescent="0.2">
      <c r="A179">
        <v>50</v>
      </c>
      <c r="B179" t="s">
        <v>75</v>
      </c>
      <c r="C179" t="s">
        <v>73</v>
      </c>
      <c r="D179" t="s">
        <v>73</v>
      </c>
      <c r="E179" t="s">
        <v>73</v>
      </c>
      <c r="F179" t="s">
        <v>72</v>
      </c>
      <c r="G179" t="s">
        <v>73</v>
      </c>
      <c r="H179" t="s">
        <v>72</v>
      </c>
      <c r="I179" t="s">
        <v>72</v>
      </c>
      <c r="J179" t="s">
        <v>72</v>
      </c>
      <c r="K179" t="s">
        <v>72</v>
      </c>
      <c r="L179" t="s">
        <v>73</v>
      </c>
      <c r="M179" t="s">
        <v>73</v>
      </c>
      <c r="N179" t="s">
        <v>72</v>
      </c>
      <c r="O179" t="s">
        <v>72</v>
      </c>
      <c r="P179" t="s">
        <v>72</v>
      </c>
      <c r="Q179" t="s">
        <v>74</v>
      </c>
    </row>
    <row r="180" spans="1:17" x14ac:dyDescent="0.2">
      <c r="A180">
        <v>50</v>
      </c>
      <c r="B180" t="s">
        <v>75</v>
      </c>
      <c r="C180" t="s">
        <v>72</v>
      </c>
      <c r="D180" t="s">
        <v>73</v>
      </c>
      <c r="E180" t="s">
        <v>72</v>
      </c>
      <c r="F180" t="s">
        <v>73</v>
      </c>
      <c r="G180" t="s">
        <v>73</v>
      </c>
      <c r="H180" t="s">
        <v>72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73</v>
      </c>
      <c r="O180" t="s">
        <v>72</v>
      </c>
      <c r="P180" t="s">
        <v>72</v>
      </c>
      <c r="Q180" t="s">
        <v>74</v>
      </c>
    </row>
    <row r="181" spans="1:17" x14ac:dyDescent="0.2">
      <c r="A181">
        <v>35</v>
      </c>
      <c r="B181" t="s">
        <v>75</v>
      </c>
      <c r="C181" t="s">
        <v>73</v>
      </c>
      <c r="D181" t="s">
        <v>73</v>
      </c>
      <c r="E181" t="s">
        <v>73</v>
      </c>
      <c r="F181" t="s">
        <v>73</v>
      </c>
      <c r="G181" t="s">
        <v>73</v>
      </c>
      <c r="H181" t="s">
        <v>72</v>
      </c>
      <c r="I181" t="s">
        <v>72</v>
      </c>
      <c r="J181" t="s">
        <v>73</v>
      </c>
      <c r="K181" t="s">
        <v>72</v>
      </c>
      <c r="L181" t="s">
        <v>73</v>
      </c>
      <c r="M181" t="s">
        <v>73</v>
      </c>
      <c r="N181" t="s">
        <v>73</v>
      </c>
      <c r="O181" t="s">
        <v>72</v>
      </c>
      <c r="P181" t="s">
        <v>72</v>
      </c>
      <c r="Q181" t="s">
        <v>74</v>
      </c>
    </row>
    <row r="182" spans="1:17" x14ac:dyDescent="0.2">
      <c r="A182">
        <v>40</v>
      </c>
      <c r="B182" t="s">
        <v>75</v>
      </c>
      <c r="C182" t="s">
        <v>73</v>
      </c>
      <c r="D182" t="s">
        <v>73</v>
      </c>
      <c r="E182" t="s">
        <v>73</v>
      </c>
      <c r="F182" t="s">
        <v>73</v>
      </c>
      <c r="G182" t="s">
        <v>72</v>
      </c>
      <c r="H182" t="s">
        <v>72</v>
      </c>
      <c r="I182" t="s">
        <v>73</v>
      </c>
      <c r="J182" t="s">
        <v>73</v>
      </c>
      <c r="K182" t="s">
        <v>72</v>
      </c>
      <c r="L182" t="s">
        <v>72</v>
      </c>
      <c r="M182" t="s">
        <v>73</v>
      </c>
      <c r="N182" t="s">
        <v>73</v>
      </c>
      <c r="O182" t="s">
        <v>72</v>
      </c>
      <c r="P182" t="s">
        <v>72</v>
      </c>
      <c r="Q182" t="s">
        <v>74</v>
      </c>
    </row>
    <row r="183" spans="1:17" x14ac:dyDescent="0.2">
      <c r="A183">
        <v>31</v>
      </c>
      <c r="B183" t="s">
        <v>75</v>
      </c>
      <c r="C183" t="s">
        <v>73</v>
      </c>
      <c r="D183" t="s">
        <v>73</v>
      </c>
      <c r="E183" t="s">
        <v>73</v>
      </c>
      <c r="F183" t="s">
        <v>73</v>
      </c>
      <c r="G183" t="s">
        <v>73</v>
      </c>
      <c r="H183" t="s">
        <v>72</v>
      </c>
      <c r="I183" t="s">
        <v>72</v>
      </c>
      <c r="J183" t="s">
        <v>73</v>
      </c>
      <c r="K183" t="s">
        <v>73</v>
      </c>
      <c r="L183" t="s">
        <v>72</v>
      </c>
      <c r="M183" t="s">
        <v>73</v>
      </c>
      <c r="N183" t="s">
        <v>73</v>
      </c>
      <c r="O183" t="s">
        <v>72</v>
      </c>
      <c r="P183" t="s">
        <v>72</v>
      </c>
      <c r="Q183" t="s">
        <v>74</v>
      </c>
    </row>
    <row r="184" spans="1:17" x14ac:dyDescent="0.2">
      <c r="A184">
        <v>35</v>
      </c>
      <c r="B184" t="s">
        <v>75</v>
      </c>
      <c r="C184" t="s">
        <v>73</v>
      </c>
      <c r="D184" t="s">
        <v>73</v>
      </c>
      <c r="E184" t="s">
        <v>72</v>
      </c>
      <c r="F184" t="s">
        <v>72</v>
      </c>
      <c r="G184" t="s">
        <v>72</v>
      </c>
      <c r="H184" t="s">
        <v>72</v>
      </c>
      <c r="I184" t="s">
        <v>73</v>
      </c>
      <c r="J184" t="s">
        <v>72</v>
      </c>
      <c r="K184" t="s">
        <v>72</v>
      </c>
      <c r="L184" t="s">
        <v>72</v>
      </c>
      <c r="M184" t="s">
        <v>72</v>
      </c>
      <c r="N184" t="s">
        <v>72</v>
      </c>
      <c r="O184" t="s">
        <v>73</v>
      </c>
      <c r="P184" t="s">
        <v>72</v>
      </c>
      <c r="Q184" t="s">
        <v>74</v>
      </c>
    </row>
    <row r="185" spans="1:17" x14ac:dyDescent="0.2">
      <c r="A185">
        <v>39</v>
      </c>
      <c r="B185" t="s">
        <v>75</v>
      </c>
      <c r="C185" t="s">
        <v>73</v>
      </c>
      <c r="D185" t="s">
        <v>73</v>
      </c>
      <c r="E185" t="s">
        <v>72</v>
      </c>
      <c r="F185" t="s">
        <v>72</v>
      </c>
      <c r="G185" t="s">
        <v>73</v>
      </c>
      <c r="H185" t="s">
        <v>73</v>
      </c>
      <c r="I185" t="s">
        <v>73</v>
      </c>
      <c r="J185" t="s">
        <v>73</v>
      </c>
      <c r="K185" t="s">
        <v>72</v>
      </c>
      <c r="L185" t="s">
        <v>73</v>
      </c>
      <c r="M185" t="s">
        <v>73</v>
      </c>
      <c r="N185" t="s">
        <v>72</v>
      </c>
      <c r="O185" t="s">
        <v>72</v>
      </c>
      <c r="P185" t="s">
        <v>72</v>
      </c>
      <c r="Q185" t="s">
        <v>74</v>
      </c>
    </row>
    <row r="186" spans="1:17" x14ac:dyDescent="0.2">
      <c r="A186">
        <v>48</v>
      </c>
      <c r="B186" t="s">
        <v>75</v>
      </c>
      <c r="C186" t="s">
        <v>73</v>
      </c>
      <c r="D186" t="s">
        <v>73</v>
      </c>
      <c r="E186" t="s">
        <v>73</v>
      </c>
      <c r="F186" t="s">
        <v>72</v>
      </c>
      <c r="G186" t="s">
        <v>73</v>
      </c>
      <c r="H186" t="s">
        <v>73</v>
      </c>
      <c r="I186" t="s">
        <v>72</v>
      </c>
      <c r="J186" t="s">
        <v>72</v>
      </c>
      <c r="K186" t="s">
        <v>73</v>
      </c>
      <c r="L186" t="s">
        <v>73</v>
      </c>
      <c r="M186" t="s">
        <v>72</v>
      </c>
      <c r="N186" t="s">
        <v>73</v>
      </c>
      <c r="O186" t="s">
        <v>73</v>
      </c>
      <c r="P186" t="s">
        <v>73</v>
      </c>
      <c r="Q186" t="s">
        <v>74</v>
      </c>
    </row>
    <row r="187" spans="1:17" x14ac:dyDescent="0.2">
      <c r="A187">
        <v>85</v>
      </c>
      <c r="B187" t="s">
        <v>71</v>
      </c>
      <c r="C187" t="s">
        <v>73</v>
      </c>
      <c r="D187" t="s">
        <v>73</v>
      </c>
      <c r="E187" t="s">
        <v>73</v>
      </c>
      <c r="F187" t="s">
        <v>73</v>
      </c>
      <c r="G187" t="s">
        <v>73</v>
      </c>
      <c r="H187" t="s">
        <v>73</v>
      </c>
      <c r="I187" t="s">
        <v>73</v>
      </c>
      <c r="J187" t="s">
        <v>73</v>
      </c>
      <c r="K187" t="s">
        <v>72</v>
      </c>
      <c r="L187" t="s">
        <v>73</v>
      </c>
      <c r="M187" t="s">
        <v>73</v>
      </c>
      <c r="N187" t="s">
        <v>73</v>
      </c>
      <c r="O187" t="s">
        <v>72</v>
      </c>
      <c r="P187" t="s">
        <v>72</v>
      </c>
      <c r="Q187" t="s">
        <v>74</v>
      </c>
    </row>
    <row r="188" spans="1:17" x14ac:dyDescent="0.2">
      <c r="A188">
        <v>90</v>
      </c>
      <c r="B188" t="s">
        <v>75</v>
      </c>
      <c r="C188" t="s">
        <v>72</v>
      </c>
      <c r="D188" t="s">
        <v>73</v>
      </c>
      <c r="E188" t="s">
        <v>73</v>
      </c>
      <c r="F188" t="s">
        <v>72</v>
      </c>
      <c r="G188" t="s">
        <v>72</v>
      </c>
      <c r="H188" t="s">
        <v>73</v>
      </c>
      <c r="I188" t="s">
        <v>73</v>
      </c>
      <c r="J188" t="s">
        <v>73</v>
      </c>
      <c r="K188" t="s">
        <v>72</v>
      </c>
      <c r="L188" t="s">
        <v>72</v>
      </c>
      <c r="M188" t="s">
        <v>72</v>
      </c>
      <c r="N188" t="s">
        <v>73</v>
      </c>
      <c r="O188" t="s">
        <v>73</v>
      </c>
      <c r="P188" t="s">
        <v>72</v>
      </c>
      <c r="Q188" t="s">
        <v>74</v>
      </c>
    </row>
    <row r="189" spans="1:17" x14ac:dyDescent="0.2">
      <c r="A189">
        <v>72</v>
      </c>
      <c r="B189" t="s">
        <v>71</v>
      </c>
      <c r="C189" t="s">
        <v>73</v>
      </c>
      <c r="D189" t="s">
        <v>72</v>
      </c>
      <c r="E189" t="s">
        <v>73</v>
      </c>
      <c r="F189" t="s">
        <v>73</v>
      </c>
      <c r="G189" t="s">
        <v>73</v>
      </c>
      <c r="H189" t="s">
        <v>72</v>
      </c>
      <c r="I189" t="s">
        <v>72</v>
      </c>
      <c r="J189" t="s">
        <v>72</v>
      </c>
      <c r="K189" t="s">
        <v>73</v>
      </c>
      <c r="L189" t="s">
        <v>73</v>
      </c>
      <c r="M189" t="s">
        <v>73</v>
      </c>
      <c r="N189" t="s">
        <v>73</v>
      </c>
      <c r="O189" t="s">
        <v>73</v>
      </c>
      <c r="P189" t="s">
        <v>72</v>
      </c>
      <c r="Q189" t="s">
        <v>74</v>
      </c>
    </row>
    <row r="190" spans="1:17" x14ac:dyDescent="0.2">
      <c r="A190">
        <v>70</v>
      </c>
      <c r="B190" t="s">
        <v>71</v>
      </c>
      <c r="C190" t="s">
        <v>73</v>
      </c>
      <c r="D190" t="s">
        <v>72</v>
      </c>
      <c r="E190" t="s">
        <v>73</v>
      </c>
      <c r="F190" t="s">
        <v>73</v>
      </c>
      <c r="G190" t="s">
        <v>73</v>
      </c>
      <c r="H190" t="s">
        <v>73</v>
      </c>
      <c r="I190" t="s">
        <v>72</v>
      </c>
      <c r="J190" t="s">
        <v>72</v>
      </c>
      <c r="K190" t="s">
        <v>73</v>
      </c>
      <c r="L190" t="s">
        <v>73</v>
      </c>
      <c r="M190" t="s">
        <v>73</v>
      </c>
      <c r="N190" t="s">
        <v>73</v>
      </c>
      <c r="O190" t="s">
        <v>73</v>
      </c>
      <c r="P190" t="s">
        <v>72</v>
      </c>
      <c r="Q190" t="s">
        <v>74</v>
      </c>
    </row>
    <row r="191" spans="1:17" x14ac:dyDescent="0.2">
      <c r="A191">
        <v>69</v>
      </c>
      <c r="B191" t="s">
        <v>75</v>
      </c>
      <c r="C191" t="s">
        <v>73</v>
      </c>
      <c r="D191" t="s">
        <v>72</v>
      </c>
      <c r="E191" t="s">
        <v>73</v>
      </c>
      <c r="F191" t="s">
        <v>73</v>
      </c>
      <c r="G191" t="s">
        <v>73</v>
      </c>
      <c r="H191" t="s">
        <v>73</v>
      </c>
      <c r="I191" t="s">
        <v>73</v>
      </c>
      <c r="J191" t="s">
        <v>73</v>
      </c>
      <c r="K191" t="s">
        <v>72</v>
      </c>
      <c r="L191" t="s">
        <v>73</v>
      </c>
      <c r="M191" t="s">
        <v>72</v>
      </c>
      <c r="N191" t="s">
        <v>72</v>
      </c>
      <c r="O191" t="s">
        <v>73</v>
      </c>
      <c r="P191" t="s">
        <v>72</v>
      </c>
      <c r="Q191" t="s">
        <v>74</v>
      </c>
    </row>
    <row r="192" spans="1:17" x14ac:dyDescent="0.2">
      <c r="A192">
        <v>58</v>
      </c>
      <c r="B192" t="s">
        <v>71</v>
      </c>
      <c r="C192" t="s">
        <v>72</v>
      </c>
      <c r="D192" t="s">
        <v>73</v>
      </c>
      <c r="E192" t="s">
        <v>73</v>
      </c>
      <c r="F192" t="s">
        <v>73</v>
      </c>
      <c r="G192" t="s">
        <v>73</v>
      </c>
      <c r="H192" t="s">
        <v>72</v>
      </c>
      <c r="I192" t="s">
        <v>73</v>
      </c>
      <c r="J192" t="s">
        <v>73</v>
      </c>
      <c r="K192" t="s">
        <v>72</v>
      </c>
      <c r="L192" t="s">
        <v>72</v>
      </c>
      <c r="M192" t="s">
        <v>73</v>
      </c>
      <c r="N192" t="s">
        <v>72</v>
      </c>
      <c r="O192" t="s">
        <v>73</v>
      </c>
      <c r="P192" t="s">
        <v>73</v>
      </c>
      <c r="Q192" t="s">
        <v>74</v>
      </c>
    </row>
    <row r="193" spans="1:17" x14ac:dyDescent="0.2">
      <c r="A193">
        <v>54</v>
      </c>
      <c r="B193" t="s">
        <v>71</v>
      </c>
      <c r="C193" t="s">
        <v>73</v>
      </c>
      <c r="D193" t="s">
        <v>73</v>
      </c>
      <c r="E193" t="s">
        <v>72</v>
      </c>
      <c r="F193" t="s">
        <v>72</v>
      </c>
      <c r="G193" t="s">
        <v>72</v>
      </c>
      <c r="H193" t="s">
        <v>72</v>
      </c>
      <c r="I193" t="s">
        <v>73</v>
      </c>
      <c r="J193" t="s">
        <v>72</v>
      </c>
      <c r="K193" t="s">
        <v>72</v>
      </c>
      <c r="L193" t="s">
        <v>72</v>
      </c>
      <c r="M193" t="s">
        <v>72</v>
      </c>
      <c r="N193" t="s">
        <v>72</v>
      </c>
      <c r="O193" t="s">
        <v>72</v>
      </c>
      <c r="P193" t="s">
        <v>72</v>
      </c>
      <c r="Q193" t="s">
        <v>74</v>
      </c>
    </row>
    <row r="194" spans="1:17" x14ac:dyDescent="0.2">
      <c r="A194">
        <v>64</v>
      </c>
      <c r="B194" t="s">
        <v>71</v>
      </c>
      <c r="C194" t="s">
        <v>72</v>
      </c>
      <c r="D194" t="s">
        <v>73</v>
      </c>
      <c r="E194" t="s">
        <v>72</v>
      </c>
      <c r="F194" t="s">
        <v>72</v>
      </c>
      <c r="G194" t="s">
        <v>72</v>
      </c>
      <c r="H194" t="s">
        <v>72</v>
      </c>
      <c r="I194" t="s">
        <v>72</v>
      </c>
      <c r="J194" t="s">
        <v>72</v>
      </c>
      <c r="K194" t="s">
        <v>73</v>
      </c>
      <c r="L194" t="s">
        <v>73</v>
      </c>
      <c r="M194" t="s">
        <v>72</v>
      </c>
      <c r="N194" t="s">
        <v>72</v>
      </c>
      <c r="O194" t="s">
        <v>72</v>
      </c>
      <c r="P194" t="s">
        <v>72</v>
      </c>
      <c r="Q194" t="s">
        <v>74</v>
      </c>
    </row>
    <row r="195" spans="1:17" x14ac:dyDescent="0.2">
      <c r="A195">
        <v>36</v>
      </c>
      <c r="B195" t="s">
        <v>71</v>
      </c>
      <c r="C195" t="s">
        <v>73</v>
      </c>
      <c r="D195" t="s">
        <v>72</v>
      </c>
      <c r="E195" t="s">
        <v>72</v>
      </c>
      <c r="F195" t="s">
        <v>73</v>
      </c>
      <c r="G195" t="s">
        <v>72</v>
      </c>
      <c r="H195" t="s">
        <v>73</v>
      </c>
      <c r="I195" t="s">
        <v>73</v>
      </c>
      <c r="J195" t="s">
        <v>73</v>
      </c>
      <c r="K195" t="s">
        <v>72</v>
      </c>
      <c r="L195" t="s">
        <v>73</v>
      </c>
      <c r="M195" t="s">
        <v>72</v>
      </c>
      <c r="N195" t="s">
        <v>72</v>
      </c>
      <c r="O195" t="s">
        <v>72</v>
      </c>
      <c r="P195" t="s">
        <v>72</v>
      </c>
      <c r="Q195" t="s">
        <v>74</v>
      </c>
    </row>
    <row r="196" spans="1:17" x14ac:dyDescent="0.2">
      <c r="A196">
        <v>43</v>
      </c>
      <c r="B196" t="s">
        <v>71</v>
      </c>
      <c r="C196" t="s">
        <v>72</v>
      </c>
      <c r="D196" t="s">
        <v>72</v>
      </c>
      <c r="E196" t="s">
        <v>73</v>
      </c>
      <c r="F196" t="s">
        <v>73</v>
      </c>
      <c r="G196" t="s">
        <v>73</v>
      </c>
      <c r="H196" t="s">
        <v>73</v>
      </c>
      <c r="I196" t="s">
        <v>73</v>
      </c>
      <c r="J196" t="s">
        <v>73</v>
      </c>
      <c r="K196" t="s">
        <v>73</v>
      </c>
      <c r="L196" t="s">
        <v>73</v>
      </c>
      <c r="M196" t="s">
        <v>72</v>
      </c>
      <c r="N196" t="s">
        <v>72</v>
      </c>
      <c r="O196" t="s">
        <v>72</v>
      </c>
      <c r="P196" t="s">
        <v>72</v>
      </c>
      <c r="Q196" t="s">
        <v>74</v>
      </c>
    </row>
    <row r="197" spans="1:17" x14ac:dyDescent="0.2">
      <c r="A197">
        <v>31</v>
      </c>
      <c r="B197" t="s">
        <v>71</v>
      </c>
      <c r="C197" t="s">
        <v>73</v>
      </c>
      <c r="D197" t="s">
        <v>72</v>
      </c>
      <c r="E197" t="s">
        <v>72</v>
      </c>
      <c r="F197" t="s">
        <v>72</v>
      </c>
      <c r="G197" t="s">
        <v>73</v>
      </c>
      <c r="H197" t="s">
        <v>72</v>
      </c>
      <c r="I197" t="s">
        <v>73</v>
      </c>
      <c r="J197" t="s">
        <v>72</v>
      </c>
      <c r="K197" t="s">
        <v>72</v>
      </c>
      <c r="L197" t="s">
        <v>72</v>
      </c>
      <c r="M197" t="s">
        <v>73</v>
      </c>
      <c r="N197" t="s">
        <v>72</v>
      </c>
      <c r="O197" t="s">
        <v>73</v>
      </c>
      <c r="P197" t="s">
        <v>72</v>
      </c>
      <c r="Q197" t="s">
        <v>74</v>
      </c>
    </row>
    <row r="198" spans="1:17" x14ac:dyDescent="0.2">
      <c r="A198">
        <v>66</v>
      </c>
      <c r="B198" t="s">
        <v>71</v>
      </c>
      <c r="C198" t="s">
        <v>72</v>
      </c>
      <c r="D198" t="s">
        <v>72</v>
      </c>
      <c r="E198" t="s">
        <v>72</v>
      </c>
      <c r="F198" t="s">
        <v>72</v>
      </c>
      <c r="G198" t="s">
        <v>73</v>
      </c>
      <c r="H198" t="s">
        <v>72</v>
      </c>
      <c r="I198" t="s">
        <v>73</v>
      </c>
      <c r="J198" t="s">
        <v>72</v>
      </c>
      <c r="K198" t="s">
        <v>72</v>
      </c>
      <c r="L198" t="s">
        <v>72</v>
      </c>
      <c r="M198" t="s">
        <v>73</v>
      </c>
      <c r="N198" t="s">
        <v>72</v>
      </c>
      <c r="O198" t="s">
        <v>73</v>
      </c>
      <c r="P198" t="s">
        <v>72</v>
      </c>
      <c r="Q198" t="s">
        <v>74</v>
      </c>
    </row>
    <row r="199" spans="1:17" x14ac:dyDescent="0.2">
      <c r="A199">
        <v>61</v>
      </c>
      <c r="B199" t="s">
        <v>75</v>
      </c>
      <c r="C199" t="s">
        <v>73</v>
      </c>
      <c r="D199" t="s">
        <v>72</v>
      </c>
      <c r="E199" t="s">
        <v>72</v>
      </c>
      <c r="F199" t="s">
        <v>72</v>
      </c>
      <c r="G199" t="s">
        <v>73</v>
      </c>
      <c r="H199" t="s">
        <v>72</v>
      </c>
      <c r="I199" t="s">
        <v>72</v>
      </c>
      <c r="J199" t="s">
        <v>72</v>
      </c>
      <c r="K199" t="s">
        <v>73</v>
      </c>
      <c r="L199" t="s">
        <v>72</v>
      </c>
      <c r="M199" t="s">
        <v>72</v>
      </c>
      <c r="N199" t="s">
        <v>72</v>
      </c>
      <c r="O199" t="s">
        <v>73</v>
      </c>
      <c r="P199" t="s">
        <v>72</v>
      </c>
      <c r="Q199" t="s">
        <v>74</v>
      </c>
    </row>
    <row r="200" spans="1:17" x14ac:dyDescent="0.2">
      <c r="A200">
        <v>58</v>
      </c>
      <c r="B200" t="s">
        <v>75</v>
      </c>
      <c r="C200" t="s">
        <v>73</v>
      </c>
      <c r="D200" t="s">
        <v>72</v>
      </c>
      <c r="E200" t="s">
        <v>73</v>
      </c>
      <c r="F200" t="s">
        <v>72</v>
      </c>
      <c r="G200" t="s">
        <v>73</v>
      </c>
      <c r="H200" t="s">
        <v>72</v>
      </c>
      <c r="I200" t="s">
        <v>72</v>
      </c>
      <c r="J200" t="s">
        <v>72</v>
      </c>
      <c r="K200" t="s">
        <v>73</v>
      </c>
      <c r="L200" t="s">
        <v>72</v>
      </c>
      <c r="M200" t="s">
        <v>72</v>
      </c>
      <c r="N200" t="s">
        <v>73</v>
      </c>
      <c r="O200" t="s">
        <v>72</v>
      </c>
      <c r="P200" t="s">
        <v>73</v>
      </c>
      <c r="Q200" t="s">
        <v>74</v>
      </c>
    </row>
    <row r="201" spans="1:17" x14ac:dyDescent="0.2">
      <c r="A201">
        <v>69</v>
      </c>
      <c r="B201" t="s">
        <v>75</v>
      </c>
      <c r="C201" t="s">
        <v>73</v>
      </c>
      <c r="D201" t="s">
        <v>73</v>
      </c>
      <c r="E201" t="s">
        <v>73</v>
      </c>
      <c r="F201" t="s">
        <v>73</v>
      </c>
      <c r="G201" t="s">
        <v>72</v>
      </c>
      <c r="H201" t="s">
        <v>72</v>
      </c>
      <c r="I201" t="s">
        <v>73</v>
      </c>
      <c r="J201" t="s">
        <v>73</v>
      </c>
      <c r="K201" t="s">
        <v>73</v>
      </c>
      <c r="L201" t="s">
        <v>72</v>
      </c>
      <c r="M201" t="s">
        <v>72</v>
      </c>
      <c r="N201" t="s">
        <v>73</v>
      </c>
      <c r="O201" t="s">
        <v>72</v>
      </c>
      <c r="P201" t="s">
        <v>73</v>
      </c>
      <c r="Q201" t="s">
        <v>74</v>
      </c>
    </row>
    <row r="202" spans="1:17" x14ac:dyDescent="0.2">
      <c r="A202">
        <v>40</v>
      </c>
      <c r="B202" t="s">
        <v>71</v>
      </c>
      <c r="C202" t="s">
        <v>72</v>
      </c>
      <c r="D202" t="s">
        <v>73</v>
      </c>
      <c r="E202" t="s">
        <v>73</v>
      </c>
      <c r="F202" t="s">
        <v>73</v>
      </c>
      <c r="G202" t="s">
        <v>72</v>
      </c>
      <c r="H202" t="s">
        <v>72</v>
      </c>
      <c r="I202" t="s">
        <v>73</v>
      </c>
      <c r="J202" t="s">
        <v>73</v>
      </c>
      <c r="K202" t="s">
        <v>72</v>
      </c>
      <c r="L202" t="s">
        <v>72</v>
      </c>
      <c r="M202" t="s">
        <v>73</v>
      </c>
      <c r="N202" t="s">
        <v>73</v>
      </c>
      <c r="O202" t="s">
        <v>72</v>
      </c>
      <c r="P202" t="s">
        <v>72</v>
      </c>
      <c r="Q202" t="s">
        <v>76</v>
      </c>
    </row>
    <row r="203" spans="1:17" x14ac:dyDescent="0.2">
      <c r="A203">
        <v>28</v>
      </c>
      <c r="B203" t="s">
        <v>71</v>
      </c>
      <c r="C203" t="s">
        <v>72</v>
      </c>
      <c r="D203" t="s">
        <v>72</v>
      </c>
      <c r="E203" t="s">
        <v>73</v>
      </c>
      <c r="F203" t="s">
        <v>72</v>
      </c>
      <c r="G203" t="s">
        <v>72</v>
      </c>
      <c r="H203" t="s">
        <v>72</v>
      </c>
      <c r="I203" t="s">
        <v>72</v>
      </c>
      <c r="J203" t="s">
        <v>72</v>
      </c>
      <c r="K203" t="s">
        <v>72</v>
      </c>
      <c r="L203" t="s">
        <v>72</v>
      </c>
      <c r="M203" t="s">
        <v>72</v>
      </c>
      <c r="N203" t="s">
        <v>72</v>
      </c>
      <c r="O203" t="s">
        <v>72</v>
      </c>
      <c r="P203" t="s">
        <v>72</v>
      </c>
      <c r="Q203" t="s">
        <v>76</v>
      </c>
    </row>
    <row r="204" spans="1:17" x14ac:dyDescent="0.2">
      <c r="A204">
        <v>37</v>
      </c>
      <c r="B204" t="s">
        <v>71</v>
      </c>
      <c r="C204" t="s">
        <v>72</v>
      </c>
      <c r="D204" t="s">
        <v>72</v>
      </c>
      <c r="E204" t="s">
        <v>72</v>
      </c>
      <c r="F204" t="s">
        <v>72</v>
      </c>
      <c r="G204" t="s">
        <v>72</v>
      </c>
      <c r="H204" t="s">
        <v>72</v>
      </c>
      <c r="I204" t="s">
        <v>72</v>
      </c>
      <c r="J204" t="s">
        <v>72</v>
      </c>
      <c r="K204" t="s">
        <v>72</v>
      </c>
      <c r="L204" t="s">
        <v>72</v>
      </c>
      <c r="M204" t="s">
        <v>72</v>
      </c>
      <c r="N204" t="s">
        <v>72</v>
      </c>
      <c r="O204" t="s">
        <v>72</v>
      </c>
      <c r="P204" t="s">
        <v>72</v>
      </c>
      <c r="Q204" t="s">
        <v>76</v>
      </c>
    </row>
    <row r="205" spans="1:17" x14ac:dyDescent="0.2">
      <c r="A205">
        <v>34</v>
      </c>
      <c r="B205" t="s">
        <v>71</v>
      </c>
      <c r="C205" t="s">
        <v>72</v>
      </c>
      <c r="D205" t="s">
        <v>72</v>
      </c>
      <c r="E205" t="s">
        <v>72</v>
      </c>
      <c r="F205" t="s">
        <v>72</v>
      </c>
      <c r="G205" t="s">
        <v>72</v>
      </c>
      <c r="H205" t="s">
        <v>72</v>
      </c>
      <c r="I205" t="s">
        <v>72</v>
      </c>
      <c r="J205" t="s">
        <v>72</v>
      </c>
      <c r="K205" t="s">
        <v>72</v>
      </c>
      <c r="L205" t="s">
        <v>72</v>
      </c>
      <c r="M205" t="s">
        <v>72</v>
      </c>
      <c r="N205" t="s">
        <v>72</v>
      </c>
      <c r="O205" t="s">
        <v>72</v>
      </c>
      <c r="P205" t="s">
        <v>72</v>
      </c>
      <c r="Q205" t="s">
        <v>76</v>
      </c>
    </row>
    <row r="206" spans="1:17" x14ac:dyDescent="0.2">
      <c r="A206">
        <v>30</v>
      </c>
      <c r="B206" t="s">
        <v>71</v>
      </c>
      <c r="C206" t="s">
        <v>72</v>
      </c>
      <c r="D206" t="s">
        <v>72</v>
      </c>
      <c r="E206" t="s">
        <v>72</v>
      </c>
      <c r="F206" t="s">
        <v>72</v>
      </c>
      <c r="G206" t="s">
        <v>72</v>
      </c>
      <c r="H206" t="s">
        <v>72</v>
      </c>
      <c r="I206" t="s">
        <v>72</v>
      </c>
      <c r="J206" t="s">
        <v>72</v>
      </c>
      <c r="K206" t="s">
        <v>72</v>
      </c>
      <c r="L206" t="s">
        <v>72</v>
      </c>
      <c r="M206" t="s">
        <v>72</v>
      </c>
      <c r="N206" t="s">
        <v>72</v>
      </c>
      <c r="O206" t="s">
        <v>72</v>
      </c>
      <c r="P206" t="s">
        <v>72</v>
      </c>
      <c r="Q206" t="s">
        <v>76</v>
      </c>
    </row>
    <row r="207" spans="1:17" x14ac:dyDescent="0.2">
      <c r="A207">
        <v>67</v>
      </c>
      <c r="B207" t="s">
        <v>71</v>
      </c>
      <c r="C207" t="s">
        <v>73</v>
      </c>
      <c r="D207" t="s">
        <v>72</v>
      </c>
      <c r="E207" t="s">
        <v>72</v>
      </c>
      <c r="F207" t="s">
        <v>73</v>
      </c>
      <c r="G207" t="s">
        <v>73</v>
      </c>
      <c r="H207" t="s">
        <v>72</v>
      </c>
      <c r="I207" t="s">
        <v>73</v>
      </c>
      <c r="J207" t="s">
        <v>73</v>
      </c>
      <c r="K207" t="s">
        <v>73</v>
      </c>
      <c r="L207" t="s">
        <v>73</v>
      </c>
      <c r="M207" t="s">
        <v>72</v>
      </c>
      <c r="N207" t="s">
        <v>73</v>
      </c>
      <c r="O207" t="s">
        <v>73</v>
      </c>
      <c r="P207" t="s">
        <v>73</v>
      </c>
      <c r="Q207" t="s">
        <v>76</v>
      </c>
    </row>
    <row r="208" spans="1:17" x14ac:dyDescent="0.2">
      <c r="A208">
        <v>60</v>
      </c>
      <c r="B208" t="s">
        <v>71</v>
      </c>
      <c r="C208" t="s">
        <v>72</v>
      </c>
      <c r="D208" t="s">
        <v>72</v>
      </c>
      <c r="E208" t="s">
        <v>72</v>
      </c>
      <c r="F208" t="s">
        <v>73</v>
      </c>
      <c r="G208" t="s">
        <v>72</v>
      </c>
      <c r="H208" t="s">
        <v>72</v>
      </c>
      <c r="I208" t="s">
        <v>72</v>
      </c>
      <c r="J208" t="s">
        <v>72</v>
      </c>
      <c r="K208" t="s">
        <v>72</v>
      </c>
      <c r="L208" t="s">
        <v>72</v>
      </c>
      <c r="M208" t="s">
        <v>73</v>
      </c>
      <c r="N208" t="s">
        <v>73</v>
      </c>
      <c r="O208" t="s">
        <v>72</v>
      </c>
      <c r="P208" t="s">
        <v>72</v>
      </c>
      <c r="Q208" t="s">
        <v>76</v>
      </c>
    </row>
    <row r="209" spans="1:17" x14ac:dyDescent="0.2">
      <c r="A209">
        <v>58</v>
      </c>
      <c r="B209" t="s">
        <v>71</v>
      </c>
      <c r="C209" t="s">
        <v>72</v>
      </c>
      <c r="D209" t="s">
        <v>72</v>
      </c>
      <c r="E209" t="s">
        <v>72</v>
      </c>
      <c r="F209" t="s">
        <v>72</v>
      </c>
      <c r="G209" t="s">
        <v>73</v>
      </c>
      <c r="H209" t="s">
        <v>72</v>
      </c>
      <c r="I209" t="s">
        <v>72</v>
      </c>
      <c r="J209" t="s">
        <v>73</v>
      </c>
      <c r="K209" t="s">
        <v>72</v>
      </c>
      <c r="L209" t="s">
        <v>73</v>
      </c>
      <c r="M209" t="s">
        <v>72</v>
      </c>
      <c r="N209" t="s">
        <v>72</v>
      </c>
      <c r="O209" t="s">
        <v>73</v>
      </c>
      <c r="P209" t="s">
        <v>73</v>
      </c>
      <c r="Q209" t="s">
        <v>76</v>
      </c>
    </row>
    <row r="210" spans="1:17" x14ac:dyDescent="0.2">
      <c r="A210">
        <v>54</v>
      </c>
      <c r="B210" t="s">
        <v>71</v>
      </c>
      <c r="C210" t="s">
        <v>72</v>
      </c>
      <c r="D210" t="s">
        <v>72</v>
      </c>
      <c r="E210" t="s">
        <v>73</v>
      </c>
      <c r="F210" t="s">
        <v>73</v>
      </c>
      <c r="G210" t="s">
        <v>72</v>
      </c>
      <c r="H210" t="s">
        <v>73</v>
      </c>
      <c r="I210" t="s">
        <v>72</v>
      </c>
      <c r="J210" t="s">
        <v>72</v>
      </c>
      <c r="K210" t="s">
        <v>72</v>
      </c>
      <c r="L210" t="s">
        <v>73</v>
      </c>
      <c r="M210" t="s">
        <v>72</v>
      </c>
      <c r="N210" t="s">
        <v>72</v>
      </c>
      <c r="O210" t="s">
        <v>73</v>
      </c>
      <c r="P210" t="s">
        <v>72</v>
      </c>
      <c r="Q210" t="s">
        <v>76</v>
      </c>
    </row>
    <row r="211" spans="1:17" x14ac:dyDescent="0.2">
      <c r="A211">
        <v>43</v>
      </c>
      <c r="B211" t="s">
        <v>71</v>
      </c>
      <c r="C211" t="s">
        <v>72</v>
      </c>
      <c r="D211" t="s">
        <v>72</v>
      </c>
      <c r="E211" t="s">
        <v>73</v>
      </c>
      <c r="F211" t="s">
        <v>72</v>
      </c>
      <c r="G211" t="s">
        <v>72</v>
      </c>
      <c r="H211" t="s">
        <v>73</v>
      </c>
      <c r="I211" t="s">
        <v>72</v>
      </c>
      <c r="J211" t="s">
        <v>72</v>
      </c>
      <c r="K211" t="s">
        <v>72</v>
      </c>
      <c r="L211" t="s">
        <v>73</v>
      </c>
      <c r="M211" t="s">
        <v>72</v>
      </c>
      <c r="N211" t="s">
        <v>72</v>
      </c>
      <c r="O211" t="s">
        <v>73</v>
      </c>
      <c r="P211" t="s">
        <v>72</v>
      </c>
      <c r="Q211" t="s">
        <v>76</v>
      </c>
    </row>
    <row r="212" spans="1:17" x14ac:dyDescent="0.2">
      <c r="A212">
        <v>39</v>
      </c>
      <c r="B212" t="s">
        <v>71</v>
      </c>
      <c r="C212" t="s">
        <v>72</v>
      </c>
      <c r="D212" t="s">
        <v>72</v>
      </c>
      <c r="E212" t="s">
        <v>72</v>
      </c>
      <c r="F212" t="s">
        <v>73</v>
      </c>
      <c r="G212" t="s">
        <v>72</v>
      </c>
      <c r="H212" t="s">
        <v>73</v>
      </c>
      <c r="I212" t="s">
        <v>72</v>
      </c>
      <c r="J212" t="s">
        <v>72</v>
      </c>
      <c r="K212" t="s">
        <v>72</v>
      </c>
      <c r="L212" t="s">
        <v>72</v>
      </c>
      <c r="M212" t="s">
        <v>72</v>
      </c>
      <c r="N212" t="s">
        <v>72</v>
      </c>
      <c r="O212" t="s">
        <v>72</v>
      </c>
      <c r="P212" t="s">
        <v>72</v>
      </c>
      <c r="Q212" t="s">
        <v>76</v>
      </c>
    </row>
    <row r="213" spans="1:17" x14ac:dyDescent="0.2">
      <c r="A213">
        <v>40</v>
      </c>
      <c r="B213" t="s">
        <v>71</v>
      </c>
      <c r="C213" t="s">
        <v>72</v>
      </c>
      <c r="D213" t="s">
        <v>72</v>
      </c>
      <c r="E213" t="s">
        <v>72</v>
      </c>
      <c r="F213" t="s">
        <v>73</v>
      </c>
      <c r="G213" t="s">
        <v>72</v>
      </c>
      <c r="H213" t="s">
        <v>72</v>
      </c>
      <c r="I213" t="s">
        <v>72</v>
      </c>
      <c r="J213" t="s">
        <v>72</v>
      </c>
      <c r="K213" t="s">
        <v>73</v>
      </c>
      <c r="L213" t="s">
        <v>72</v>
      </c>
      <c r="M213" t="s">
        <v>72</v>
      </c>
      <c r="N213" t="s">
        <v>72</v>
      </c>
      <c r="O213" t="s">
        <v>72</v>
      </c>
      <c r="P213" t="s">
        <v>72</v>
      </c>
      <c r="Q213" t="s">
        <v>76</v>
      </c>
    </row>
    <row r="214" spans="1:17" x14ac:dyDescent="0.2">
      <c r="A214">
        <v>43</v>
      </c>
      <c r="B214" t="s">
        <v>71</v>
      </c>
      <c r="C214" t="s">
        <v>72</v>
      </c>
      <c r="D214" t="s">
        <v>72</v>
      </c>
      <c r="E214" t="s">
        <v>72</v>
      </c>
      <c r="F214" t="s">
        <v>72</v>
      </c>
      <c r="G214" t="s">
        <v>72</v>
      </c>
      <c r="H214" t="s">
        <v>72</v>
      </c>
      <c r="I214" t="s">
        <v>72</v>
      </c>
      <c r="J214" t="s">
        <v>72</v>
      </c>
      <c r="K214" t="s">
        <v>73</v>
      </c>
      <c r="L214" t="s">
        <v>72</v>
      </c>
      <c r="M214" t="s">
        <v>72</v>
      </c>
      <c r="N214" t="s">
        <v>72</v>
      </c>
      <c r="O214" t="s">
        <v>72</v>
      </c>
      <c r="P214" t="s">
        <v>72</v>
      </c>
      <c r="Q214" t="s">
        <v>76</v>
      </c>
    </row>
    <row r="215" spans="1:17" x14ac:dyDescent="0.2">
      <c r="A215">
        <v>49</v>
      </c>
      <c r="B215" t="s">
        <v>71</v>
      </c>
      <c r="C215" t="s">
        <v>72</v>
      </c>
      <c r="D215" t="s">
        <v>73</v>
      </c>
      <c r="E215" t="s">
        <v>72</v>
      </c>
      <c r="F215" t="s">
        <v>72</v>
      </c>
      <c r="G215" t="s">
        <v>72</v>
      </c>
      <c r="H215" t="s">
        <v>72</v>
      </c>
      <c r="I215" t="s">
        <v>72</v>
      </c>
      <c r="J215" t="s">
        <v>73</v>
      </c>
      <c r="K215" t="s">
        <v>72</v>
      </c>
      <c r="L215" t="s">
        <v>72</v>
      </c>
      <c r="M215" t="s">
        <v>73</v>
      </c>
      <c r="N215" t="s">
        <v>72</v>
      </c>
      <c r="O215" t="s">
        <v>72</v>
      </c>
      <c r="P215" t="s">
        <v>73</v>
      </c>
      <c r="Q215" t="s">
        <v>76</v>
      </c>
    </row>
    <row r="216" spans="1:17" x14ac:dyDescent="0.2">
      <c r="A216">
        <v>47</v>
      </c>
      <c r="B216" t="s">
        <v>71</v>
      </c>
      <c r="C216" t="s">
        <v>72</v>
      </c>
      <c r="D216" t="s">
        <v>72</v>
      </c>
      <c r="E216" t="s">
        <v>72</v>
      </c>
      <c r="F216" t="s">
        <v>72</v>
      </c>
      <c r="G216" t="s">
        <v>72</v>
      </c>
      <c r="H216" t="s">
        <v>72</v>
      </c>
      <c r="I216" t="s">
        <v>72</v>
      </c>
      <c r="J216" t="s">
        <v>73</v>
      </c>
      <c r="K216" t="s">
        <v>72</v>
      </c>
      <c r="L216" t="s">
        <v>72</v>
      </c>
      <c r="M216" t="s">
        <v>72</v>
      </c>
      <c r="N216" t="s">
        <v>72</v>
      </c>
      <c r="O216" t="s">
        <v>73</v>
      </c>
      <c r="P216" t="s">
        <v>72</v>
      </c>
      <c r="Q216" t="s">
        <v>76</v>
      </c>
    </row>
    <row r="217" spans="1:17" x14ac:dyDescent="0.2">
      <c r="A217">
        <v>45</v>
      </c>
      <c r="B217" t="s">
        <v>71</v>
      </c>
      <c r="C217" t="s">
        <v>72</v>
      </c>
      <c r="D217" t="s">
        <v>72</v>
      </c>
      <c r="E217" t="s">
        <v>72</v>
      </c>
      <c r="F217" t="s">
        <v>72</v>
      </c>
      <c r="G217" t="s">
        <v>73</v>
      </c>
      <c r="H217" t="s">
        <v>73</v>
      </c>
      <c r="I217" t="s">
        <v>72</v>
      </c>
      <c r="J217" t="s">
        <v>72</v>
      </c>
      <c r="K217" t="s">
        <v>72</v>
      </c>
      <c r="L217" t="s">
        <v>72</v>
      </c>
      <c r="M217" t="s">
        <v>72</v>
      </c>
      <c r="N217" t="s">
        <v>72</v>
      </c>
      <c r="O217" t="s">
        <v>72</v>
      </c>
      <c r="P217" t="s">
        <v>72</v>
      </c>
      <c r="Q217" t="s">
        <v>76</v>
      </c>
    </row>
    <row r="218" spans="1:17" x14ac:dyDescent="0.2">
      <c r="A218">
        <v>57</v>
      </c>
      <c r="B218" t="s">
        <v>71</v>
      </c>
      <c r="C218" t="s">
        <v>72</v>
      </c>
      <c r="D218" t="s">
        <v>72</v>
      </c>
      <c r="E218" t="s">
        <v>72</v>
      </c>
      <c r="F218" t="s">
        <v>72</v>
      </c>
      <c r="G218" t="s">
        <v>73</v>
      </c>
      <c r="H218" t="s">
        <v>72</v>
      </c>
      <c r="I218" t="s">
        <v>73</v>
      </c>
      <c r="J218" t="s">
        <v>72</v>
      </c>
      <c r="K218" t="s">
        <v>72</v>
      </c>
      <c r="L218" t="s">
        <v>72</v>
      </c>
      <c r="M218" t="s">
        <v>72</v>
      </c>
      <c r="N218" t="s">
        <v>73</v>
      </c>
      <c r="O218" t="s">
        <v>72</v>
      </c>
      <c r="P218" t="s">
        <v>72</v>
      </c>
      <c r="Q218" t="s">
        <v>76</v>
      </c>
    </row>
    <row r="219" spans="1:17" x14ac:dyDescent="0.2">
      <c r="A219">
        <v>72</v>
      </c>
      <c r="B219" t="s">
        <v>71</v>
      </c>
      <c r="C219" t="s">
        <v>73</v>
      </c>
      <c r="D219" t="s">
        <v>72</v>
      </c>
      <c r="E219" t="s">
        <v>72</v>
      </c>
      <c r="F219" t="s">
        <v>72</v>
      </c>
      <c r="G219" t="s">
        <v>73</v>
      </c>
      <c r="H219" t="s">
        <v>72</v>
      </c>
      <c r="I219" t="s">
        <v>73</v>
      </c>
      <c r="J219" t="s">
        <v>73</v>
      </c>
      <c r="K219" t="s">
        <v>72</v>
      </c>
      <c r="L219" t="s">
        <v>73</v>
      </c>
      <c r="M219" t="s">
        <v>73</v>
      </c>
      <c r="N219" t="s">
        <v>73</v>
      </c>
      <c r="O219" t="s">
        <v>73</v>
      </c>
      <c r="P219" t="s">
        <v>72</v>
      </c>
      <c r="Q219" t="s">
        <v>76</v>
      </c>
    </row>
    <row r="220" spans="1:17" x14ac:dyDescent="0.2">
      <c r="A220">
        <v>30</v>
      </c>
      <c r="B220" t="s">
        <v>71</v>
      </c>
      <c r="C220" t="s">
        <v>72</v>
      </c>
      <c r="D220" t="s">
        <v>72</v>
      </c>
      <c r="E220" t="s">
        <v>72</v>
      </c>
      <c r="F220" t="s">
        <v>72</v>
      </c>
      <c r="G220" t="s">
        <v>72</v>
      </c>
      <c r="H220" t="s">
        <v>72</v>
      </c>
      <c r="I220" t="s">
        <v>72</v>
      </c>
      <c r="J220" t="s">
        <v>72</v>
      </c>
      <c r="K220" t="s">
        <v>72</v>
      </c>
      <c r="L220" t="s">
        <v>72</v>
      </c>
      <c r="M220" t="s">
        <v>72</v>
      </c>
      <c r="N220" t="s">
        <v>72</v>
      </c>
      <c r="O220" t="s">
        <v>72</v>
      </c>
      <c r="P220" t="s">
        <v>72</v>
      </c>
      <c r="Q220" t="s">
        <v>76</v>
      </c>
    </row>
    <row r="221" spans="1:17" x14ac:dyDescent="0.2">
      <c r="A221">
        <v>27</v>
      </c>
      <c r="B221" t="s">
        <v>71</v>
      </c>
      <c r="C221" t="s">
        <v>72</v>
      </c>
      <c r="D221" t="s">
        <v>72</v>
      </c>
      <c r="E221" t="s">
        <v>72</v>
      </c>
      <c r="F221" t="s">
        <v>72</v>
      </c>
      <c r="G221" t="s">
        <v>72</v>
      </c>
      <c r="H221" t="s">
        <v>72</v>
      </c>
      <c r="I221" t="s">
        <v>72</v>
      </c>
      <c r="J221" t="s">
        <v>72</v>
      </c>
      <c r="K221" t="s">
        <v>72</v>
      </c>
      <c r="L221" t="s">
        <v>72</v>
      </c>
      <c r="M221" t="s">
        <v>72</v>
      </c>
      <c r="N221" t="s">
        <v>72</v>
      </c>
      <c r="O221" t="s">
        <v>72</v>
      </c>
      <c r="P221" t="s">
        <v>72</v>
      </c>
      <c r="Q221" t="s">
        <v>76</v>
      </c>
    </row>
    <row r="222" spans="1:17" x14ac:dyDescent="0.2">
      <c r="A222">
        <v>38</v>
      </c>
      <c r="B222" t="s">
        <v>71</v>
      </c>
      <c r="C222" t="s">
        <v>72</v>
      </c>
      <c r="D222" t="s">
        <v>72</v>
      </c>
      <c r="E222" t="s">
        <v>72</v>
      </c>
      <c r="F222" t="s">
        <v>72</v>
      </c>
      <c r="G222" t="s">
        <v>72</v>
      </c>
      <c r="H222" t="s">
        <v>72</v>
      </c>
      <c r="I222" t="s">
        <v>72</v>
      </c>
      <c r="J222" t="s">
        <v>72</v>
      </c>
      <c r="K222" t="s">
        <v>72</v>
      </c>
      <c r="L222" t="s">
        <v>72</v>
      </c>
      <c r="M222" t="s">
        <v>72</v>
      </c>
      <c r="N222" t="s">
        <v>72</v>
      </c>
      <c r="O222" t="s">
        <v>72</v>
      </c>
      <c r="P222" t="s">
        <v>72</v>
      </c>
      <c r="Q222" t="s">
        <v>76</v>
      </c>
    </row>
    <row r="223" spans="1:17" x14ac:dyDescent="0.2">
      <c r="A223">
        <v>43</v>
      </c>
      <c r="B223" t="s">
        <v>71</v>
      </c>
      <c r="C223" t="s">
        <v>72</v>
      </c>
      <c r="D223" t="s">
        <v>72</v>
      </c>
      <c r="E223" t="s">
        <v>72</v>
      </c>
      <c r="F223" t="s">
        <v>73</v>
      </c>
      <c r="G223" t="s">
        <v>72</v>
      </c>
      <c r="H223" t="s">
        <v>73</v>
      </c>
      <c r="I223" t="s">
        <v>72</v>
      </c>
      <c r="J223" t="s">
        <v>73</v>
      </c>
      <c r="K223" t="s">
        <v>72</v>
      </c>
      <c r="L223" t="s">
        <v>73</v>
      </c>
      <c r="M223" t="s">
        <v>72</v>
      </c>
      <c r="N223" t="s">
        <v>72</v>
      </c>
      <c r="O223" t="s">
        <v>73</v>
      </c>
      <c r="P223" t="s">
        <v>72</v>
      </c>
      <c r="Q223" t="s">
        <v>76</v>
      </c>
    </row>
    <row r="224" spans="1:17" x14ac:dyDescent="0.2">
      <c r="A224">
        <v>40</v>
      </c>
      <c r="B224" t="s">
        <v>71</v>
      </c>
      <c r="C224" t="s">
        <v>72</v>
      </c>
      <c r="D224" t="s">
        <v>72</v>
      </c>
      <c r="E224" t="s">
        <v>73</v>
      </c>
      <c r="F224" t="s">
        <v>72</v>
      </c>
      <c r="G224" t="s">
        <v>72</v>
      </c>
      <c r="H224" t="s">
        <v>72</v>
      </c>
      <c r="I224" t="s">
        <v>72</v>
      </c>
      <c r="J224" t="s">
        <v>72</v>
      </c>
      <c r="K224" t="s">
        <v>72</v>
      </c>
      <c r="L224" t="s">
        <v>72</v>
      </c>
      <c r="M224" t="s">
        <v>72</v>
      </c>
      <c r="N224" t="s">
        <v>72</v>
      </c>
      <c r="O224" t="s">
        <v>72</v>
      </c>
      <c r="P224" t="s">
        <v>73</v>
      </c>
      <c r="Q224" t="s">
        <v>76</v>
      </c>
    </row>
    <row r="225" spans="1:17" x14ac:dyDescent="0.2">
      <c r="A225">
        <v>55</v>
      </c>
      <c r="B225" t="s">
        <v>71</v>
      </c>
      <c r="C225" t="s">
        <v>72</v>
      </c>
      <c r="D225" t="s">
        <v>72</v>
      </c>
      <c r="E225" t="s">
        <v>72</v>
      </c>
      <c r="F225" t="s">
        <v>73</v>
      </c>
      <c r="G225" t="s">
        <v>73</v>
      </c>
      <c r="H225" t="s">
        <v>72</v>
      </c>
      <c r="I225" t="s">
        <v>73</v>
      </c>
      <c r="J225" t="s">
        <v>73</v>
      </c>
      <c r="K225" t="s">
        <v>72</v>
      </c>
      <c r="L225" t="s">
        <v>73</v>
      </c>
      <c r="M225" t="s">
        <v>72</v>
      </c>
      <c r="N225" t="s">
        <v>73</v>
      </c>
      <c r="O225" t="s">
        <v>72</v>
      </c>
      <c r="P225" t="s">
        <v>73</v>
      </c>
      <c r="Q225" t="s">
        <v>76</v>
      </c>
    </row>
    <row r="226" spans="1:17" x14ac:dyDescent="0.2">
      <c r="A226">
        <v>68</v>
      </c>
      <c r="B226" t="s">
        <v>71</v>
      </c>
      <c r="C226" t="s">
        <v>72</v>
      </c>
      <c r="D226" t="s">
        <v>72</v>
      </c>
      <c r="E226" t="s">
        <v>72</v>
      </c>
      <c r="F226" t="s">
        <v>73</v>
      </c>
      <c r="G226" t="s">
        <v>73</v>
      </c>
      <c r="H226" t="s">
        <v>72</v>
      </c>
      <c r="I226" t="s">
        <v>73</v>
      </c>
      <c r="J226" t="s">
        <v>73</v>
      </c>
      <c r="K226" t="s">
        <v>72</v>
      </c>
      <c r="L226" t="s">
        <v>73</v>
      </c>
      <c r="M226" t="s">
        <v>72</v>
      </c>
      <c r="N226" t="s">
        <v>72</v>
      </c>
      <c r="O226" t="s">
        <v>73</v>
      </c>
      <c r="P226" t="s">
        <v>72</v>
      </c>
      <c r="Q226" t="s">
        <v>76</v>
      </c>
    </row>
    <row r="227" spans="1:17" x14ac:dyDescent="0.2">
      <c r="A227">
        <v>29</v>
      </c>
      <c r="B227" t="s">
        <v>71</v>
      </c>
      <c r="C227" t="s">
        <v>72</v>
      </c>
      <c r="D227" t="s">
        <v>72</v>
      </c>
      <c r="E227" t="s">
        <v>72</v>
      </c>
      <c r="F227" t="s">
        <v>73</v>
      </c>
      <c r="G227" t="s">
        <v>72</v>
      </c>
      <c r="H227" t="s">
        <v>72</v>
      </c>
      <c r="I227" t="s">
        <v>72</v>
      </c>
      <c r="J227" t="s">
        <v>72</v>
      </c>
      <c r="K227" t="s">
        <v>72</v>
      </c>
      <c r="L227" t="s">
        <v>72</v>
      </c>
      <c r="M227" t="s">
        <v>72</v>
      </c>
      <c r="N227" t="s">
        <v>72</v>
      </c>
      <c r="O227" t="s">
        <v>72</v>
      </c>
      <c r="P227" t="s">
        <v>72</v>
      </c>
      <c r="Q227" t="s">
        <v>76</v>
      </c>
    </row>
    <row r="228" spans="1:17" x14ac:dyDescent="0.2">
      <c r="A228">
        <v>37</v>
      </c>
      <c r="B228" t="s">
        <v>71</v>
      </c>
      <c r="C228" t="s">
        <v>72</v>
      </c>
      <c r="D228" t="s">
        <v>72</v>
      </c>
      <c r="E228" t="s">
        <v>72</v>
      </c>
      <c r="F228" t="s">
        <v>72</v>
      </c>
      <c r="G228" t="s">
        <v>72</v>
      </c>
      <c r="H228" t="s">
        <v>72</v>
      </c>
      <c r="I228" t="s">
        <v>72</v>
      </c>
      <c r="J228" t="s">
        <v>73</v>
      </c>
      <c r="K228" t="s">
        <v>72</v>
      </c>
      <c r="L228" t="s">
        <v>72</v>
      </c>
      <c r="M228" t="s">
        <v>72</v>
      </c>
      <c r="N228" t="s">
        <v>72</v>
      </c>
      <c r="O228" t="s">
        <v>72</v>
      </c>
      <c r="P228" t="s">
        <v>72</v>
      </c>
      <c r="Q228" t="s">
        <v>76</v>
      </c>
    </row>
    <row r="229" spans="1:17" x14ac:dyDescent="0.2">
      <c r="A229">
        <v>30</v>
      </c>
      <c r="B229" t="s">
        <v>71</v>
      </c>
      <c r="C229" t="s">
        <v>72</v>
      </c>
      <c r="D229" t="s">
        <v>72</v>
      </c>
      <c r="E229" t="s">
        <v>73</v>
      </c>
      <c r="F229" t="s">
        <v>73</v>
      </c>
      <c r="G229" t="s">
        <v>72</v>
      </c>
      <c r="H229" t="s">
        <v>72</v>
      </c>
      <c r="I229" t="s">
        <v>72</v>
      </c>
      <c r="J229" t="s">
        <v>72</v>
      </c>
      <c r="K229" t="s">
        <v>72</v>
      </c>
      <c r="L229" t="s">
        <v>72</v>
      </c>
      <c r="M229" t="s">
        <v>72</v>
      </c>
      <c r="N229" t="s">
        <v>72</v>
      </c>
      <c r="O229" t="s">
        <v>72</v>
      </c>
      <c r="P229" t="s">
        <v>72</v>
      </c>
      <c r="Q229" t="s">
        <v>76</v>
      </c>
    </row>
    <row r="230" spans="1:17" x14ac:dyDescent="0.2">
      <c r="A230">
        <v>45</v>
      </c>
      <c r="B230" t="s">
        <v>71</v>
      </c>
      <c r="C230" t="s">
        <v>72</v>
      </c>
      <c r="D230" t="s">
        <v>72</v>
      </c>
      <c r="E230" t="s">
        <v>72</v>
      </c>
      <c r="F230" t="s">
        <v>73</v>
      </c>
      <c r="G230" t="s">
        <v>72</v>
      </c>
      <c r="H230" t="s">
        <v>72</v>
      </c>
      <c r="I230" t="s">
        <v>72</v>
      </c>
      <c r="J230" t="s">
        <v>73</v>
      </c>
      <c r="K230" t="s">
        <v>73</v>
      </c>
      <c r="L230" t="s">
        <v>73</v>
      </c>
      <c r="M230" t="s">
        <v>73</v>
      </c>
      <c r="N230" t="s">
        <v>72</v>
      </c>
      <c r="O230" t="s">
        <v>72</v>
      </c>
      <c r="P230" t="s">
        <v>72</v>
      </c>
      <c r="Q230" t="s">
        <v>76</v>
      </c>
    </row>
    <row r="231" spans="1:17" x14ac:dyDescent="0.2">
      <c r="A231">
        <v>47</v>
      </c>
      <c r="B231" t="s">
        <v>71</v>
      </c>
      <c r="C231" t="s">
        <v>72</v>
      </c>
      <c r="D231" t="s">
        <v>72</v>
      </c>
      <c r="E231" t="s">
        <v>72</v>
      </c>
      <c r="F231" t="s">
        <v>72</v>
      </c>
      <c r="G231" t="s">
        <v>72</v>
      </c>
      <c r="H231" t="s">
        <v>72</v>
      </c>
      <c r="I231" t="s">
        <v>72</v>
      </c>
      <c r="J231" t="s">
        <v>73</v>
      </c>
      <c r="K231" t="s">
        <v>72</v>
      </c>
      <c r="L231" t="s">
        <v>73</v>
      </c>
      <c r="M231" t="s">
        <v>72</v>
      </c>
      <c r="N231" t="s">
        <v>72</v>
      </c>
      <c r="O231" t="s">
        <v>73</v>
      </c>
      <c r="P231" t="s">
        <v>72</v>
      </c>
      <c r="Q231" t="s">
        <v>76</v>
      </c>
    </row>
    <row r="232" spans="1:17" x14ac:dyDescent="0.2">
      <c r="A232">
        <v>35</v>
      </c>
      <c r="B232" t="s">
        <v>71</v>
      </c>
      <c r="C232" t="s">
        <v>72</v>
      </c>
      <c r="D232" t="s">
        <v>72</v>
      </c>
      <c r="E232" t="s">
        <v>73</v>
      </c>
      <c r="F232" t="s">
        <v>73</v>
      </c>
      <c r="G232" t="s">
        <v>72</v>
      </c>
      <c r="H232" t="s">
        <v>73</v>
      </c>
      <c r="I232" t="s">
        <v>72</v>
      </c>
      <c r="J232" t="s">
        <v>72</v>
      </c>
      <c r="K232" t="s">
        <v>72</v>
      </c>
      <c r="L232" t="s">
        <v>72</v>
      </c>
      <c r="M232" t="s">
        <v>72</v>
      </c>
      <c r="N232" t="s">
        <v>72</v>
      </c>
      <c r="O232" t="s">
        <v>72</v>
      </c>
      <c r="P232" t="s">
        <v>72</v>
      </c>
      <c r="Q232" t="s">
        <v>76</v>
      </c>
    </row>
    <row r="233" spans="1:17" x14ac:dyDescent="0.2">
      <c r="A233">
        <v>32</v>
      </c>
      <c r="B233" t="s">
        <v>71</v>
      </c>
      <c r="C233" t="s">
        <v>72</v>
      </c>
      <c r="D233" t="s">
        <v>72</v>
      </c>
      <c r="E233" t="s">
        <v>72</v>
      </c>
      <c r="F233" t="s">
        <v>73</v>
      </c>
      <c r="G233" t="s">
        <v>72</v>
      </c>
      <c r="H233" t="s">
        <v>72</v>
      </c>
      <c r="I233" t="s">
        <v>72</v>
      </c>
      <c r="J233" t="s">
        <v>72</v>
      </c>
      <c r="K233" t="s">
        <v>72</v>
      </c>
      <c r="L233" t="s">
        <v>72</v>
      </c>
      <c r="M233" t="s">
        <v>72</v>
      </c>
      <c r="N233" t="s">
        <v>72</v>
      </c>
      <c r="O233" t="s">
        <v>72</v>
      </c>
      <c r="P233" t="s">
        <v>72</v>
      </c>
      <c r="Q233" t="s">
        <v>76</v>
      </c>
    </row>
    <row r="234" spans="1:17" x14ac:dyDescent="0.2">
      <c r="A234">
        <v>56</v>
      </c>
      <c r="B234" t="s">
        <v>71</v>
      </c>
      <c r="C234" t="s">
        <v>72</v>
      </c>
      <c r="D234" t="s">
        <v>73</v>
      </c>
      <c r="E234" t="s">
        <v>72</v>
      </c>
      <c r="F234" t="s">
        <v>73</v>
      </c>
      <c r="G234" t="s">
        <v>73</v>
      </c>
      <c r="H234" t="s">
        <v>72</v>
      </c>
      <c r="I234" t="s">
        <v>73</v>
      </c>
      <c r="J234" t="s">
        <v>73</v>
      </c>
      <c r="K234" t="s">
        <v>72</v>
      </c>
      <c r="L234" t="s">
        <v>73</v>
      </c>
      <c r="M234" t="s">
        <v>72</v>
      </c>
      <c r="N234" t="s">
        <v>73</v>
      </c>
      <c r="O234" t="s">
        <v>73</v>
      </c>
      <c r="P234" t="s">
        <v>72</v>
      </c>
      <c r="Q234" t="s">
        <v>76</v>
      </c>
    </row>
    <row r="235" spans="1:17" x14ac:dyDescent="0.2">
      <c r="A235">
        <v>50</v>
      </c>
      <c r="B235" t="s">
        <v>71</v>
      </c>
      <c r="C235" t="s">
        <v>72</v>
      </c>
      <c r="D235" t="s">
        <v>72</v>
      </c>
      <c r="E235" t="s">
        <v>72</v>
      </c>
      <c r="F235" t="s">
        <v>73</v>
      </c>
      <c r="G235" t="s">
        <v>72</v>
      </c>
      <c r="H235" t="s">
        <v>72</v>
      </c>
      <c r="I235" t="s">
        <v>72</v>
      </c>
      <c r="J235" t="s">
        <v>73</v>
      </c>
      <c r="K235" t="s">
        <v>72</v>
      </c>
      <c r="L235" t="s">
        <v>73</v>
      </c>
      <c r="M235" t="s">
        <v>73</v>
      </c>
      <c r="N235" t="s">
        <v>73</v>
      </c>
      <c r="O235" t="s">
        <v>73</v>
      </c>
      <c r="P235" t="s">
        <v>72</v>
      </c>
      <c r="Q235" t="s">
        <v>76</v>
      </c>
    </row>
    <row r="236" spans="1:17" x14ac:dyDescent="0.2">
      <c r="A236">
        <v>52</v>
      </c>
      <c r="B236" t="s">
        <v>71</v>
      </c>
      <c r="C236" t="s">
        <v>72</v>
      </c>
      <c r="D236" t="s">
        <v>72</v>
      </c>
      <c r="E236" t="s">
        <v>72</v>
      </c>
      <c r="F236" t="s">
        <v>73</v>
      </c>
      <c r="G236" t="s">
        <v>73</v>
      </c>
      <c r="H236" t="s">
        <v>72</v>
      </c>
      <c r="I236" t="s">
        <v>72</v>
      </c>
      <c r="J236" t="s">
        <v>73</v>
      </c>
      <c r="K236" t="s">
        <v>72</v>
      </c>
      <c r="L236" t="s">
        <v>73</v>
      </c>
      <c r="M236" t="s">
        <v>72</v>
      </c>
      <c r="N236" t="s">
        <v>72</v>
      </c>
      <c r="O236" t="s">
        <v>73</v>
      </c>
      <c r="P236" t="s">
        <v>72</v>
      </c>
      <c r="Q236" t="s">
        <v>76</v>
      </c>
    </row>
    <row r="237" spans="1:17" x14ac:dyDescent="0.2">
      <c r="A237">
        <v>26</v>
      </c>
      <c r="B237" t="s">
        <v>71</v>
      </c>
      <c r="C237" t="s">
        <v>72</v>
      </c>
      <c r="D237" t="s">
        <v>72</v>
      </c>
      <c r="E237" t="s">
        <v>72</v>
      </c>
      <c r="F237" t="s">
        <v>72</v>
      </c>
      <c r="G237" t="s">
        <v>72</v>
      </c>
      <c r="H237" t="s">
        <v>72</v>
      </c>
      <c r="I237" t="s">
        <v>72</v>
      </c>
      <c r="J237" t="s">
        <v>72</v>
      </c>
      <c r="K237" t="s">
        <v>72</v>
      </c>
      <c r="L237" t="s">
        <v>72</v>
      </c>
      <c r="M237" t="s">
        <v>72</v>
      </c>
      <c r="N237" t="s">
        <v>72</v>
      </c>
      <c r="O237" t="s">
        <v>72</v>
      </c>
      <c r="P237" t="s">
        <v>72</v>
      </c>
      <c r="Q237" t="s">
        <v>76</v>
      </c>
    </row>
    <row r="238" spans="1:17" x14ac:dyDescent="0.2">
      <c r="A238">
        <v>60</v>
      </c>
      <c r="B238" t="s">
        <v>71</v>
      </c>
      <c r="C238" t="s">
        <v>72</v>
      </c>
      <c r="D238" t="s">
        <v>72</v>
      </c>
      <c r="E238" t="s">
        <v>72</v>
      </c>
      <c r="F238" t="s">
        <v>73</v>
      </c>
      <c r="G238" t="s">
        <v>73</v>
      </c>
      <c r="H238" t="s">
        <v>72</v>
      </c>
      <c r="I238" t="s">
        <v>73</v>
      </c>
      <c r="J238" t="s">
        <v>73</v>
      </c>
      <c r="K238" t="s">
        <v>72</v>
      </c>
      <c r="L238" t="s">
        <v>73</v>
      </c>
      <c r="M238" t="s">
        <v>72</v>
      </c>
      <c r="N238" t="s">
        <v>73</v>
      </c>
      <c r="O238" t="s">
        <v>73</v>
      </c>
      <c r="P238" t="s">
        <v>72</v>
      </c>
      <c r="Q238" t="s">
        <v>76</v>
      </c>
    </row>
    <row r="239" spans="1:17" x14ac:dyDescent="0.2">
      <c r="A239">
        <v>65</v>
      </c>
      <c r="B239" t="s">
        <v>71</v>
      </c>
      <c r="C239" t="s">
        <v>72</v>
      </c>
      <c r="D239" t="s">
        <v>72</v>
      </c>
      <c r="E239" t="s">
        <v>72</v>
      </c>
      <c r="F239" t="s">
        <v>73</v>
      </c>
      <c r="G239" t="s">
        <v>72</v>
      </c>
      <c r="H239" t="s">
        <v>72</v>
      </c>
      <c r="I239" t="s">
        <v>73</v>
      </c>
      <c r="J239" t="s">
        <v>73</v>
      </c>
      <c r="K239" t="s">
        <v>72</v>
      </c>
      <c r="L239" t="s">
        <v>73</v>
      </c>
      <c r="M239" t="s">
        <v>73</v>
      </c>
      <c r="N239" t="s">
        <v>73</v>
      </c>
      <c r="O239" t="s">
        <v>73</v>
      </c>
      <c r="P239" t="s">
        <v>72</v>
      </c>
      <c r="Q239" t="s">
        <v>76</v>
      </c>
    </row>
    <row r="240" spans="1:17" x14ac:dyDescent="0.2">
      <c r="A240">
        <v>72</v>
      </c>
      <c r="B240" t="s">
        <v>71</v>
      </c>
      <c r="C240" t="s">
        <v>72</v>
      </c>
      <c r="D240" t="s">
        <v>72</v>
      </c>
      <c r="E240" t="s">
        <v>72</v>
      </c>
      <c r="F240" t="s">
        <v>72</v>
      </c>
      <c r="G240" t="s">
        <v>73</v>
      </c>
      <c r="H240" t="s">
        <v>72</v>
      </c>
      <c r="I240" t="s">
        <v>73</v>
      </c>
      <c r="J240" t="s">
        <v>73</v>
      </c>
      <c r="K240" t="s">
        <v>72</v>
      </c>
      <c r="L240" t="s">
        <v>73</v>
      </c>
      <c r="M240" t="s">
        <v>72</v>
      </c>
      <c r="N240" t="s">
        <v>73</v>
      </c>
      <c r="O240" t="s">
        <v>73</v>
      </c>
      <c r="P240" t="s">
        <v>72</v>
      </c>
      <c r="Q240" t="s">
        <v>76</v>
      </c>
    </row>
    <row r="241" spans="1:17" x14ac:dyDescent="0.2">
      <c r="A241">
        <v>30</v>
      </c>
      <c r="B241" t="s">
        <v>71</v>
      </c>
      <c r="C241" t="s">
        <v>72</v>
      </c>
      <c r="D241" t="s">
        <v>72</v>
      </c>
      <c r="E241" t="s">
        <v>72</v>
      </c>
      <c r="F241" t="s">
        <v>73</v>
      </c>
      <c r="G241" t="s">
        <v>72</v>
      </c>
      <c r="H241" t="s">
        <v>72</v>
      </c>
      <c r="I241" t="s">
        <v>72</v>
      </c>
      <c r="J241" t="s">
        <v>72</v>
      </c>
      <c r="K241" t="s">
        <v>72</v>
      </c>
      <c r="L241" t="s">
        <v>72</v>
      </c>
      <c r="M241" t="s">
        <v>72</v>
      </c>
      <c r="N241" t="s">
        <v>72</v>
      </c>
      <c r="O241" t="s">
        <v>72</v>
      </c>
      <c r="P241" t="s">
        <v>72</v>
      </c>
      <c r="Q241" t="s">
        <v>76</v>
      </c>
    </row>
    <row r="242" spans="1:17" x14ac:dyDescent="0.2">
      <c r="A242">
        <v>45</v>
      </c>
      <c r="B242" t="s">
        <v>71</v>
      </c>
      <c r="C242" t="s">
        <v>72</v>
      </c>
      <c r="D242" t="s">
        <v>72</v>
      </c>
      <c r="E242" t="s">
        <v>72</v>
      </c>
      <c r="F242" t="s">
        <v>73</v>
      </c>
      <c r="G242" t="s">
        <v>72</v>
      </c>
      <c r="H242" t="s">
        <v>72</v>
      </c>
      <c r="I242" t="s">
        <v>72</v>
      </c>
      <c r="J242" t="s">
        <v>73</v>
      </c>
      <c r="K242" t="s">
        <v>72</v>
      </c>
      <c r="L242" t="s">
        <v>72</v>
      </c>
      <c r="M242" t="s">
        <v>73</v>
      </c>
      <c r="N242" t="s">
        <v>72</v>
      </c>
      <c r="O242" t="s">
        <v>73</v>
      </c>
      <c r="P242" t="s">
        <v>72</v>
      </c>
      <c r="Q242" t="s">
        <v>76</v>
      </c>
    </row>
    <row r="243" spans="1:17" x14ac:dyDescent="0.2">
      <c r="A243">
        <v>65</v>
      </c>
      <c r="B243" t="s">
        <v>71</v>
      </c>
      <c r="C243" t="s">
        <v>73</v>
      </c>
      <c r="D243" t="s">
        <v>72</v>
      </c>
      <c r="E243" t="s">
        <v>72</v>
      </c>
      <c r="F243" t="s">
        <v>72</v>
      </c>
      <c r="G243" t="s">
        <v>72</v>
      </c>
      <c r="H243" t="s">
        <v>72</v>
      </c>
      <c r="I243" t="s">
        <v>73</v>
      </c>
      <c r="J243" t="s">
        <v>73</v>
      </c>
      <c r="K243" t="s">
        <v>73</v>
      </c>
      <c r="L243" t="s">
        <v>73</v>
      </c>
      <c r="M243" t="s">
        <v>72</v>
      </c>
      <c r="N243" t="s">
        <v>73</v>
      </c>
      <c r="O243" t="s">
        <v>73</v>
      </c>
      <c r="P243" t="s">
        <v>73</v>
      </c>
      <c r="Q243" t="s">
        <v>76</v>
      </c>
    </row>
    <row r="244" spans="1:17" x14ac:dyDescent="0.2">
      <c r="A244">
        <v>70</v>
      </c>
      <c r="B244" t="s">
        <v>71</v>
      </c>
      <c r="C244" t="s">
        <v>72</v>
      </c>
      <c r="D244" t="s">
        <v>72</v>
      </c>
      <c r="E244" t="s">
        <v>72</v>
      </c>
      <c r="F244" t="s">
        <v>73</v>
      </c>
      <c r="G244" t="s">
        <v>72</v>
      </c>
      <c r="H244" t="s">
        <v>72</v>
      </c>
      <c r="I244" t="s">
        <v>73</v>
      </c>
      <c r="J244" t="s">
        <v>73</v>
      </c>
      <c r="K244" t="s">
        <v>72</v>
      </c>
      <c r="L244" t="s">
        <v>73</v>
      </c>
      <c r="M244" t="s">
        <v>72</v>
      </c>
      <c r="N244" t="s">
        <v>73</v>
      </c>
      <c r="O244" t="s">
        <v>73</v>
      </c>
      <c r="P244" t="s">
        <v>72</v>
      </c>
      <c r="Q244" t="s">
        <v>76</v>
      </c>
    </row>
    <row r="245" spans="1:17" x14ac:dyDescent="0.2">
      <c r="A245">
        <v>35</v>
      </c>
      <c r="B245" t="s">
        <v>71</v>
      </c>
      <c r="C245" t="s">
        <v>72</v>
      </c>
      <c r="D245" t="s">
        <v>72</v>
      </c>
      <c r="E245" t="s">
        <v>72</v>
      </c>
      <c r="F245" t="s">
        <v>73</v>
      </c>
      <c r="G245" t="s">
        <v>72</v>
      </c>
      <c r="H245" t="s">
        <v>72</v>
      </c>
      <c r="I245" t="s">
        <v>72</v>
      </c>
      <c r="J245" t="s">
        <v>72</v>
      </c>
      <c r="K245" t="s">
        <v>72</v>
      </c>
      <c r="L245" t="s">
        <v>72</v>
      </c>
      <c r="M245" t="s">
        <v>72</v>
      </c>
      <c r="N245" t="s">
        <v>72</v>
      </c>
      <c r="O245" t="s">
        <v>72</v>
      </c>
      <c r="P245" t="s">
        <v>72</v>
      </c>
      <c r="Q245" t="s">
        <v>76</v>
      </c>
    </row>
    <row r="246" spans="1:17" x14ac:dyDescent="0.2">
      <c r="A246">
        <v>54</v>
      </c>
      <c r="B246" t="s">
        <v>71</v>
      </c>
      <c r="C246" t="s">
        <v>72</v>
      </c>
      <c r="D246" t="s">
        <v>72</v>
      </c>
      <c r="E246" t="s">
        <v>72</v>
      </c>
      <c r="F246" t="s">
        <v>73</v>
      </c>
      <c r="G246" t="s">
        <v>72</v>
      </c>
      <c r="H246" t="s">
        <v>72</v>
      </c>
      <c r="I246" t="s">
        <v>72</v>
      </c>
      <c r="J246" t="s">
        <v>73</v>
      </c>
      <c r="K246" t="s">
        <v>72</v>
      </c>
      <c r="L246" t="s">
        <v>73</v>
      </c>
      <c r="M246" t="s">
        <v>72</v>
      </c>
      <c r="N246" t="s">
        <v>73</v>
      </c>
      <c r="O246" t="s">
        <v>73</v>
      </c>
      <c r="P246" t="s">
        <v>72</v>
      </c>
      <c r="Q246" t="s">
        <v>76</v>
      </c>
    </row>
    <row r="247" spans="1:17" x14ac:dyDescent="0.2">
      <c r="A247">
        <v>30</v>
      </c>
      <c r="B247" t="s">
        <v>71</v>
      </c>
      <c r="C247" t="s">
        <v>72</v>
      </c>
      <c r="D247" t="s">
        <v>72</v>
      </c>
      <c r="E247" t="s">
        <v>72</v>
      </c>
      <c r="F247" t="s">
        <v>72</v>
      </c>
      <c r="G247" t="s">
        <v>72</v>
      </c>
      <c r="H247" t="s">
        <v>72</v>
      </c>
      <c r="I247" t="s">
        <v>72</v>
      </c>
      <c r="J247" t="s">
        <v>72</v>
      </c>
      <c r="K247" t="s">
        <v>72</v>
      </c>
      <c r="L247" t="s">
        <v>72</v>
      </c>
      <c r="M247" t="s">
        <v>72</v>
      </c>
      <c r="N247" t="s">
        <v>72</v>
      </c>
      <c r="O247" t="s">
        <v>72</v>
      </c>
      <c r="P247" t="s">
        <v>72</v>
      </c>
      <c r="Q247" t="s">
        <v>76</v>
      </c>
    </row>
    <row r="248" spans="1:17" x14ac:dyDescent="0.2">
      <c r="A248">
        <v>46</v>
      </c>
      <c r="B248" t="s">
        <v>71</v>
      </c>
      <c r="C248" t="s">
        <v>72</v>
      </c>
      <c r="D248" t="s">
        <v>72</v>
      </c>
      <c r="E248" t="s">
        <v>72</v>
      </c>
      <c r="F248" t="s">
        <v>73</v>
      </c>
      <c r="G248" t="s">
        <v>72</v>
      </c>
      <c r="H248" t="s">
        <v>72</v>
      </c>
      <c r="I248" t="s">
        <v>72</v>
      </c>
      <c r="J248" t="s">
        <v>73</v>
      </c>
      <c r="K248" t="s">
        <v>72</v>
      </c>
      <c r="L248" t="s">
        <v>73</v>
      </c>
      <c r="M248" t="s">
        <v>72</v>
      </c>
      <c r="N248" t="s">
        <v>72</v>
      </c>
      <c r="O248" t="s">
        <v>73</v>
      </c>
      <c r="P248" t="s">
        <v>72</v>
      </c>
      <c r="Q248" t="s">
        <v>76</v>
      </c>
    </row>
    <row r="249" spans="1:17" x14ac:dyDescent="0.2">
      <c r="A249">
        <v>53</v>
      </c>
      <c r="B249" t="s">
        <v>71</v>
      </c>
      <c r="C249" t="s">
        <v>72</v>
      </c>
      <c r="D249" t="s">
        <v>72</v>
      </c>
      <c r="E249" t="s">
        <v>72</v>
      </c>
      <c r="F249" t="s">
        <v>73</v>
      </c>
      <c r="G249" t="s">
        <v>73</v>
      </c>
      <c r="H249" t="s">
        <v>72</v>
      </c>
      <c r="I249" t="s">
        <v>73</v>
      </c>
      <c r="J249" t="s">
        <v>73</v>
      </c>
      <c r="K249" t="s">
        <v>72</v>
      </c>
      <c r="L249" t="s">
        <v>73</v>
      </c>
      <c r="M249" t="s">
        <v>73</v>
      </c>
      <c r="N249" t="s">
        <v>73</v>
      </c>
      <c r="O249" t="s">
        <v>73</v>
      </c>
      <c r="P249" t="s">
        <v>72</v>
      </c>
      <c r="Q249" t="s">
        <v>76</v>
      </c>
    </row>
    <row r="250" spans="1:17" x14ac:dyDescent="0.2">
      <c r="A250">
        <v>42</v>
      </c>
      <c r="B250" t="s">
        <v>71</v>
      </c>
      <c r="C250" t="s">
        <v>72</v>
      </c>
      <c r="D250" t="s">
        <v>72</v>
      </c>
      <c r="E250" t="s">
        <v>72</v>
      </c>
      <c r="F250" t="s">
        <v>72</v>
      </c>
      <c r="G250" t="s">
        <v>72</v>
      </c>
      <c r="H250" t="s">
        <v>72</v>
      </c>
      <c r="I250" t="s">
        <v>72</v>
      </c>
      <c r="J250" t="s">
        <v>72</v>
      </c>
      <c r="K250" t="s">
        <v>72</v>
      </c>
      <c r="L250" t="s">
        <v>72</v>
      </c>
      <c r="M250" t="s">
        <v>72</v>
      </c>
      <c r="N250" t="s">
        <v>72</v>
      </c>
      <c r="O250" t="s">
        <v>73</v>
      </c>
      <c r="P250" t="s">
        <v>72</v>
      </c>
      <c r="Q250" t="s">
        <v>76</v>
      </c>
    </row>
    <row r="251" spans="1:17" x14ac:dyDescent="0.2">
      <c r="A251">
        <v>55</v>
      </c>
      <c r="B251" t="s">
        <v>75</v>
      </c>
      <c r="C251" t="s">
        <v>73</v>
      </c>
      <c r="D251" t="s">
        <v>73</v>
      </c>
      <c r="E251" t="s">
        <v>73</v>
      </c>
      <c r="F251" t="s">
        <v>73</v>
      </c>
      <c r="G251" t="s">
        <v>72</v>
      </c>
      <c r="H251" t="s">
        <v>72</v>
      </c>
      <c r="I251" t="s">
        <v>73</v>
      </c>
      <c r="J251" t="s">
        <v>72</v>
      </c>
      <c r="K251" t="s">
        <v>72</v>
      </c>
      <c r="L251" t="s">
        <v>72</v>
      </c>
      <c r="M251" t="s">
        <v>73</v>
      </c>
      <c r="N251" t="s">
        <v>72</v>
      </c>
      <c r="O251" t="s">
        <v>72</v>
      </c>
      <c r="P251" t="s">
        <v>73</v>
      </c>
      <c r="Q251" t="s">
        <v>74</v>
      </c>
    </row>
    <row r="252" spans="1:17" x14ac:dyDescent="0.2">
      <c r="A252">
        <v>48</v>
      </c>
      <c r="B252" t="s">
        <v>75</v>
      </c>
      <c r="C252" t="s">
        <v>73</v>
      </c>
      <c r="D252" t="s">
        <v>73</v>
      </c>
      <c r="E252" t="s">
        <v>73</v>
      </c>
      <c r="F252" t="s">
        <v>73</v>
      </c>
      <c r="G252" t="s">
        <v>73</v>
      </c>
      <c r="H252" t="s">
        <v>72</v>
      </c>
      <c r="I252" t="s">
        <v>72</v>
      </c>
      <c r="J252" t="s">
        <v>72</v>
      </c>
      <c r="K252" t="s">
        <v>72</v>
      </c>
      <c r="L252" t="s">
        <v>72</v>
      </c>
      <c r="M252" t="s">
        <v>73</v>
      </c>
      <c r="N252" t="s">
        <v>72</v>
      </c>
      <c r="O252" t="s">
        <v>72</v>
      </c>
      <c r="P252" t="s">
        <v>72</v>
      </c>
      <c r="Q252" t="s">
        <v>74</v>
      </c>
    </row>
    <row r="253" spans="1:17" x14ac:dyDescent="0.2">
      <c r="A253">
        <v>55</v>
      </c>
      <c r="B253" t="s">
        <v>75</v>
      </c>
      <c r="C253" t="s">
        <v>73</v>
      </c>
      <c r="D253" t="s">
        <v>73</v>
      </c>
      <c r="E253" t="s">
        <v>73</v>
      </c>
      <c r="F253" t="s">
        <v>72</v>
      </c>
      <c r="G253" t="s">
        <v>73</v>
      </c>
      <c r="H253" t="s">
        <v>72</v>
      </c>
      <c r="I253" t="s">
        <v>72</v>
      </c>
      <c r="J253" t="s">
        <v>73</v>
      </c>
      <c r="K253" t="s">
        <v>72</v>
      </c>
      <c r="L253" t="s">
        <v>73</v>
      </c>
      <c r="M253" t="s">
        <v>73</v>
      </c>
      <c r="N253" t="s">
        <v>72</v>
      </c>
      <c r="O253" t="s">
        <v>72</v>
      </c>
      <c r="P253" t="s">
        <v>72</v>
      </c>
      <c r="Q253" t="s">
        <v>74</v>
      </c>
    </row>
    <row r="254" spans="1:17" x14ac:dyDescent="0.2">
      <c r="A254">
        <v>39</v>
      </c>
      <c r="B254" t="s">
        <v>75</v>
      </c>
      <c r="C254" t="s">
        <v>73</v>
      </c>
      <c r="D254" t="s">
        <v>73</v>
      </c>
      <c r="E254" t="s">
        <v>73</v>
      </c>
      <c r="F254" t="s">
        <v>73</v>
      </c>
      <c r="G254" t="s">
        <v>73</v>
      </c>
      <c r="H254" t="s">
        <v>72</v>
      </c>
      <c r="I254" t="s">
        <v>72</v>
      </c>
      <c r="J254" t="s">
        <v>73</v>
      </c>
      <c r="K254" t="s">
        <v>73</v>
      </c>
      <c r="L254" t="s">
        <v>73</v>
      </c>
      <c r="M254" t="s">
        <v>73</v>
      </c>
      <c r="N254" t="s">
        <v>72</v>
      </c>
      <c r="O254" t="s">
        <v>72</v>
      </c>
      <c r="P254" t="s">
        <v>72</v>
      </c>
      <c r="Q254" t="s">
        <v>74</v>
      </c>
    </row>
    <row r="255" spans="1:17" x14ac:dyDescent="0.2">
      <c r="A255">
        <v>43</v>
      </c>
      <c r="B255" t="s">
        <v>75</v>
      </c>
      <c r="C255" t="s">
        <v>73</v>
      </c>
      <c r="D255" t="s">
        <v>73</v>
      </c>
      <c r="E255" t="s">
        <v>73</v>
      </c>
      <c r="F255" t="s">
        <v>73</v>
      </c>
      <c r="G255" t="s">
        <v>73</v>
      </c>
      <c r="H255" t="s">
        <v>72</v>
      </c>
      <c r="I255" t="s">
        <v>73</v>
      </c>
      <c r="J255" t="s">
        <v>72</v>
      </c>
      <c r="K255" t="s">
        <v>72</v>
      </c>
      <c r="L255" t="s">
        <v>72</v>
      </c>
      <c r="M255" t="s">
        <v>73</v>
      </c>
      <c r="N255" t="s">
        <v>73</v>
      </c>
      <c r="O255" t="s">
        <v>72</v>
      </c>
      <c r="P255" t="s">
        <v>73</v>
      </c>
      <c r="Q255" t="s">
        <v>74</v>
      </c>
    </row>
    <row r="256" spans="1:17" x14ac:dyDescent="0.2">
      <c r="A256">
        <v>35</v>
      </c>
      <c r="B256" t="s">
        <v>75</v>
      </c>
      <c r="C256" t="s">
        <v>73</v>
      </c>
      <c r="D256" t="s">
        <v>73</v>
      </c>
      <c r="E256" t="s">
        <v>72</v>
      </c>
      <c r="F256" t="s">
        <v>73</v>
      </c>
      <c r="G256" t="s">
        <v>72</v>
      </c>
      <c r="H256" t="s">
        <v>72</v>
      </c>
      <c r="I256" t="s">
        <v>73</v>
      </c>
      <c r="J256" t="s">
        <v>72</v>
      </c>
      <c r="K256" t="s">
        <v>72</v>
      </c>
      <c r="L256" t="s">
        <v>72</v>
      </c>
      <c r="M256" t="s">
        <v>72</v>
      </c>
      <c r="N256" t="s">
        <v>72</v>
      </c>
      <c r="O256" t="s">
        <v>72</v>
      </c>
      <c r="P256" t="s">
        <v>72</v>
      </c>
      <c r="Q256" t="s">
        <v>74</v>
      </c>
    </row>
    <row r="257" spans="1:17" x14ac:dyDescent="0.2">
      <c r="A257">
        <v>47</v>
      </c>
      <c r="B257" t="s">
        <v>75</v>
      </c>
      <c r="C257" t="s">
        <v>72</v>
      </c>
      <c r="D257" t="s">
        <v>72</v>
      </c>
      <c r="E257" t="s">
        <v>73</v>
      </c>
      <c r="F257" t="s">
        <v>73</v>
      </c>
      <c r="G257" t="s">
        <v>73</v>
      </c>
      <c r="H257" t="s">
        <v>72</v>
      </c>
      <c r="I257" t="s">
        <v>72</v>
      </c>
      <c r="J257" t="s">
        <v>72</v>
      </c>
      <c r="K257" t="s">
        <v>72</v>
      </c>
      <c r="L257" t="s">
        <v>72</v>
      </c>
      <c r="M257" t="s">
        <v>72</v>
      </c>
      <c r="N257" t="s">
        <v>73</v>
      </c>
      <c r="O257" t="s">
        <v>72</v>
      </c>
      <c r="P257" t="s">
        <v>72</v>
      </c>
      <c r="Q257" t="s">
        <v>74</v>
      </c>
    </row>
    <row r="258" spans="1:17" x14ac:dyDescent="0.2">
      <c r="A258">
        <v>50</v>
      </c>
      <c r="B258" t="s">
        <v>75</v>
      </c>
      <c r="C258" t="s">
        <v>73</v>
      </c>
      <c r="D258" t="s">
        <v>73</v>
      </c>
      <c r="E258" t="s">
        <v>72</v>
      </c>
      <c r="F258" t="s">
        <v>73</v>
      </c>
      <c r="G258" t="s">
        <v>73</v>
      </c>
      <c r="H258" t="s">
        <v>72</v>
      </c>
      <c r="I258" t="s">
        <v>72</v>
      </c>
      <c r="J258" t="s">
        <v>72</v>
      </c>
      <c r="K258" t="s">
        <v>72</v>
      </c>
      <c r="L258" t="s">
        <v>73</v>
      </c>
      <c r="M258" t="s">
        <v>73</v>
      </c>
      <c r="N258" t="s">
        <v>72</v>
      </c>
      <c r="O258" t="s">
        <v>72</v>
      </c>
      <c r="P258" t="s">
        <v>72</v>
      </c>
      <c r="Q258" t="s">
        <v>74</v>
      </c>
    </row>
    <row r="259" spans="1:17" x14ac:dyDescent="0.2">
      <c r="A259">
        <v>48</v>
      </c>
      <c r="B259" t="s">
        <v>75</v>
      </c>
      <c r="C259" t="s">
        <v>73</v>
      </c>
      <c r="D259" t="s">
        <v>73</v>
      </c>
      <c r="E259" t="s">
        <v>72</v>
      </c>
      <c r="F259" t="s">
        <v>73</v>
      </c>
      <c r="G259" t="s">
        <v>72</v>
      </c>
      <c r="H259" t="s">
        <v>72</v>
      </c>
      <c r="I259" t="s">
        <v>73</v>
      </c>
      <c r="J259" t="s">
        <v>73</v>
      </c>
      <c r="K259" t="s">
        <v>72</v>
      </c>
      <c r="L259" t="s">
        <v>73</v>
      </c>
      <c r="M259" t="s">
        <v>73</v>
      </c>
      <c r="N259" t="s">
        <v>72</v>
      </c>
      <c r="O259" t="s">
        <v>72</v>
      </c>
      <c r="P259" t="s">
        <v>72</v>
      </c>
      <c r="Q259" t="s">
        <v>74</v>
      </c>
    </row>
    <row r="260" spans="1:17" x14ac:dyDescent="0.2">
      <c r="A260">
        <v>35</v>
      </c>
      <c r="B260" t="s">
        <v>75</v>
      </c>
      <c r="C260" t="s">
        <v>73</v>
      </c>
      <c r="D260" t="s">
        <v>73</v>
      </c>
      <c r="E260" t="s">
        <v>73</v>
      </c>
      <c r="F260" t="s">
        <v>73</v>
      </c>
      <c r="G260" t="s">
        <v>73</v>
      </c>
      <c r="H260" t="s">
        <v>72</v>
      </c>
      <c r="I260" t="s">
        <v>73</v>
      </c>
      <c r="J260" t="s">
        <v>73</v>
      </c>
      <c r="K260" t="s">
        <v>72</v>
      </c>
      <c r="L260" t="s">
        <v>73</v>
      </c>
      <c r="M260" t="s">
        <v>73</v>
      </c>
      <c r="N260" t="s">
        <v>73</v>
      </c>
      <c r="O260" t="s">
        <v>72</v>
      </c>
      <c r="P260" t="s">
        <v>72</v>
      </c>
      <c r="Q260" t="s">
        <v>74</v>
      </c>
    </row>
    <row r="261" spans="1:17" x14ac:dyDescent="0.2">
      <c r="A261">
        <v>62</v>
      </c>
      <c r="B261" t="s">
        <v>71</v>
      </c>
      <c r="C261" t="s">
        <v>73</v>
      </c>
      <c r="D261" t="s">
        <v>72</v>
      </c>
      <c r="E261" t="s">
        <v>72</v>
      </c>
      <c r="F261" t="s">
        <v>73</v>
      </c>
      <c r="G261" t="s">
        <v>72</v>
      </c>
      <c r="H261" t="s">
        <v>73</v>
      </c>
      <c r="I261" t="s">
        <v>73</v>
      </c>
      <c r="J261" t="s">
        <v>73</v>
      </c>
      <c r="K261" t="s">
        <v>73</v>
      </c>
      <c r="L261" t="s">
        <v>72</v>
      </c>
      <c r="M261" t="s">
        <v>73</v>
      </c>
      <c r="N261" t="s">
        <v>73</v>
      </c>
      <c r="O261" t="s">
        <v>73</v>
      </c>
      <c r="P261" t="s">
        <v>73</v>
      </c>
      <c r="Q261" t="s">
        <v>74</v>
      </c>
    </row>
    <row r="262" spans="1:17" x14ac:dyDescent="0.2">
      <c r="A262">
        <v>33</v>
      </c>
      <c r="B262" t="s">
        <v>71</v>
      </c>
      <c r="C262" t="s">
        <v>72</v>
      </c>
      <c r="D262" t="s">
        <v>73</v>
      </c>
      <c r="E262" t="s">
        <v>72</v>
      </c>
      <c r="F262" t="s">
        <v>72</v>
      </c>
      <c r="G262" t="s">
        <v>72</v>
      </c>
      <c r="H262" t="s">
        <v>72</v>
      </c>
      <c r="I262" t="s">
        <v>72</v>
      </c>
      <c r="J262" t="s">
        <v>72</v>
      </c>
      <c r="K262" t="s">
        <v>72</v>
      </c>
      <c r="L262" t="s">
        <v>72</v>
      </c>
      <c r="M262" t="s">
        <v>72</v>
      </c>
      <c r="N262" t="s">
        <v>72</v>
      </c>
      <c r="O262" t="s">
        <v>72</v>
      </c>
      <c r="P262" t="s">
        <v>72</v>
      </c>
      <c r="Q262" t="s">
        <v>74</v>
      </c>
    </row>
    <row r="263" spans="1:17" x14ac:dyDescent="0.2">
      <c r="A263">
        <v>55</v>
      </c>
      <c r="B263" t="s">
        <v>71</v>
      </c>
      <c r="C263" t="s">
        <v>73</v>
      </c>
      <c r="D263" t="s">
        <v>73</v>
      </c>
      <c r="E263" t="s">
        <v>73</v>
      </c>
      <c r="F263" t="s">
        <v>73</v>
      </c>
      <c r="G263" t="s">
        <v>72</v>
      </c>
      <c r="H263" t="s">
        <v>73</v>
      </c>
      <c r="I263" t="s">
        <v>72</v>
      </c>
      <c r="J263" t="s">
        <v>72</v>
      </c>
      <c r="K263" t="s">
        <v>73</v>
      </c>
      <c r="L263" t="s">
        <v>72</v>
      </c>
      <c r="M263" t="s">
        <v>73</v>
      </c>
      <c r="N263" t="s">
        <v>72</v>
      </c>
      <c r="O263" t="s">
        <v>72</v>
      </c>
      <c r="P263" t="s">
        <v>72</v>
      </c>
      <c r="Q263" t="s">
        <v>74</v>
      </c>
    </row>
    <row r="264" spans="1:17" x14ac:dyDescent="0.2">
      <c r="A264">
        <v>48</v>
      </c>
      <c r="B264" t="s">
        <v>71</v>
      </c>
      <c r="C264" t="s">
        <v>73</v>
      </c>
      <c r="D264" t="s">
        <v>73</v>
      </c>
      <c r="E264" t="s">
        <v>73</v>
      </c>
      <c r="F264" t="s">
        <v>72</v>
      </c>
      <c r="G264" t="s">
        <v>73</v>
      </c>
      <c r="H264" t="s">
        <v>73</v>
      </c>
      <c r="I264" t="s">
        <v>72</v>
      </c>
      <c r="J264" t="s">
        <v>72</v>
      </c>
      <c r="K264" t="s">
        <v>72</v>
      </c>
      <c r="L264" t="s">
        <v>73</v>
      </c>
      <c r="M264" t="s">
        <v>72</v>
      </c>
      <c r="N264" t="s">
        <v>72</v>
      </c>
      <c r="O264" t="s">
        <v>72</v>
      </c>
      <c r="P264" t="s">
        <v>72</v>
      </c>
      <c r="Q264" t="s">
        <v>74</v>
      </c>
    </row>
    <row r="265" spans="1:17" x14ac:dyDescent="0.2">
      <c r="A265">
        <v>56</v>
      </c>
      <c r="B265" t="s">
        <v>71</v>
      </c>
      <c r="C265" t="s">
        <v>73</v>
      </c>
      <c r="D265" t="s">
        <v>72</v>
      </c>
      <c r="E265" t="s">
        <v>73</v>
      </c>
      <c r="F265" t="s">
        <v>73</v>
      </c>
      <c r="G265" t="s">
        <v>72</v>
      </c>
      <c r="H265" t="s">
        <v>73</v>
      </c>
      <c r="I265" t="s">
        <v>72</v>
      </c>
      <c r="J265" t="s">
        <v>73</v>
      </c>
      <c r="K265" t="s">
        <v>73</v>
      </c>
      <c r="L265" t="s">
        <v>72</v>
      </c>
      <c r="M265" t="s">
        <v>72</v>
      </c>
      <c r="N265" t="s">
        <v>72</v>
      </c>
      <c r="O265" t="s">
        <v>73</v>
      </c>
      <c r="P265" t="s">
        <v>72</v>
      </c>
      <c r="Q265" t="s">
        <v>74</v>
      </c>
    </row>
    <row r="266" spans="1:17" x14ac:dyDescent="0.2">
      <c r="A266">
        <v>38</v>
      </c>
      <c r="B266" t="s">
        <v>75</v>
      </c>
      <c r="C266" t="s">
        <v>73</v>
      </c>
      <c r="D266" t="s">
        <v>73</v>
      </c>
      <c r="E266" t="s">
        <v>73</v>
      </c>
      <c r="F266" t="s">
        <v>73</v>
      </c>
      <c r="G266" t="s">
        <v>73</v>
      </c>
      <c r="H266" t="s">
        <v>72</v>
      </c>
      <c r="I266" t="s">
        <v>73</v>
      </c>
      <c r="J266" t="s">
        <v>73</v>
      </c>
      <c r="K266" t="s">
        <v>73</v>
      </c>
      <c r="L266" t="s">
        <v>73</v>
      </c>
      <c r="M266" t="s">
        <v>73</v>
      </c>
      <c r="N266" t="s">
        <v>73</v>
      </c>
      <c r="O266" t="s">
        <v>72</v>
      </c>
      <c r="P266" t="s">
        <v>72</v>
      </c>
      <c r="Q266" t="s">
        <v>74</v>
      </c>
    </row>
    <row r="267" spans="1:17" x14ac:dyDescent="0.2">
      <c r="A267">
        <v>28</v>
      </c>
      <c r="B267" t="s">
        <v>75</v>
      </c>
      <c r="C267" t="s">
        <v>72</v>
      </c>
      <c r="D267" t="s">
        <v>72</v>
      </c>
      <c r="E267" t="s">
        <v>72</v>
      </c>
      <c r="F267" t="s">
        <v>72</v>
      </c>
      <c r="G267" t="s">
        <v>72</v>
      </c>
      <c r="H267" t="s">
        <v>72</v>
      </c>
      <c r="I267" t="s">
        <v>73</v>
      </c>
      <c r="J267" t="s">
        <v>72</v>
      </c>
      <c r="K267" t="s">
        <v>72</v>
      </c>
      <c r="L267" t="s">
        <v>72</v>
      </c>
      <c r="M267" t="s">
        <v>73</v>
      </c>
      <c r="N267" t="s">
        <v>73</v>
      </c>
      <c r="O267" t="s">
        <v>72</v>
      </c>
      <c r="P267" t="s">
        <v>72</v>
      </c>
      <c r="Q267" t="s">
        <v>74</v>
      </c>
    </row>
    <row r="268" spans="1:17" x14ac:dyDescent="0.2">
      <c r="A268">
        <v>68</v>
      </c>
      <c r="B268" t="s">
        <v>75</v>
      </c>
      <c r="C268" t="s">
        <v>73</v>
      </c>
      <c r="D268" t="s">
        <v>73</v>
      </c>
      <c r="E268" t="s">
        <v>72</v>
      </c>
      <c r="F268" t="s">
        <v>73</v>
      </c>
      <c r="G268" t="s">
        <v>73</v>
      </c>
      <c r="H268" t="s">
        <v>72</v>
      </c>
      <c r="I268" t="s">
        <v>73</v>
      </c>
      <c r="J268" t="s">
        <v>73</v>
      </c>
      <c r="K268" t="s">
        <v>72</v>
      </c>
      <c r="L268" t="s">
        <v>73</v>
      </c>
      <c r="M268" t="s">
        <v>73</v>
      </c>
      <c r="N268" t="s">
        <v>72</v>
      </c>
      <c r="O268" t="s">
        <v>72</v>
      </c>
      <c r="P268" t="s">
        <v>72</v>
      </c>
      <c r="Q268" t="s">
        <v>74</v>
      </c>
    </row>
    <row r="269" spans="1:17" x14ac:dyDescent="0.2">
      <c r="A269">
        <v>35</v>
      </c>
      <c r="B269" t="s">
        <v>75</v>
      </c>
      <c r="C269" t="s">
        <v>72</v>
      </c>
      <c r="D269" t="s">
        <v>72</v>
      </c>
      <c r="E269" t="s">
        <v>72</v>
      </c>
      <c r="F269" t="s">
        <v>72</v>
      </c>
      <c r="G269" t="s">
        <v>72</v>
      </c>
      <c r="H269" t="s">
        <v>72</v>
      </c>
      <c r="I269" t="s">
        <v>72</v>
      </c>
      <c r="J269" t="s">
        <v>72</v>
      </c>
      <c r="K269" t="s">
        <v>72</v>
      </c>
      <c r="L269" t="s">
        <v>72</v>
      </c>
      <c r="M269" t="s">
        <v>72</v>
      </c>
      <c r="N269" t="s">
        <v>72</v>
      </c>
      <c r="O269" t="s">
        <v>72</v>
      </c>
      <c r="P269" t="s">
        <v>72</v>
      </c>
      <c r="Q269" t="s">
        <v>74</v>
      </c>
    </row>
    <row r="270" spans="1:17" x14ac:dyDescent="0.2">
      <c r="A270">
        <v>45</v>
      </c>
      <c r="B270" t="s">
        <v>75</v>
      </c>
      <c r="C270" t="s">
        <v>72</v>
      </c>
      <c r="D270" t="s">
        <v>72</v>
      </c>
      <c r="E270" t="s">
        <v>72</v>
      </c>
      <c r="F270" t="s">
        <v>72</v>
      </c>
      <c r="G270" t="s">
        <v>73</v>
      </c>
      <c r="H270" t="s">
        <v>72</v>
      </c>
      <c r="I270" t="s">
        <v>73</v>
      </c>
      <c r="J270" t="s">
        <v>73</v>
      </c>
      <c r="K270" t="s">
        <v>72</v>
      </c>
      <c r="L270" t="s">
        <v>72</v>
      </c>
      <c r="M270" t="s">
        <v>73</v>
      </c>
      <c r="N270" t="s">
        <v>72</v>
      </c>
      <c r="O270" t="s">
        <v>72</v>
      </c>
      <c r="P270" t="s">
        <v>72</v>
      </c>
      <c r="Q270" t="s">
        <v>74</v>
      </c>
    </row>
    <row r="271" spans="1:17" x14ac:dyDescent="0.2">
      <c r="A271">
        <v>48</v>
      </c>
      <c r="B271" t="s">
        <v>75</v>
      </c>
      <c r="C271" t="s">
        <v>73</v>
      </c>
      <c r="D271" t="s">
        <v>73</v>
      </c>
      <c r="E271" t="s">
        <v>73</v>
      </c>
      <c r="F271" t="s">
        <v>73</v>
      </c>
      <c r="G271" t="s">
        <v>73</v>
      </c>
      <c r="H271" t="s">
        <v>72</v>
      </c>
      <c r="I271" t="s">
        <v>73</v>
      </c>
      <c r="J271" t="s">
        <v>73</v>
      </c>
      <c r="K271" t="s">
        <v>73</v>
      </c>
      <c r="L271" t="s">
        <v>73</v>
      </c>
      <c r="M271" t="s">
        <v>73</v>
      </c>
      <c r="N271" t="s">
        <v>73</v>
      </c>
      <c r="O271" t="s">
        <v>72</v>
      </c>
      <c r="P271" t="s">
        <v>72</v>
      </c>
      <c r="Q271" t="s">
        <v>74</v>
      </c>
    </row>
    <row r="272" spans="1:17" x14ac:dyDescent="0.2">
      <c r="A272">
        <v>40</v>
      </c>
      <c r="B272" t="s">
        <v>75</v>
      </c>
      <c r="C272" t="s">
        <v>73</v>
      </c>
      <c r="D272" t="s">
        <v>73</v>
      </c>
      <c r="E272" t="s">
        <v>73</v>
      </c>
      <c r="F272" t="s">
        <v>73</v>
      </c>
      <c r="G272" t="s">
        <v>72</v>
      </c>
      <c r="H272" t="s">
        <v>72</v>
      </c>
      <c r="I272" t="s">
        <v>73</v>
      </c>
      <c r="J272" t="s">
        <v>72</v>
      </c>
      <c r="K272" t="s">
        <v>72</v>
      </c>
      <c r="L272" t="s">
        <v>73</v>
      </c>
      <c r="M272" t="s">
        <v>73</v>
      </c>
      <c r="N272" t="s">
        <v>73</v>
      </c>
      <c r="O272" t="s">
        <v>72</v>
      </c>
      <c r="P272" t="s">
        <v>72</v>
      </c>
      <c r="Q272" t="s">
        <v>74</v>
      </c>
    </row>
    <row r="273" spans="1:17" x14ac:dyDescent="0.2">
      <c r="A273">
        <v>57</v>
      </c>
      <c r="B273" t="s">
        <v>71</v>
      </c>
      <c r="C273" t="s">
        <v>73</v>
      </c>
      <c r="D273" t="s">
        <v>73</v>
      </c>
      <c r="E273" t="s">
        <v>73</v>
      </c>
      <c r="F273" t="s">
        <v>73</v>
      </c>
      <c r="G273" t="s">
        <v>73</v>
      </c>
      <c r="H273" t="s">
        <v>72</v>
      </c>
      <c r="I273" t="s">
        <v>73</v>
      </c>
      <c r="J273" t="s">
        <v>72</v>
      </c>
      <c r="K273" t="s">
        <v>72</v>
      </c>
      <c r="L273" t="s">
        <v>72</v>
      </c>
      <c r="M273" t="s">
        <v>73</v>
      </c>
      <c r="N273" t="s">
        <v>72</v>
      </c>
      <c r="O273" t="s">
        <v>72</v>
      </c>
      <c r="P273" t="s">
        <v>72</v>
      </c>
      <c r="Q273" t="s">
        <v>74</v>
      </c>
    </row>
    <row r="274" spans="1:17" x14ac:dyDescent="0.2">
      <c r="A274">
        <v>47</v>
      </c>
      <c r="B274" t="s">
        <v>71</v>
      </c>
      <c r="C274" t="s">
        <v>72</v>
      </c>
      <c r="D274" t="s">
        <v>72</v>
      </c>
      <c r="E274" t="s">
        <v>72</v>
      </c>
      <c r="F274" t="s">
        <v>72</v>
      </c>
      <c r="G274" t="s">
        <v>72</v>
      </c>
      <c r="H274" t="s">
        <v>72</v>
      </c>
      <c r="I274" t="s">
        <v>72</v>
      </c>
      <c r="J274" t="s">
        <v>73</v>
      </c>
      <c r="K274" t="s">
        <v>72</v>
      </c>
      <c r="L274" t="s">
        <v>72</v>
      </c>
      <c r="M274" t="s">
        <v>72</v>
      </c>
      <c r="N274" t="s">
        <v>72</v>
      </c>
      <c r="O274" t="s">
        <v>73</v>
      </c>
      <c r="P274" t="s">
        <v>72</v>
      </c>
      <c r="Q274" t="s">
        <v>76</v>
      </c>
    </row>
    <row r="275" spans="1:17" x14ac:dyDescent="0.2">
      <c r="A275">
        <v>45</v>
      </c>
      <c r="B275" t="s">
        <v>71</v>
      </c>
      <c r="C275" t="s">
        <v>72</v>
      </c>
      <c r="D275" t="s">
        <v>72</v>
      </c>
      <c r="E275" t="s">
        <v>72</v>
      </c>
      <c r="F275" t="s">
        <v>72</v>
      </c>
      <c r="G275" t="s">
        <v>73</v>
      </c>
      <c r="H275" t="s">
        <v>73</v>
      </c>
      <c r="I275" t="s">
        <v>72</v>
      </c>
      <c r="J275" t="s">
        <v>72</v>
      </c>
      <c r="K275" t="s">
        <v>72</v>
      </c>
      <c r="L275" t="s">
        <v>72</v>
      </c>
      <c r="M275" t="s">
        <v>72</v>
      </c>
      <c r="N275" t="s">
        <v>72</v>
      </c>
      <c r="O275" t="s">
        <v>72</v>
      </c>
      <c r="P275" t="s">
        <v>72</v>
      </c>
      <c r="Q275" t="s">
        <v>76</v>
      </c>
    </row>
    <row r="276" spans="1:17" x14ac:dyDescent="0.2">
      <c r="A276">
        <v>57</v>
      </c>
      <c r="B276" t="s">
        <v>71</v>
      </c>
      <c r="C276" t="s">
        <v>72</v>
      </c>
      <c r="D276" t="s">
        <v>72</v>
      </c>
      <c r="E276" t="s">
        <v>72</v>
      </c>
      <c r="F276" t="s">
        <v>72</v>
      </c>
      <c r="G276" t="s">
        <v>73</v>
      </c>
      <c r="H276" t="s">
        <v>72</v>
      </c>
      <c r="I276" t="s">
        <v>73</v>
      </c>
      <c r="J276" t="s">
        <v>72</v>
      </c>
      <c r="K276" t="s">
        <v>72</v>
      </c>
      <c r="L276" t="s">
        <v>72</v>
      </c>
      <c r="M276" t="s">
        <v>72</v>
      </c>
      <c r="N276" t="s">
        <v>73</v>
      </c>
      <c r="O276" t="s">
        <v>72</v>
      </c>
      <c r="P276" t="s">
        <v>72</v>
      </c>
      <c r="Q276" t="s">
        <v>76</v>
      </c>
    </row>
    <row r="277" spans="1:17" x14ac:dyDescent="0.2">
      <c r="A277">
        <v>72</v>
      </c>
      <c r="B277" t="s">
        <v>71</v>
      </c>
      <c r="C277" t="s">
        <v>73</v>
      </c>
      <c r="D277" t="s">
        <v>72</v>
      </c>
      <c r="E277" t="s">
        <v>72</v>
      </c>
      <c r="F277" t="s">
        <v>72</v>
      </c>
      <c r="G277" t="s">
        <v>73</v>
      </c>
      <c r="H277" t="s">
        <v>72</v>
      </c>
      <c r="I277" t="s">
        <v>73</v>
      </c>
      <c r="J277" t="s">
        <v>73</v>
      </c>
      <c r="K277" t="s">
        <v>72</v>
      </c>
      <c r="L277" t="s">
        <v>73</v>
      </c>
      <c r="M277" t="s">
        <v>73</v>
      </c>
      <c r="N277" t="s">
        <v>73</v>
      </c>
      <c r="O277" t="s">
        <v>73</v>
      </c>
      <c r="P277" t="s">
        <v>72</v>
      </c>
      <c r="Q277" t="s">
        <v>76</v>
      </c>
    </row>
    <row r="278" spans="1:17" x14ac:dyDescent="0.2">
      <c r="A278">
        <v>30</v>
      </c>
      <c r="B278" t="s">
        <v>71</v>
      </c>
      <c r="C278" t="s">
        <v>72</v>
      </c>
      <c r="D278" t="s">
        <v>72</v>
      </c>
      <c r="E278" t="s">
        <v>72</v>
      </c>
      <c r="F278" t="s">
        <v>72</v>
      </c>
      <c r="G278" t="s">
        <v>72</v>
      </c>
      <c r="H278" t="s">
        <v>72</v>
      </c>
      <c r="I278" t="s">
        <v>72</v>
      </c>
      <c r="J278" t="s">
        <v>72</v>
      </c>
      <c r="K278" t="s">
        <v>72</v>
      </c>
      <c r="L278" t="s">
        <v>72</v>
      </c>
      <c r="M278" t="s">
        <v>72</v>
      </c>
      <c r="N278" t="s">
        <v>72</v>
      </c>
      <c r="O278" t="s">
        <v>72</v>
      </c>
      <c r="P278" t="s">
        <v>72</v>
      </c>
      <c r="Q278" t="s">
        <v>76</v>
      </c>
    </row>
    <row r="279" spans="1:17" x14ac:dyDescent="0.2">
      <c r="A279">
        <v>27</v>
      </c>
      <c r="B279" t="s">
        <v>71</v>
      </c>
      <c r="C279" t="s">
        <v>72</v>
      </c>
      <c r="D279" t="s">
        <v>72</v>
      </c>
      <c r="E279" t="s">
        <v>72</v>
      </c>
      <c r="F279" t="s">
        <v>72</v>
      </c>
      <c r="G279" t="s">
        <v>72</v>
      </c>
      <c r="H279" t="s">
        <v>72</v>
      </c>
      <c r="I279" t="s">
        <v>72</v>
      </c>
      <c r="J279" t="s">
        <v>72</v>
      </c>
      <c r="K279" t="s">
        <v>72</v>
      </c>
      <c r="L279" t="s">
        <v>72</v>
      </c>
      <c r="M279" t="s">
        <v>72</v>
      </c>
      <c r="N279" t="s">
        <v>72</v>
      </c>
      <c r="O279" t="s">
        <v>72</v>
      </c>
      <c r="P279" t="s">
        <v>72</v>
      </c>
      <c r="Q279" t="s">
        <v>76</v>
      </c>
    </row>
    <row r="280" spans="1:17" x14ac:dyDescent="0.2">
      <c r="A280">
        <v>38</v>
      </c>
      <c r="B280" t="s">
        <v>71</v>
      </c>
      <c r="C280" t="s">
        <v>72</v>
      </c>
      <c r="D280" t="s">
        <v>72</v>
      </c>
      <c r="E280" t="s">
        <v>72</v>
      </c>
      <c r="F280" t="s">
        <v>72</v>
      </c>
      <c r="G280" t="s">
        <v>72</v>
      </c>
      <c r="H280" t="s">
        <v>72</v>
      </c>
      <c r="I280" t="s">
        <v>72</v>
      </c>
      <c r="J280" t="s">
        <v>72</v>
      </c>
      <c r="K280" t="s">
        <v>72</v>
      </c>
      <c r="L280" t="s">
        <v>72</v>
      </c>
      <c r="M280" t="s">
        <v>72</v>
      </c>
      <c r="N280" t="s">
        <v>72</v>
      </c>
      <c r="O280" t="s">
        <v>72</v>
      </c>
      <c r="P280" t="s">
        <v>72</v>
      </c>
      <c r="Q280" t="s">
        <v>76</v>
      </c>
    </row>
    <row r="281" spans="1:17" x14ac:dyDescent="0.2">
      <c r="A281">
        <v>43</v>
      </c>
      <c r="B281" t="s">
        <v>71</v>
      </c>
      <c r="C281" t="s">
        <v>72</v>
      </c>
      <c r="D281" t="s">
        <v>72</v>
      </c>
      <c r="E281" t="s">
        <v>72</v>
      </c>
      <c r="F281" t="s">
        <v>73</v>
      </c>
      <c r="G281" t="s">
        <v>72</v>
      </c>
      <c r="H281" t="s">
        <v>73</v>
      </c>
      <c r="I281" t="s">
        <v>72</v>
      </c>
      <c r="J281" t="s">
        <v>73</v>
      </c>
      <c r="K281" t="s">
        <v>72</v>
      </c>
      <c r="L281" t="s">
        <v>73</v>
      </c>
      <c r="M281" t="s">
        <v>72</v>
      </c>
      <c r="N281" t="s">
        <v>72</v>
      </c>
      <c r="O281" t="s">
        <v>73</v>
      </c>
      <c r="P281" t="s">
        <v>72</v>
      </c>
      <c r="Q281" t="s">
        <v>76</v>
      </c>
    </row>
    <row r="282" spans="1:17" x14ac:dyDescent="0.2">
      <c r="A282">
        <v>40</v>
      </c>
      <c r="B282" t="s">
        <v>71</v>
      </c>
      <c r="C282" t="s">
        <v>72</v>
      </c>
      <c r="D282" t="s">
        <v>72</v>
      </c>
      <c r="E282" t="s">
        <v>73</v>
      </c>
      <c r="F282" t="s">
        <v>72</v>
      </c>
      <c r="G282" t="s">
        <v>72</v>
      </c>
      <c r="H282" t="s">
        <v>72</v>
      </c>
      <c r="I282" t="s">
        <v>72</v>
      </c>
      <c r="J282" t="s">
        <v>72</v>
      </c>
      <c r="K282" t="s">
        <v>72</v>
      </c>
      <c r="L282" t="s">
        <v>72</v>
      </c>
      <c r="M282" t="s">
        <v>72</v>
      </c>
      <c r="N282" t="s">
        <v>72</v>
      </c>
      <c r="O282" t="s">
        <v>72</v>
      </c>
      <c r="P282" t="s">
        <v>73</v>
      </c>
      <c r="Q282" t="s">
        <v>76</v>
      </c>
    </row>
    <row r="283" spans="1:17" x14ac:dyDescent="0.2">
      <c r="A283">
        <v>47</v>
      </c>
      <c r="B283" t="s">
        <v>71</v>
      </c>
      <c r="C283" t="s">
        <v>72</v>
      </c>
      <c r="D283" t="s">
        <v>72</v>
      </c>
      <c r="E283" t="s">
        <v>72</v>
      </c>
      <c r="F283" t="s">
        <v>72</v>
      </c>
      <c r="G283" t="s">
        <v>72</v>
      </c>
      <c r="H283" t="s">
        <v>72</v>
      </c>
      <c r="I283" t="s">
        <v>72</v>
      </c>
      <c r="J283" t="s">
        <v>73</v>
      </c>
      <c r="K283" t="s">
        <v>72</v>
      </c>
      <c r="L283" t="s">
        <v>72</v>
      </c>
      <c r="M283" t="s">
        <v>72</v>
      </c>
      <c r="N283" t="s">
        <v>72</v>
      </c>
      <c r="O283" t="s">
        <v>73</v>
      </c>
      <c r="P283" t="s">
        <v>72</v>
      </c>
      <c r="Q283" t="s">
        <v>76</v>
      </c>
    </row>
    <row r="284" spans="1:17" x14ac:dyDescent="0.2">
      <c r="A284">
        <v>45</v>
      </c>
      <c r="B284" t="s">
        <v>71</v>
      </c>
      <c r="C284" t="s">
        <v>72</v>
      </c>
      <c r="D284" t="s">
        <v>72</v>
      </c>
      <c r="E284" t="s">
        <v>72</v>
      </c>
      <c r="F284" t="s">
        <v>72</v>
      </c>
      <c r="G284" t="s">
        <v>73</v>
      </c>
      <c r="H284" t="s">
        <v>73</v>
      </c>
      <c r="I284" t="s">
        <v>72</v>
      </c>
      <c r="J284" t="s">
        <v>72</v>
      </c>
      <c r="K284" t="s">
        <v>72</v>
      </c>
      <c r="L284" t="s">
        <v>72</v>
      </c>
      <c r="M284" t="s">
        <v>72</v>
      </c>
      <c r="N284" t="s">
        <v>72</v>
      </c>
      <c r="O284" t="s">
        <v>72</v>
      </c>
      <c r="P284" t="s">
        <v>72</v>
      </c>
      <c r="Q284" t="s">
        <v>76</v>
      </c>
    </row>
    <row r="285" spans="1:17" x14ac:dyDescent="0.2">
      <c r="A285">
        <v>57</v>
      </c>
      <c r="B285" t="s">
        <v>71</v>
      </c>
      <c r="C285" t="s">
        <v>72</v>
      </c>
      <c r="D285" t="s">
        <v>72</v>
      </c>
      <c r="E285" t="s">
        <v>72</v>
      </c>
      <c r="F285" t="s">
        <v>72</v>
      </c>
      <c r="G285" t="s">
        <v>73</v>
      </c>
      <c r="H285" t="s">
        <v>72</v>
      </c>
      <c r="I285" t="s">
        <v>73</v>
      </c>
      <c r="J285" t="s">
        <v>72</v>
      </c>
      <c r="K285" t="s">
        <v>72</v>
      </c>
      <c r="L285" t="s">
        <v>72</v>
      </c>
      <c r="M285" t="s">
        <v>72</v>
      </c>
      <c r="N285" t="s">
        <v>73</v>
      </c>
      <c r="O285" t="s">
        <v>72</v>
      </c>
      <c r="P285" t="s">
        <v>72</v>
      </c>
      <c r="Q285" t="s">
        <v>76</v>
      </c>
    </row>
    <row r="286" spans="1:17" x14ac:dyDescent="0.2">
      <c r="A286">
        <v>72</v>
      </c>
      <c r="B286" t="s">
        <v>71</v>
      </c>
      <c r="C286" t="s">
        <v>73</v>
      </c>
      <c r="D286" t="s">
        <v>72</v>
      </c>
      <c r="E286" t="s">
        <v>72</v>
      </c>
      <c r="F286" t="s">
        <v>72</v>
      </c>
      <c r="G286" t="s">
        <v>73</v>
      </c>
      <c r="H286" t="s">
        <v>72</v>
      </c>
      <c r="I286" t="s">
        <v>73</v>
      </c>
      <c r="J286" t="s">
        <v>73</v>
      </c>
      <c r="K286" t="s">
        <v>72</v>
      </c>
      <c r="L286" t="s">
        <v>73</v>
      </c>
      <c r="M286" t="s">
        <v>73</v>
      </c>
      <c r="N286" t="s">
        <v>73</v>
      </c>
      <c r="O286" t="s">
        <v>73</v>
      </c>
      <c r="P286" t="s">
        <v>72</v>
      </c>
      <c r="Q286" t="s">
        <v>76</v>
      </c>
    </row>
    <row r="287" spans="1:17" x14ac:dyDescent="0.2">
      <c r="A287">
        <v>30</v>
      </c>
      <c r="B287" t="s">
        <v>71</v>
      </c>
      <c r="C287" t="s">
        <v>72</v>
      </c>
      <c r="D287" t="s">
        <v>72</v>
      </c>
      <c r="E287" t="s">
        <v>72</v>
      </c>
      <c r="F287" t="s">
        <v>72</v>
      </c>
      <c r="G287" t="s">
        <v>72</v>
      </c>
      <c r="H287" t="s">
        <v>72</v>
      </c>
      <c r="I287" t="s">
        <v>72</v>
      </c>
      <c r="J287" t="s">
        <v>72</v>
      </c>
      <c r="K287" t="s">
        <v>72</v>
      </c>
      <c r="L287" t="s">
        <v>72</v>
      </c>
      <c r="M287" t="s">
        <v>72</v>
      </c>
      <c r="N287" t="s">
        <v>72</v>
      </c>
      <c r="O287" t="s">
        <v>72</v>
      </c>
      <c r="P287" t="s">
        <v>72</v>
      </c>
      <c r="Q287" t="s">
        <v>76</v>
      </c>
    </row>
    <row r="288" spans="1:17" x14ac:dyDescent="0.2">
      <c r="A288">
        <v>27</v>
      </c>
      <c r="B288" t="s">
        <v>71</v>
      </c>
      <c r="C288" t="s">
        <v>72</v>
      </c>
      <c r="D288" t="s">
        <v>72</v>
      </c>
      <c r="E288" t="s">
        <v>72</v>
      </c>
      <c r="F288" t="s">
        <v>72</v>
      </c>
      <c r="G288" t="s">
        <v>72</v>
      </c>
      <c r="H288" t="s">
        <v>72</v>
      </c>
      <c r="I288" t="s">
        <v>72</v>
      </c>
      <c r="J288" t="s">
        <v>72</v>
      </c>
      <c r="K288" t="s">
        <v>72</v>
      </c>
      <c r="L288" t="s">
        <v>72</v>
      </c>
      <c r="M288" t="s">
        <v>72</v>
      </c>
      <c r="N288" t="s">
        <v>72</v>
      </c>
      <c r="O288" t="s">
        <v>72</v>
      </c>
      <c r="P288" t="s">
        <v>72</v>
      </c>
      <c r="Q288" t="s">
        <v>76</v>
      </c>
    </row>
    <row r="289" spans="1:17" x14ac:dyDescent="0.2">
      <c r="A289">
        <v>38</v>
      </c>
      <c r="B289" t="s">
        <v>71</v>
      </c>
      <c r="C289" t="s">
        <v>72</v>
      </c>
      <c r="D289" t="s">
        <v>72</v>
      </c>
      <c r="E289" t="s">
        <v>72</v>
      </c>
      <c r="F289" t="s">
        <v>72</v>
      </c>
      <c r="G289" t="s">
        <v>72</v>
      </c>
      <c r="H289" t="s">
        <v>72</v>
      </c>
      <c r="I289" t="s">
        <v>72</v>
      </c>
      <c r="J289" t="s">
        <v>72</v>
      </c>
      <c r="K289" t="s">
        <v>72</v>
      </c>
      <c r="L289" t="s">
        <v>72</v>
      </c>
      <c r="M289" t="s">
        <v>72</v>
      </c>
      <c r="N289" t="s">
        <v>72</v>
      </c>
      <c r="O289" t="s">
        <v>72</v>
      </c>
      <c r="P289" t="s">
        <v>72</v>
      </c>
      <c r="Q289" t="s">
        <v>76</v>
      </c>
    </row>
    <row r="290" spans="1:17" x14ac:dyDescent="0.2">
      <c r="A290">
        <v>43</v>
      </c>
      <c r="B290" t="s">
        <v>71</v>
      </c>
      <c r="C290" t="s">
        <v>72</v>
      </c>
      <c r="D290" t="s">
        <v>72</v>
      </c>
      <c r="E290" t="s">
        <v>72</v>
      </c>
      <c r="F290" t="s">
        <v>73</v>
      </c>
      <c r="G290" t="s">
        <v>72</v>
      </c>
      <c r="H290" t="s">
        <v>73</v>
      </c>
      <c r="I290" t="s">
        <v>72</v>
      </c>
      <c r="J290" t="s">
        <v>73</v>
      </c>
      <c r="K290" t="s">
        <v>72</v>
      </c>
      <c r="L290" t="s">
        <v>73</v>
      </c>
      <c r="M290" t="s">
        <v>72</v>
      </c>
      <c r="N290" t="s">
        <v>72</v>
      </c>
      <c r="O290" t="s">
        <v>73</v>
      </c>
      <c r="P290" t="s">
        <v>72</v>
      </c>
      <c r="Q290" t="s">
        <v>76</v>
      </c>
    </row>
    <row r="291" spans="1:17" x14ac:dyDescent="0.2">
      <c r="A291">
        <v>40</v>
      </c>
      <c r="B291" t="s">
        <v>71</v>
      </c>
      <c r="C291" t="s">
        <v>72</v>
      </c>
      <c r="D291" t="s">
        <v>72</v>
      </c>
      <c r="E291" t="s">
        <v>73</v>
      </c>
      <c r="F291" t="s">
        <v>72</v>
      </c>
      <c r="G291" t="s">
        <v>72</v>
      </c>
      <c r="H291" t="s">
        <v>72</v>
      </c>
      <c r="I291" t="s">
        <v>72</v>
      </c>
      <c r="J291" t="s">
        <v>72</v>
      </c>
      <c r="K291" t="s">
        <v>72</v>
      </c>
      <c r="L291" t="s">
        <v>72</v>
      </c>
      <c r="M291" t="s">
        <v>72</v>
      </c>
      <c r="N291" t="s">
        <v>72</v>
      </c>
      <c r="O291" t="s">
        <v>72</v>
      </c>
      <c r="P291" t="s">
        <v>73</v>
      </c>
      <c r="Q291" t="s">
        <v>76</v>
      </c>
    </row>
    <row r="292" spans="1:17" x14ac:dyDescent="0.2">
      <c r="A292">
        <v>54</v>
      </c>
      <c r="B292" t="s">
        <v>71</v>
      </c>
      <c r="C292" t="s">
        <v>72</v>
      </c>
      <c r="D292" t="s">
        <v>72</v>
      </c>
      <c r="E292" t="s">
        <v>72</v>
      </c>
      <c r="F292" t="s">
        <v>73</v>
      </c>
      <c r="G292" t="s">
        <v>72</v>
      </c>
      <c r="H292" t="s">
        <v>72</v>
      </c>
      <c r="I292" t="s">
        <v>72</v>
      </c>
      <c r="J292" t="s">
        <v>73</v>
      </c>
      <c r="K292" t="s">
        <v>72</v>
      </c>
      <c r="L292" t="s">
        <v>73</v>
      </c>
      <c r="M292" t="s">
        <v>72</v>
      </c>
      <c r="N292" t="s">
        <v>73</v>
      </c>
      <c r="O292" t="s">
        <v>73</v>
      </c>
      <c r="P292" t="s">
        <v>72</v>
      </c>
      <c r="Q292" t="s">
        <v>76</v>
      </c>
    </row>
    <row r="293" spans="1:17" x14ac:dyDescent="0.2">
      <c r="A293">
        <v>30</v>
      </c>
      <c r="B293" t="s">
        <v>71</v>
      </c>
      <c r="C293" t="s">
        <v>72</v>
      </c>
      <c r="D293" t="s">
        <v>72</v>
      </c>
      <c r="E293" t="s">
        <v>72</v>
      </c>
      <c r="F293" t="s">
        <v>72</v>
      </c>
      <c r="G293" t="s">
        <v>72</v>
      </c>
      <c r="H293" t="s">
        <v>72</v>
      </c>
      <c r="I293" t="s">
        <v>72</v>
      </c>
      <c r="J293" t="s">
        <v>72</v>
      </c>
      <c r="K293" t="s">
        <v>72</v>
      </c>
      <c r="L293" t="s">
        <v>72</v>
      </c>
      <c r="M293" t="s">
        <v>72</v>
      </c>
      <c r="N293" t="s">
        <v>72</v>
      </c>
      <c r="O293" t="s">
        <v>72</v>
      </c>
      <c r="P293" t="s">
        <v>72</v>
      </c>
      <c r="Q293" t="s">
        <v>76</v>
      </c>
    </row>
    <row r="294" spans="1:17" x14ac:dyDescent="0.2">
      <c r="A294">
        <v>46</v>
      </c>
      <c r="B294" t="s">
        <v>71</v>
      </c>
      <c r="C294" t="s">
        <v>72</v>
      </c>
      <c r="D294" t="s">
        <v>72</v>
      </c>
      <c r="E294" t="s">
        <v>72</v>
      </c>
      <c r="F294" t="s">
        <v>73</v>
      </c>
      <c r="G294" t="s">
        <v>72</v>
      </c>
      <c r="H294" t="s">
        <v>72</v>
      </c>
      <c r="I294" t="s">
        <v>72</v>
      </c>
      <c r="J294" t="s">
        <v>73</v>
      </c>
      <c r="K294" t="s">
        <v>72</v>
      </c>
      <c r="L294" t="s">
        <v>73</v>
      </c>
      <c r="M294" t="s">
        <v>72</v>
      </c>
      <c r="N294" t="s">
        <v>72</v>
      </c>
      <c r="O294" t="s">
        <v>73</v>
      </c>
      <c r="P294" t="s">
        <v>72</v>
      </c>
      <c r="Q294" t="s">
        <v>76</v>
      </c>
    </row>
    <row r="295" spans="1:17" x14ac:dyDescent="0.2">
      <c r="A295">
        <v>53</v>
      </c>
      <c r="B295" t="s">
        <v>71</v>
      </c>
      <c r="C295" t="s">
        <v>72</v>
      </c>
      <c r="D295" t="s">
        <v>72</v>
      </c>
      <c r="E295" t="s">
        <v>72</v>
      </c>
      <c r="F295" t="s">
        <v>73</v>
      </c>
      <c r="G295" t="s">
        <v>73</v>
      </c>
      <c r="H295" t="s">
        <v>72</v>
      </c>
      <c r="I295" t="s">
        <v>73</v>
      </c>
      <c r="J295" t="s">
        <v>73</v>
      </c>
      <c r="K295" t="s">
        <v>72</v>
      </c>
      <c r="L295" t="s">
        <v>73</v>
      </c>
      <c r="M295" t="s">
        <v>73</v>
      </c>
      <c r="N295" t="s">
        <v>73</v>
      </c>
      <c r="O295" t="s">
        <v>73</v>
      </c>
      <c r="P295" t="s">
        <v>72</v>
      </c>
      <c r="Q295" t="s">
        <v>76</v>
      </c>
    </row>
    <row r="296" spans="1:17" x14ac:dyDescent="0.2">
      <c r="A296">
        <v>42</v>
      </c>
      <c r="B296" t="s">
        <v>71</v>
      </c>
      <c r="C296" t="s">
        <v>72</v>
      </c>
      <c r="D296" t="s">
        <v>72</v>
      </c>
      <c r="E296" t="s">
        <v>72</v>
      </c>
      <c r="F296" t="s">
        <v>72</v>
      </c>
      <c r="G296" t="s">
        <v>72</v>
      </c>
      <c r="H296" t="s">
        <v>72</v>
      </c>
      <c r="I296" t="s">
        <v>72</v>
      </c>
      <c r="J296" t="s">
        <v>72</v>
      </c>
      <c r="K296" t="s">
        <v>72</v>
      </c>
      <c r="L296" t="s">
        <v>72</v>
      </c>
      <c r="M296" t="s">
        <v>72</v>
      </c>
      <c r="N296" t="s">
        <v>72</v>
      </c>
      <c r="O296" t="s">
        <v>73</v>
      </c>
      <c r="P296" t="s">
        <v>72</v>
      </c>
      <c r="Q296" t="s">
        <v>76</v>
      </c>
    </row>
    <row r="297" spans="1:17" x14ac:dyDescent="0.2">
      <c r="A297">
        <v>55</v>
      </c>
      <c r="B297" t="s">
        <v>75</v>
      </c>
      <c r="C297" t="s">
        <v>73</v>
      </c>
      <c r="D297" t="s">
        <v>73</v>
      </c>
      <c r="E297" t="s">
        <v>73</v>
      </c>
      <c r="F297" t="s">
        <v>73</v>
      </c>
      <c r="G297" t="s">
        <v>72</v>
      </c>
      <c r="H297" t="s">
        <v>72</v>
      </c>
      <c r="I297" t="s">
        <v>73</v>
      </c>
      <c r="J297" t="s">
        <v>72</v>
      </c>
      <c r="K297" t="s">
        <v>72</v>
      </c>
      <c r="L297" t="s">
        <v>72</v>
      </c>
      <c r="M297" t="s">
        <v>73</v>
      </c>
      <c r="N297" t="s">
        <v>72</v>
      </c>
      <c r="O297" t="s">
        <v>72</v>
      </c>
      <c r="P297" t="s">
        <v>73</v>
      </c>
      <c r="Q297" t="s">
        <v>74</v>
      </c>
    </row>
    <row r="298" spans="1:17" x14ac:dyDescent="0.2">
      <c r="A298">
        <v>48</v>
      </c>
      <c r="B298" t="s">
        <v>75</v>
      </c>
      <c r="C298" t="s">
        <v>73</v>
      </c>
      <c r="D298" t="s">
        <v>73</v>
      </c>
      <c r="E298" t="s">
        <v>73</v>
      </c>
      <c r="F298" t="s">
        <v>73</v>
      </c>
      <c r="G298" t="s">
        <v>73</v>
      </c>
      <c r="H298" t="s">
        <v>72</v>
      </c>
      <c r="I298" t="s">
        <v>72</v>
      </c>
      <c r="J298" t="s">
        <v>72</v>
      </c>
      <c r="K298" t="s">
        <v>72</v>
      </c>
      <c r="L298" t="s">
        <v>72</v>
      </c>
      <c r="M298" t="s">
        <v>73</v>
      </c>
      <c r="N298" t="s">
        <v>72</v>
      </c>
      <c r="O298" t="s">
        <v>72</v>
      </c>
      <c r="P298" t="s">
        <v>72</v>
      </c>
      <c r="Q298" t="s">
        <v>74</v>
      </c>
    </row>
    <row r="299" spans="1:17" x14ac:dyDescent="0.2">
      <c r="A299">
        <v>55</v>
      </c>
      <c r="B299" t="s">
        <v>75</v>
      </c>
      <c r="C299" t="s">
        <v>73</v>
      </c>
      <c r="D299" t="s">
        <v>73</v>
      </c>
      <c r="E299" t="s">
        <v>73</v>
      </c>
      <c r="F299" t="s">
        <v>72</v>
      </c>
      <c r="G299" t="s">
        <v>73</v>
      </c>
      <c r="H299" t="s">
        <v>72</v>
      </c>
      <c r="I299" t="s">
        <v>72</v>
      </c>
      <c r="J299" t="s">
        <v>73</v>
      </c>
      <c r="K299" t="s">
        <v>72</v>
      </c>
      <c r="L299" t="s">
        <v>73</v>
      </c>
      <c r="M299" t="s">
        <v>73</v>
      </c>
      <c r="N299" t="s">
        <v>72</v>
      </c>
      <c r="O299" t="s">
        <v>72</v>
      </c>
      <c r="P299" t="s">
        <v>72</v>
      </c>
      <c r="Q299" t="s">
        <v>74</v>
      </c>
    </row>
    <row r="300" spans="1:17" x14ac:dyDescent="0.2">
      <c r="A300">
        <v>39</v>
      </c>
      <c r="B300" t="s">
        <v>75</v>
      </c>
      <c r="C300" t="s">
        <v>73</v>
      </c>
      <c r="D300" t="s">
        <v>73</v>
      </c>
      <c r="E300" t="s">
        <v>73</v>
      </c>
      <c r="F300" t="s">
        <v>73</v>
      </c>
      <c r="G300" t="s">
        <v>73</v>
      </c>
      <c r="H300" t="s">
        <v>72</v>
      </c>
      <c r="I300" t="s">
        <v>72</v>
      </c>
      <c r="J300" t="s">
        <v>73</v>
      </c>
      <c r="K300" t="s">
        <v>73</v>
      </c>
      <c r="L300" t="s">
        <v>73</v>
      </c>
      <c r="M300" t="s">
        <v>73</v>
      </c>
      <c r="N300" t="s">
        <v>72</v>
      </c>
      <c r="O300" t="s">
        <v>72</v>
      </c>
      <c r="P300" t="s">
        <v>72</v>
      </c>
      <c r="Q300" t="s">
        <v>74</v>
      </c>
    </row>
    <row r="301" spans="1:17" x14ac:dyDescent="0.2">
      <c r="A301">
        <v>43</v>
      </c>
      <c r="B301" t="s">
        <v>75</v>
      </c>
      <c r="C301" t="s">
        <v>73</v>
      </c>
      <c r="D301" t="s">
        <v>73</v>
      </c>
      <c r="E301" t="s">
        <v>73</v>
      </c>
      <c r="F301" t="s">
        <v>73</v>
      </c>
      <c r="G301" t="s">
        <v>73</v>
      </c>
      <c r="H301" t="s">
        <v>72</v>
      </c>
      <c r="I301" t="s">
        <v>73</v>
      </c>
      <c r="J301" t="s">
        <v>72</v>
      </c>
      <c r="K301" t="s">
        <v>72</v>
      </c>
      <c r="L301" t="s">
        <v>72</v>
      </c>
      <c r="M301" t="s">
        <v>73</v>
      </c>
      <c r="N301" t="s">
        <v>73</v>
      </c>
      <c r="O301" t="s">
        <v>72</v>
      </c>
      <c r="P301" t="s">
        <v>73</v>
      </c>
      <c r="Q301" t="s">
        <v>74</v>
      </c>
    </row>
    <row r="302" spans="1:17" x14ac:dyDescent="0.2">
      <c r="A302">
        <v>35</v>
      </c>
      <c r="B302" t="s">
        <v>75</v>
      </c>
      <c r="C302" t="s">
        <v>73</v>
      </c>
      <c r="D302" t="s">
        <v>73</v>
      </c>
      <c r="E302" t="s">
        <v>72</v>
      </c>
      <c r="F302" t="s">
        <v>73</v>
      </c>
      <c r="G302" t="s">
        <v>72</v>
      </c>
      <c r="H302" t="s">
        <v>72</v>
      </c>
      <c r="I302" t="s">
        <v>73</v>
      </c>
      <c r="J302" t="s">
        <v>72</v>
      </c>
      <c r="K302" t="s">
        <v>72</v>
      </c>
      <c r="L302" t="s">
        <v>72</v>
      </c>
      <c r="M302" t="s">
        <v>72</v>
      </c>
      <c r="N302" t="s">
        <v>72</v>
      </c>
      <c r="O302" t="s">
        <v>72</v>
      </c>
      <c r="P302" t="s">
        <v>72</v>
      </c>
      <c r="Q302" t="s">
        <v>74</v>
      </c>
    </row>
    <row r="303" spans="1:17" x14ac:dyDescent="0.2">
      <c r="A303">
        <v>47</v>
      </c>
      <c r="B303" t="s">
        <v>75</v>
      </c>
      <c r="C303" t="s">
        <v>72</v>
      </c>
      <c r="D303" t="s">
        <v>72</v>
      </c>
      <c r="E303" t="s">
        <v>73</v>
      </c>
      <c r="F303" t="s">
        <v>73</v>
      </c>
      <c r="G303" t="s">
        <v>73</v>
      </c>
      <c r="H303" t="s">
        <v>72</v>
      </c>
      <c r="I303" t="s">
        <v>72</v>
      </c>
      <c r="J303" t="s">
        <v>72</v>
      </c>
      <c r="K303" t="s">
        <v>72</v>
      </c>
      <c r="L303" t="s">
        <v>72</v>
      </c>
      <c r="M303" t="s">
        <v>72</v>
      </c>
      <c r="N303" t="s">
        <v>73</v>
      </c>
      <c r="O303" t="s">
        <v>72</v>
      </c>
      <c r="P303" t="s">
        <v>72</v>
      </c>
      <c r="Q303" t="s">
        <v>74</v>
      </c>
    </row>
    <row r="304" spans="1:17" x14ac:dyDescent="0.2">
      <c r="A304">
        <v>61</v>
      </c>
      <c r="B304" t="s">
        <v>75</v>
      </c>
      <c r="C304" t="s">
        <v>73</v>
      </c>
      <c r="D304" t="s">
        <v>72</v>
      </c>
      <c r="E304" t="s">
        <v>72</v>
      </c>
      <c r="F304" t="s">
        <v>72</v>
      </c>
      <c r="G304" t="s">
        <v>73</v>
      </c>
      <c r="H304" t="s">
        <v>72</v>
      </c>
      <c r="I304" t="s">
        <v>72</v>
      </c>
      <c r="J304" t="s">
        <v>72</v>
      </c>
      <c r="K304" t="s">
        <v>73</v>
      </c>
      <c r="L304" t="s">
        <v>72</v>
      </c>
      <c r="M304" t="s">
        <v>72</v>
      </c>
      <c r="N304" t="s">
        <v>72</v>
      </c>
      <c r="O304" t="s">
        <v>73</v>
      </c>
      <c r="P304" t="s">
        <v>72</v>
      </c>
      <c r="Q304" t="s">
        <v>74</v>
      </c>
    </row>
    <row r="305" spans="1:17" x14ac:dyDescent="0.2">
      <c r="A305">
        <v>58</v>
      </c>
      <c r="B305" t="s">
        <v>75</v>
      </c>
      <c r="C305" t="s">
        <v>73</v>
      </c>
      <c r="D305" t="s">
        <v>72</v>
      </c>
      <c r="E305" t="s">
        <v>73</v>
      </c>
      <c r="F305" t="s">
        <v>72</v>
      </c>
      <c r="G305" t="s">
        <v>73</v>
      </c>
      <c r="H305" t="s">
        <v>72</v>
      </c>
      <c r="I305" t="s">
        <v>72</v>
      </c>
      <c r="J305" t="s">
        <v>72</v>
      </c>
      <c r="K305" t="s">
        <v>73</v>
      </c>
      <c r="L305" t="s">
        <v>72</v>
      </c>
      <c r="M305" t="s">
        <v>72</v>
      </c>
      <c r="N305" t="s">
        <v>73</v>
      </c>
      <c r="O305" t="s">
        <v>72</v>
      </c>
      <c r="P305" t="s">
        <v>73</v>
      </c>
      <c r="Q305" t="s">
        <v>74</v>
      </c>
    </row>
    <row r="306" spans="1:17" x14ac:dyDescent="0.2">
      <c r="A306">
        <v>69</v>
      </c>
      <c r="B306" t="s">
        <v>75</v>
      </c>
      <c r="C306" t="s">
        <v>73</v>
      </c>
      <c r="D306" t="s">
        <v>73</v>
      </c>
      <c r="E306" t="s">
        <v>73</v>
      </c>
      <c r="F306" t="s">
        <v>73</v>
      </c>
      <c r="G306" t="s">
        <v>72</v>
      </c>
      <c r="H306" t="s">
        <v>72</v>
      </c>
      <c r="I306" t="s">
        <v>73</v>
      </c>
      <c r="J306" t="s">
        <v>73</v>
      </c>
      <c r="K306" t="s">
        <v>73</v>
      </c>
      <c r="L306" t="s">
        <v>72</v>
      </c>
      <c r="M306" t="s">
        <v>72</v>
      </c>
      <c r="N306" t="s">
        <v>73</v>
      </c>
      <c r="O306" t="s">
        <v>72</v>
      </c>
      <c r="P306" t="s">
        <v>73</v>
      </c>
      <c r="Q306" t="s">
        <v>74</v>
      </c>
    </row>
    <row r="307" spans="1:17" x14ac:dyDescent="0.2">
      <c r="A307">
        <v>40</v>
      </c>
      <c r="B307" t="s">
        <v>71</v>
      </c>
      <c r="C307" t="s">
        <v>72</v>
      </c>
      <c r="D307" t="s">
        <v>73</v>
      </c>
      <c r="E307" t="s">
        <v>73</v>
      </c>
      <c r="F307" t="s">
        <v>73</v>
      </c>
      <c r="G307" t="s">
        <v>72</v>
      </c>
      <c r="H307" t="s">
        <v>72</v>
      </c>
      <c r="I307" t="s">
        <v>73</v>
      </c>
      <c r="J307" t="s">
        <v>73</v>
      </c>
      <c r="K307" t="s">
        <v>72</v>
      </c>
      <c r="L307" t="s">
        <v>72</v>
      </c>
      <c r="M307" t="s">
        <v>73</v>
      </c>
      <c r="N307" t="s">
        <v>73</v>
      </c>
      <c r="O307" t="s">
        <v>72</v>
      </c>
      <c r="P307" t="s">
        <v>72</v>
      </c>
      <c r="Q307" t="s">
        <v>76</v>
      </c>
    </row>
    <row r="308" spans="1:17" x14ac:dyDescent="0.2">
      <c r="A308">
        <v>28</v>
      </c>
      <c r="B308" t="s">
        <v>71</v>
      </c>
      <c r="C308" t="s">
        <v>72</v>
      </c>
      <c r="D308" t="s">
        <v>72</v>
      </c>
      <c r="E308" t="s">
        <v>73</v>
      </c>
      <c r="F308" t="s">
        <v>72</v>
      </c>
      <c r="G308" t="s">
        <v>72</v>
      </c>
      <c r="H308" t="s">
        <v>72</v>
      </c>
      <c r="I308" t="s">
        <v>72</v>
      </c>
      <c r="J308" t="s">
        <v>72</v>
      </c>
      <c r="K308" t="s">
        <v>72</v>
      </c>
      <c r="L308" t="s">
        <v>72</v>
      </c>
      <c r="M308" t="s">
        <v>72</v>
      </c>
      <c r="N308" t="s">
        <v>72</v>
      </c>
      <c r="O308" t="s">
        <v>72</v>
      </c>
      <c r="P308" t="s">
        <v>72</v>
      </c>
      <c r="Q308" t="s">
        <v>76</v>
      </c>
    </row>
    <row r="309" spans="1:17" x14ac:dyDescent="0.2">
      <c r="A309">
        <v>37</v>
      </c>
      <c r="B309" t="s">
        <v>71</v>
      </c>
      <c r="C309" t="s">
        <v>72</v>
      </c>
      <c r="D309" t="s">
        <v>72</v>
      </c>
      <c r="E309" t="s">
        <v>72</v>
      </c>
      <c r="F309" t="s">
        <v>72</v>
      </c>
      <c r="G309" t="s">
        <v>72</v>
      </c>
      <c r="H309" t="s">
        <v>72</v>
      </c>
      <c r="I309" t="s">
        <v>72</v>
      </c>
      <c r="J309" t="s">
        <v>72</v>
      </c>
      <c r="K309" t="s">
        <v>72</v>
      </c>
      <c r="L309" t="s">
        <v>72</v>
      </c>
      <c r="M309" t="s">
        <v>72</v>
      </c>
      <c r="N309" t="s">
        <v>72</v>
      </c>
      <c r="O309" t="s">
        <v>72</v>
      </c>
      <c r="P309" t="s">
        <v>72</v>
      </c>
      <c r="Q309" t="s">
        <v>76</v>
      </c>
    </row>
    <row r="310" spans="1:17" x14ac:dyDescent="0.2">
      <c r="A310">
        <v>34</v>
      </c>
      <c r="B310" t="s">
        <v>71</v>
      </c>
      <c r="C310" t="s">
        <v>72</v>
      </c>
      <c r="D310" t="s">
        <v>72</v>
      </c>
      <c r="E310" t="s">
        <v>72</v>
      </c>
      <c r="F310" t="s">
        <v>72</v>
      </c>
      <c r="G310" t="s">
        <v>72</v>
      </c>
      <c r="H310" t="s">
        <v>72</v>
      </c>
      <c r="I310" t="s">
        <v>72</v>
      </c>
      <c r="J310" t="s">
        <v>72</v>
      </c>
      <c r="K310" t="s">
        <v>72</v>
      </c>
      <c r="L310" t="s">
        <v>72</v>
      </c>
      <c r="M310" t="s">
        <v>72</v>
      </c>
      <c r="N310" t="s">
        <v>72</v>
      </c>
      <c r="O310" t="s">
        <v>72</v>
      </c>
      <c r="P310" t="s">
        <v>72</v>
      </c>
      <c r="Q310" t="s">
        <v>76</v>
      </c>
    </row>
    <row r="311" spans="1:17" x14ac:dyDescent="0.2">
      <c r="A311">
        <v>30</v>
      </c>
      <c r="B311" t="s">
        <v>71</v>
      </c>
      <c r="C311" t="s">
        <v>72</v>
      </c>
      <c r="D311" t="s">
        <v>72</v>
      </c>
      <c r="E311" t="s">
        <v>72</v>
      </c>
      <c r="F311" t="s">
        <v>72</v>
      </c>
      <c r="G311" t="s">
        <v>72</v>
      </c>
      <c r="H311" t="s">
        <v>72</v>
      </c>
      <c r="I311" t="s">
        <v>72</v>
      </c>
      <c r="J311" t="s">
        <v>72</v>
      </c>
      <c r="K311" t="s">
        <v>72</v>
      </c>
      <c r="L311" t="s">
        <v>72</v>
      </c>
      <c r="M311" t="s">
        <v>72</v>
      </c>
      <c r="N311" t="s">
        <v>72</v>
      </c>
      <c r="O311" t="s">
        <v>72</v>
      </c>
      <c r="P311" t="s">
        <v>72</v>
      </c>
      <c r="Q311" t="s">
        <v>76</v>
      </c>
    </row>
    <row r="312" spans="1:17" x14ac:dyDescent="0.2">
      <c r="A312">
        <v>67</v>
      </c>
      <c r="B312" t="s">
        <v>71</v>
      </c>
      <c r="C312" t="s">
        <v>73</v>
      </c>
      <c r="D312" t="s">
        <v>72</v>
      </c>
      <c r="E312" t="s">
        <v>72</v>
      </c>
      <c r="F312" t="s">
        <v>73</v>
      </c>
      <c r="G312" t="s">
        <v>73</v>
      </c>
      <c r="H312" t="s">
        <v>72</v>
      </c>
      <c r="I312" t="s">
        <v>73</v>
      </c>
      <c r="J312" t="s">
        <v>73</v>
      </c>
      <c r="K312" t="s">
        <v>73</v>
      </c>
      <c r="L312" t="s">
        <v>73</v>
      </c>
      <c r="M312" t="s">
        <v>72</v>
      </c>
      <c r="N312" t="s">
        <v>73</v>
      </c>
      <c r="O312" t="s">
        <v>73</v>
      </c>
      <c r="P312" t="s">
        <v>73</v>
      </c>
      <c r="Q312" t="s">
        <v>76</v>
      </c>
    </row>
    <row r="313" spans="1:17" x14ac:dyDescent="0.2">
      <c r="A313">
        <v>60</v>
      </c>
      <c r="B313" t="s">
        <v>71</v>
      </c>
      <c r="C313" t="s">
        <v>72</v>
      </c>
      <c r="D313" t="s">
        <v>72</v>
      </c>
      <c r="E313" t="s">
        <v>72</v>
      </c>
      <c r="F313" t="s">
        <v>73</v>
      </c>
      <c r="G313" t="s">
        <v>72</v>
      </c>
      <c r="H313" t="s">
        <v>72</v>
      </c>
      <c r="I313" t="s">
        <v>72</v>
      </c>
      <c r="J313" t="s">
        <v>72</v>
      </c>
      <c r="K313" t="s">
        <v>72</v>
      </c>
      <c r="L313" t="s">
        <v>72</v>
      </c>
      <c r="M313" t="s">
        <v>73</v>
      </c>
      <c r="N313" t="s">
        <v>73</v>
      </c>
      <c r="O313" t="s">
        <v>72</v>
      </c>
      <c r="P313" t="s">
        <v>72</v>
      </c>
      <c r="Q313" t="s">
        <v>76</v>
      </c>
    </row>
    <row r="314" spans="1:17" x14ac:dyDescent="0.2">
      <c r="A314">
        <v>58</v>
      </c>
      <c r="B314" t="s">
        <v>71</v>
      </c>
      <c r="C314" t="s">
        <v>72</v>
      </c>
      <c r="D314" t="s">
        <v>72</v>
      </c>
      <c r="E314" t="s">
        <v>72</v>
      </c>
      <c r="F314" t="s">
        <v>72</v>
      </c>
      <c r="G314" t="s">
        <v>73</v>
      </c>
      <c r="H314" t="s">
        <v>72</v>
      </c>
      <c r="I314" t="s">
        <v>72</v>
      </c>
      <c r="J314" t="s">
        <v>73</v>
      </c>
      <c r="K314" t="s">
        <v>72</v>
      </c>
      <c r="L314" t="s">
        <v>73</v>
      </c>
      <c r="M314" t="s">
        <v>72</v>
      </c>
      <c r="N314" t="s">
        <v>72</v>
      </c>
      <c r="O314" t="s">
        <v>73</v>
      </c>
      <c r="P314" t="s">
        <v>73</v>
      </c>
      <c r="Q314" t="s">
        <v>76</v>
      </c>
    </row>
    <row r="315" spans="1:17" x14ac:dyDescent="0.2">
      <c r="A315">
        <v>54</v>
      </c>
      <c r="B315" t="s">
        <v>71</v>
      </c>
      <c r="C315" t="s">
        <v>72</v>
      </c>
      <c r="D315" t="s">
        <v>72</v>
      </c>
      <c r="E315" t="s">
        <v>73</v>
      </c>
      <c r="F315" t="s">
        <v>73</v>
      </c>
      <c r="G315" t="s">
        <v>72</v>
      </c>
      <c r="H315" t="s">
        <v>73</v>
      </c>
      <c r="I315" t="s">
        <v>72</v>
      </c>
      <c r="J315" t="s">
        <v>72</v>
      </c>
      <c r="K315" t="s">
        <v>72</v>
      </c>
      <c r="L315" t="s">
        <v>73</v>
      </c>
      <c r="M315" t="s">
        <v>72</v>
      </c>
      <c r="N315" t="s">
        <v>72</v>
      </c>
      <c r="O315" t="s">
        <v>73</v>
      </c>
      <c r="P315" t="s">
        <v>72</v>
      </c>
      <c r="Q315" t="s">
        <v>76</v>
      </c>
    </row>
    <row r="316" spans="1:17" x14ac:dyDescent="0.2">
      <c r="A316">
        <v>43</v>
      </c>
      <c r="B316" t="s">
        <v>71</v>
      </c>
      <c r="C316" t="s">
        <v>72</v>
      </c>
      <c r="D316" t="s">
        <v>72</v>
      </c>
      <c r="E316" t="s">
        <v>73</v>
      </c>
      <c r="F316" t="s">
        <v>72</v>
      </c>
      <c r="G316" t="s">
        <v>72</v>
      </c>
      <c r="H316" t="s">
        <v>73</v>
      </c>
      <c r="I316" t="s">
        <v>72</v>
      </c>
      <c r="J316" t="s">
        <v>72</v>
      </c>
      <c r="K316" t="s">
        <v>72</v>
      </c>
      <c r="L316" t="s">
        <v>73</v>
      </c>
      <c r="M316" t="s">
        <v>72</v>
      </c>
      <c r="N316" t="s">
        <v>72</v>
      </c>
      <c r="O316" t="s">
        <v>73</v>
      </c>
      <c r="P316" t="s">
        <v>72</v>
      </c>
      <c r="Q316" t="s">
        <v>76</v>
      </c>
    </row>
    <row r="317" spans="1:17" x14ac:dyDescent="0.2">
      <c r="A317">
        <v>33</v>
      </c>
      <c r="B317" t="s">
        <v>75</v>
      </c>
      <c r="C317" t="s">
        <v>72</v>
      </c>
      <c r="D317" t="s">
        <v>72</v>
      </c>
      <c r="E317" t="s">
        <v>72</v>
      </c>
      <c r="F317" t="s">
        <v>72</v>
      </c>
      <c r="G317" t="s">
        <v>72</v>
      </c>
      <c r="H317" t="s">
        <v>72</v>
      </c>
      <c r="I317" t="s">
        <v>72</v>
      </c>
      <c r="J317" t="s">
        <v>72</v>
      </c>
      <c r="K317" t="s">
        <v>72</v>
      </c>
      <c r="L317" t="s">
        <v>72</v>
      </c>
      <c r="M317" t="s">
        <v>72</v>
      </c>
      <c r="N317" t="s">
        <v>72</v>
      </c>
      <c r="O317" t="s">
        <v>72</v>
      </c>
      <c r="P317" t="s">
        <v>72</v>
      </c>
      <c r="Q317" t="s">
        <v>76</v>
      </c>
    </row>
    <row r="318" spans="1:17" x14ac:dyDescent="0.2">
      <c r="A318">
        <v>55</v>
      </c>
      <c r="B318" t="s">
        <v>75</v>
      </c>
      <c r="C318" t="s">
        <v>72</v>
      </c>
      <c r="D318" t="s">
        <v>72</v>
      </c>
      <c r="E318" t="s">
        <v>72</v>
      </c>
      <c r="F318" t="s">
        <v>73</v>
      </c>
      <c r="G318" t="s">
        <v>72</v>
      </c>
      <c r="H318" t="s">
        <v>73</v>
      </c>
      <c r="I318" t="s">
        <v>72</v>
      </c>
      <c r="J318" t="s">
        <v>73</v>
      </c>
      <c r="K318" t="s">
        <v>72</v>
      </c>
      <c r="L318" t="s">
        <v>73</v>
      </c>
      <c r="M318" t="s">
        <v>73</v>
      </c>
      <c r="N318" t="s">
        <v>72</v>
      </c>
      <c r="O318" t="s">
        <v>73</v>
      </c>
      <c r="P318" t="s">
        <v>72</v>
      </c>
      <c r="Q318" t="s">
        <v>76</v>
      </c>
    </row>
    <row r="319" spans="1:17" x14ac:dyDescent="0.2">
      <c r="A319">
        <v>36</v>
      </c>
      <c r="B319" t="s">
        <v>75</v>
      </c>
      <c r="C319" t="s">
        <v>72</v>
      </c>
      <c r="D319" t="s">
        <v>72</v>
      </c>
      <c r="E319" t="s">
        <v>72</v>
      </c>
      <c r="F319" t="s">
        <v>73</v>
      </c>
      <c r="G319" t="s">
        <v>72</v>
      </c>
      <c r="H319" t="s">
        <v>72</v>
      </c>
      <c r="I319" t="s">
        <v>72</v>
      </c>
      <c r="J319" t="s">
        <v>72</v>
      </c>
      <c r="K319" t="s">
        <v>73</v>
      </c>
      <c r="L319" t="s">
        <v>72</v>
      </c>
      <c r="M319" t="s">
        <v>72</v>
      </c>
      <c r="N319" t="s">
        <v>72</v>
      </c>
      <c r="O319" t="s">
        <v>72</v>
      </c>
      <c r="P319" t="s">
        <v>72</v>
      </c>
      <c r="Q319" t="s">
        <v>76</v>
      </c>
    </row>
    <row r="320" spans="1:17" x14ac:dyDescent="0.2">
      <c r="A320">
        <v>28</v>
      </c>
      <c r="B320" t="s">
        <v>75</v>
      </c>
      <c r="C320" t="s">
        <v>72</v>
      </c>
      <c r="D320" t="s">
        <v>72</v>
      </c>
      <c r="E320" t="s">
        <v>72</v>
      </c>
      <c r="F320" t="s">
        <v>72</v>
      </c>
      <c r="G320" t="s">
        <v>73</v>
      </c>
      <c r="H320" t="s">
        <v>72</v>
      </c>
      <c r="I320" t="s">
        <v>72</v>
      </c>
      <c r="J320" t="s">
        <v>72</v>
      </c>
      <c r="K320" t="s">
        <v>72</v>
      </c>
      <c r="L320" t="s">
        <v>72</v>
      </c>
      <c r="M320" t="s">
        <v>73</v>
      </c>
      <c r="N320" t="s">
        <v>72</v>
      </c>
      <c r="O320" t="s">
        <v>72</v>
      </c>
      <c r="P320" t="s">
        <v>72</v>
      </c>
      <c r="Q320" t="s">
        <v>76</v>
      </c>
    </row>
    <row r="321" spans="1:17" x14ac:dyDescent="0.2">
      <c r="A321">
        <v>34</v>
      </c>
      <c r="B321" t="s">
        <v>75</v>
      </c>
      <c r="C321" t="s">
        <v>72</v>
      </c>
      <c r="D321" t="s">
        <v>72</v>
      </c>
      <c r="E321" t="s">
        <v>73</v>
      </c>
      <c r="F321" t="s">
        <v>72</v>
      </c>
      <c r="G321" t="s">
        <v>72</v>
      </c>
      <c r="H321" t="s">
        <v>72</v>
      </c>
      <c r="I321" t="s">
        <v>72</v>
      </c>
      <c r="J321" t="s">
        <v>72</v>
      </c>
      <c r="K321" t="s">
        <v>72</v>
      </c>
      <c r="L321" t="s">
        <v>72</v>
      </c>
      <c r="M321" t="s">
        <v>72</v>
      </c>
      <c r="N321" t="s">
        <v>72</v>
      </c>
      <c r="O321" t="s">
        <v>72</v>
      </c>
      <c r="P321" t="s">
        <v>72</v>
      </c>
      <c r="Q321" t="s">
        <v>76</v>
      </c>
    </row>
    <row r="322" spans="1:17" x14ac:dyDescent="0.2">
      <c r="A322">
        <v>65</v>
      </c>
      <c r="B322" t="s">
        <v>75</v>
      </c>
      <c r="C322" t="s">
        <v>72</v>
      </c>
      <c r="D322" t="s">
        <v>72</v>
      </c>
      <c r="E322" t="s">
        <v>72</v>
      </c>
      <c r="F322" t="s">
        <v>73</v>
      </c>
      <c r="G322" t="s">
        <v>72</v>
      </c>
      <c r="H322" t="s">
        <v>72</v>
      </c>
      <c r="I322" t="s">
        <v>72</v>
      </c>
      <c r="J322" t="s">
        <v>73</v>
      </c>
      <c r="K322" t="s">
        <v>72</v>
      </c>
      <c r="L322" t="s">
        <v>73</v>
      </c>
      <c r="M322" t="s">
        <v>72</v>
      </c>
      <c r="N322" t="s">
        <v>72</v>
      </c>
      <c r="O322" t="s">
        <v>73</v>
      </c>
      <c r="P322" t="s">
        <v>72</v>
      </c>
      <c r="Q322" t="s">
        <v>76</v>
      </c>
    </row>
    <row r="323" spans="1:17" x14ac:dyDescent="0.2">
      <c r="A323">
        <v>34</v>
      </c>
      <c r="B323" t="s">
        <v>75</v>
      </c>
      <c r="C323" t="s">
        <v>72</v>
      </c>
      <c r="D323" t="s">
        <v>72</v>
      </c>
      <c r="E323" t="s">
        <v>72</v>
      </c>
      <c r="F323" t="s">
        <v>72</v>
      </c>
      <c r="G323" t="s">
        <v>72</v>
      </c>
      <c r="H323" t="s">
        <v>72</v>
      </c>
      <c r="I323" t="s">
        <v>72</v>
      </c>
      <c r="J323" t="s">
        <v>72</v>
      </c>
      <c r="K323" t="s">
        <v>72</v>
      </c>
      <c r="L323" t="s">
        <v>72</v>
      </c>
      <c r="M323" t="s">
        <v>72</v>
      </c>
      <c r="N323" t="s">
        <v>72</v>
      </c>
      <c r="O323" t="s">
        <v>72</v>
      </c>
      <c r="P323" t="s">
        <v>72</v>
      </c>
      <c r="Q323" t="s">
        <v>76</v>
      </c>
    </row>
    <row r="324" spans="1:17" x14ac:dyDescent="0.2">
      <c r="A324">
        <v>64</v>
      </c>
      <c r="B324" t="s">
        <v>71</v>
      </c>
      <c r="C324" t="s">
        <v>72</v>
      </c>
      <c r="D324" t="s">
        <v>72</v>
      </c>
      <c r="E324" t="s">
        <v>72</v>
      </c>
      <c r="F324" t="s">
        <v>73</v>
      </c>
      <c r="G324" t="s">
        <v>73</v>
      </c>
      <c r="H324" t="s">
        <v>72</v>
      </c>
      <c r="I324" t="s">
        <v>73</v>
      </c>
      <c r="J324" t="s">
        <v>73</v>
      </c>
      <c r="K324" t="s">
        <v>73</v>
      </c>
      <c r="L324" t="s">
        <v>73</v>
      </c>
      <c r="M324" t="s">
        <v>72</v>
      </c>
      <c r="N324" t="s">
        <v>73</v>
      </c>
      <c r="O324" t="s">
        <v>73</v>
      </c>
      <c r="P324" t="s">
        <v>72</v>
      </c>
      <c r="Q324" t="s">
        <v>76</v>
      </c>
    </row>
    <row r="325" spans="1:17" x14ac:dyDescent="0.2">
      <c r="A325">
        <v>44</v>
      </c>
      <c r="B325" t="s">
        <v>71</v>
      </c>
      <c r="C325" t="s">
        <v>73</v>
      </c>
      <c r="D325" t="s">
        <v>72</v>
      </c>
      <c r="E325" t="s">
        <v>73</v>
      </c>
      <c r="F325" t="s">
        <v>73</v>
      </c>
      <c r="G325" t="s">
        <v>72</v>
      </c>
      <c r="H325" t="s">
        <v>73</v>
      </c>
      <c r="I325" t="s">
        <v>72</v>
      </c>
      <c r="J325" t="s">
        <v>73</v>
      </c>
      <c r="K325" t="s">
        <v>72</v>
      </c>
      <c r="L325" t="s">
        <v>73</v>
      </c>
      <c r="M325" t="s">
        <v>72</v>
      </c>
      <c r="N325" t="s">
        <v>72</v>
      </c>
      <c r="O325" t="s">
        <v>73</v>
      </c>
      <c r="P325" t="s">
        <v>73</v>
      </c>
      <c r="Q325" t="s">
        <v>76</v>
      </c>
    </row>
    <row r="326" spans="1:17" x14ac:dyDescent="0.2">
      <c r="A326">
        <v>36</v>
      </c>
      <c r="B326" t="s">
        <v>71</v>
      </c>
      <c r="C326" t="s">
        <v>72</v>
      </c>
      <c r="D326" t="s">
        <v>72</v>
      </c>
      <c r="E326" t="s">
        <v>72</v>
      </c>
      <c r="F326" t="s">
        <v>72</v>
      </c>
      <c r="G326" t="s">
        <v>72</v>
      </c>
      <c r="H326" t="s">
        <v>72</v>
      </c>
      <c r="I326" t="s">
        <v>72</v>
      </c>
      <c r="J326" t="s">
        <v>72</v>
      </c>
      <c r="K326" t="s">
        <v>72</v>
      </c>
      <c r="L326" t="s">
        <v>72</v>
      </c>
      <c r="M326" t="s">
        <v>72</v>
      </c>
      <c r="N326" t="s">
        <v>72</v>
      </c>
      <c r="O326" t="s">
        <v>72</v>
      </c>
      <c r="P326" t="s">
        <v>72</v>
      </c>
      <c r="Q326" t="s">
        <v>76</v>
      </c>
    </row>
    <row r="327" spans="1:17" x14ac:dyDescent="0.2">
      <c r="A327">
        <v>43</v>
      </c>
      <c r="B327" t="s">
        <v>71</v>
      </c>
      <c r="C327" t="s">
        <v>72</v>
      </c>
      <c r="D327" t="s">
        <v>72</v>
      </c>
      <c r="E327" t="s">
        <v>72</v>
      </c>
      <c r="F327" t="s">
        <v>73</v>
      </c>
      <c r="G327" t="s">
        <v>72</v>
      </c>
      <c r="H327" t="s">
        <v>73</v>
      </c>
      <c r="I327" t="s">
        <v>72</v>
      </c>
      <c r="J327" t="s">
        <v>73</v>
      </c>
      <c r="K327" t="s">
        <v>72</v>
      </c>
      <c r="L327" t="s">
        <v>72</v>
      </c>
      <c r="M327" t="s">
        <v>72</v>
      </c>
      <c r="N327" t="s">
        <v>72</v>
      </c>
      <c r="O327" t="s">
        <v>73</v>
      </c>
      <c r="P327" t="s">
        <v>72</v>
      </c>
      <c r="Q327" t="s">
        <v>76</v>
      </c>
    </row>
    <row r="328" spans="1:17" x14ac:dyDescent="0.2">
      <c r="A328">
        <v>53</v>
      </c>
      <c r="B328" t="s">
        <v>71</v>
      </c>
      <c r="C328" t="s">
        <v>72</v>
      </c>
      <c r="D328" t="s">
        <v>72</v>
      </c>
      <c r="E328" t="s">
        <v>72</v>
      </c>
      <c r="F328" t="s">
        <v>73</v>
      </c>
      <c r="G328" t="s">
        <v>72</v>
      </c>
      <c r="H328" t="s">
        <v>72</v>
      </c>
      <c r="I328" t="s">
        <v>73</v>
      </c>
      <c r="J328" t="s">
        <v>73</v>
      </c>
      <c r="K328" t="s">
        <v>72</v>
      </c>
      <c r="L328" t="s">
        <v>73</v>
      </c>
      <c r="M328" t="s">
        <v>72</v>
      </c>
      <c r="N328" t="s">
        <v>73</v>
      </c>
      <c r="O328" t="s">
        <v>73</v>
      </c>
      <c r="P328" t="s">
        <v>72</v>
      </c>
      <c r="Q328" t="s">
        <v>76</v>
      </c>
    </row>
    <row r="329" spans="1:17" x14ac:dyDescent="0.2">
      <c r="A329">
        <v>47</v>
      </c>
      <c r="B329" t="s">
        <v>71</v>
      </c>
      <c r="C329" t="s">
        <v>72</v>
      </c>
      <c r="D329" t="s">
        <v>72</v>
      </c>
      <c r="E329" t="s">
        <v>72</v>
      </c>
      <c r="F329" t="s">
        <v>72</v>
      </c>
      <c r="G329" t="s">
        <v>72</v>
      </c>
      <c r="H329" t="s">
        <v>72</v>
      </c>
      <c r="I329" t="s">
        <v>72</v>
      </c>
      <c r="J329" t="s">
        <v>72</v>
      </c>
      <c r="K329" t="s">
        <v>73</v>
      </c>
      <c r="L329" t="s">
        <v>72</v>
      </c>
      <c r="M329" t="s">
        <v>73</v>
      </c>
      <c r="N329" t="s">
        <v>72</v>
      </c>
      <c r="O329" t="s">
        <v>72</v>
      </c>
      <c r="P329" t="s">
        <v>73</v>
      </c>
      <c r="Q329" t="s">
        <v>76</v>
      </c>
    </row>
    <row r="330" spans="1:17" x14ac:dyDescent="0.2">
      <c r="A330">
        <v>58</v>
      </c>
      <c r="B330" t="s">
        <v>71</v>
      </c>
      <c r="C330" t="s">
        <v>72</v>
      </c>
      <c r="D330" t="s">
        <v>73</v>
      </c>
      <c r="E330" t="s">
        <v>72</v>
      </c>
      <c r="F330" t="s">
        <v>72</v>
      </c>
      <c r="G330" t="s">
        <v>72</v>
      </c>
      <c r="H330" t="s">
        <v>72</v>
      </c>
      <c r="I330" t="s">
        <v>73</v>
      </c>
      <c r="J330" t="s">
        <v>73</v>
      </c>
      <c r="K330" t="s">
        <v>72</v>
      </c>
      <c r="L330" t="s">
        <v>72</v>
      </c>
      <c r="M330" t="s">
        <v>72</v>
      </c>
      <c r="N330" t="s">
        <v>73</v>
      </c>
      <c r="O330" t="s">
        <v>72</v>
      </c>
      <c r="P330" t="s">
        <v>72</v>
      </c>
      <c r="Q330" t="s">
        <v>76</v>
      </c>
    </row>
    <row r="331" spans="1:17" x14ac:dyDescent="0.2">
      <c r="A331">
        <v>56</v>
      </c>
      <c r="B331" t="s">
        <v>71</v>
      </c>
      <c r="C331" t="s">
        <v>72</v>
      </c>
      <c r="D331" t="s">
        <v>72</v>
      </c>
      <c r="E331" t="s">
        <v>73</v>
      </c>
      <c r="F331" t="s">
        <v>73</v>
      </c>
      <c r="G331" t="s">
        <v>73</v>
      </c>
      <c r="H331" t="s">
        <v>72</v>
      </c>
      <c r="I331" t="s">
        <v>73</v>
      </c>
      <c r="J331" t="s">
        <v>73</v>
      </c>
      <c r="K331" t="s">
        <v>72</v>
      </c>
      <c r="L331" t="s">
        <v>73</v>
      </c>
      <c r="M331" t="s">
        <v>72</v>
      </c>
      <c r="N331" t="s">
        <v>73</v>
      </c>
      <c r="O331" t="s">
        <v>73</v>
      </c>
      <c r="P331" t="s">
        <v>72</v>
      </c>
      <c r="Q331" t="s">
        <v>76</v>
      </c>
    </row>
    <row r="332" spans="1:17" x14ac:dyDescent="0.2">
      <c r="A332">
        <v>51</v>
      </c>
      <c r="B332" t="s">
        <v>75</v>
      </c>
      <c r="C332" t="s">
        <v>72</v>
      </c>
      <c r="D332" t="s">
        <v>72</v>
      </c>
      <c r="E332" t="s">
        <v>72</v>
      </c>
      <c r="F332" t="s">
        <v>72</v>
      </c>
      <c r="G332" t="s">
        <v>72</v>
      </c>
      <c r="H332" t="s">
        <v>73</v>
      </c>
      <c r="I332" t="s">
        <v>72</v>
      </c>
      <c r="J332" t="s">
        <v>73</v>
      </c>
      <c r="K332" t="s">
        <v>72</v>
      </c>
      <c r="L332" t="s">
        <v>73</v>
      </c>
      <c r="M332" t="s">
        <v>72</v>
      </c>
      <c r="N332" t="s">
        <v>72</v>
      </c>
      <c r="O332" t="s">
        <v>73</v>
      </c>
      <c r="P332" t="s">
        <v>72</v>
      </c>
      <c r="Q332" t="s">
        <v>76</v>
      </c>
    </row>
    <row r="333" spans="1:17" x14ac:dyDescent="0.2">
      <c r="A333">
        <v>59</v>
      </c>
      <c r="B333" t="s">
        <v>75</v>
      </c>
      <c r="C333" t="s">
        <v>72</v>
      </c>
      <c r="D333" t="s">
        <v>72</v>
      </c>
      <c r="E333" t="s">
        <v>72</v>
      </c>
      <c r="F333" t="s">
        <v>73</v>
      </c>
      <c r="G333" t="s">
        <v>72</v>
      </c>
      <c r="H333" t="s">
        <v>72</v>
      </c>
      <c r="I333" t="s">
        <v>73</v>
      </c>
      <c r="J333" t="s">
        <v>73</v>
      </c>
      <c r="K333" t="s">
        <v>72</v>
      </c>
      <c r="L333" t="s">
        <v>73</v>
      </c>
      <c r="M333" t="s">
        <v>72</v>
      </c>
      <c r="N333" t="s">
        <v>73</v>
      </c>
      <c r="O333" t="s">
        <v>73</v>
      </c>
      <c r="P333" t="s">
        <v>73</v>
      </c>
      <c r="Q333" t="s">
        <v>76</v>
      </c>
    </row>
    <row r="334" spans="1:17" x14ac:dyDescent="0.2">
      <c r="A334">
        <v>50</v>
      </c>
      <c r="B334" t="s">
        <v>75</v>
      </c>
      <c r="C334" t="s">
        <v>72</v>
      </c>
      <c r="D334" t="s">
        <v>72</v>
      </c>
      <c r="E334" t="s">
        <v>72</v>
      </c>
      <c r="F334" t="s">
        <v>73</v>
      </c>
      <c r="G334" t="s">
        <v>72</v>
      </c>
      <c r="H334" t="s">
        <v>72</v>
      </c>
      <c r="I334" t="s">
        <v>73</v>
      </c>
      <c r="J334" t="s">
        <v>73</v>
      </c>
      <c r="K334" t="s">
        <v>72</v>
      </c>
      <c r="L334" t="s">
        <v>73</v>
      </c>
      <c r="M334" t="s">
        <v>72</v>
      </c>
      <c r="N334" t="s">
        <v>72</v>
      </c>
      <c r="O334" t="s">
        <v>73</v>
      </c>
      <c r="P334" t="s">
        <v>72</v>
      </c>
      <c r="Q334" t="s">
        <v>76</v>
      </c>
    </row>
    <row r="335" spans="1:17" x14ac:dyDescent="0.2">
      <c r="A335">
        <v>30</v>
      </c>
      <c r="B335" t="s">
        <v>71</v>
      </c>
      <c r="C335" t="s">
        <v>72</v>
      </c>
      <c r="D335" t="s">
        <v>72</v>
      </c>
      <c r="E335" t="s">
        <v>72</v>
      </c>
      <c r="F335" t="s">
        <v>72</v>
      </c>
      <c r="G335" t="s">
        <v>72</v>
      </c>
      <c r="H335" t="s">
        <v>72</v>
      </c>
      <c r="I335" t="s">
        <v>72</v>
      </c>
      <c r="J335" t="s">
        <v>72</v>
      </c>
      <c r="K335" t="s">
        <v>72</v>
      </c>
      <c r="L335" t="s">
        <v>72</v>
      </c>
      <c r="M335" t="s">
        <v>72</v>
      </c>
      <c r="N335" t="s">
        <v>72</v>
      </c>
      <c r="O335" t="s">
        <v>72</v>
      </c>
      <c r="P335" t="s">
        <v>72</v>
      </c>
      <c r="Q335" t="s">
        <v>76</v>
      </c>
    </row>
    <row r="336" spans="1:17" x14ac:dyDescent="0.2">
      <c r="A336">
        <v>46</v>
      </c>
      <c r="B336" t="s">
        <v>71</v>
      </c>
      <c r="C336" t="s">
        <v>72</v>
      </c>
      <c r="D336" t="s">
        <v>72</v>
      </c>
      <c r="E336" t="s">
        <v>72</v>
      </c>
      <c r="F336" t="s">
        <v>73</v>
      </c>
      <c r="G336" t="s">
        <v>72</v>
      </c>
      <c r="H336" t="s">
        <v>72</v>
      </c>
      <c r="I336" t="s">
        <v>72</v>
      </c>
      <c r="J336" t="s">
        <v>73</v>
      </c>
      <c r="K336" t="s">
        <v>72</v>
      </c>
      <c r="L336" t="s">
        <v>73</v>
      </c>
      <c r="M336" t="s">
        <v>72</v>
      </c>
      <c r="N336" t="s">
        <v>72</v>
      </c>
      <c r="O336" t="s">
        <v>73</v>
      </c>
      <c r="P336" t="s">
        <v>72</v>
      </c>
      <c r="Q336" t="s">
        <v>76</v>
      </c>
    </row>
    <row r="337" spans="1:17" x14ac:dyDescent="0.2">
      <c r="A337">
        <v>53</v>
      </c>
      <c r="B337" t="s">
        <v>71</v>
      </c>
      <c r="C337" t="s">
        <v>72</v>
      </c>
      <c r="D337" t="s">
        <v>72</v>
      </c>
      <c r="E337" t="s">
        <v>72</v>
      </c>
      <c r="F337" t="s">
        <v>73</v>
      </c>
      <c r="G337" t="s">
        <v>73</v>
      </c>
      <c r="H337" t="s">
        <v>72</v>
      </c>
      <c r="I337" t="s">
        <v>73</v>
      </c>
      <c r="J337" t="s">
        <v>73</v>
      </c>
      <c r="K337" t="s">
        <v>72</v>
      </c>
      <c r="L337" t="s">
        <v>73</v>
      </c>
      <c r="M337" t="s">
        <v>73</v>
      </c>
      <c r="N337" t="s">
        <v>73</v>
      </c>
      <c r="O337" t="s">
        <v>73</v>
      </c>
      <c r="P337" t="s">
        <v>72</v>
      </c>
      <c r="Q337" t="s">
        <v>76</v>
      </c>
    </row>
    <row r="338" spans="1:17" x14ac:dyDescent="0.2">
      <c r="A338">
        <v>42</v>
      </c>
      <c r="B338" t="s">
        <v>71</v>
      </c>
      <c r="C338" t="s">
        <v>72</v>
      </c>
      <c r="D338" t="s">
        <v>72</v>
      </c>
      <c r="E338" t="s">
        <v>72</v>
      </c>
      <c r="F338" t="s">
        <v>72</v>
      </c>
      <c r="G338" t="s">
        <v>72</v>
      </c>
      <c r="H338" t="s">
        <v>72</v>
      </c>
      <c r="I338" t="s">
        <v>72</v>
      </c>
      <c r="J338" t="s">
        <v>72</v>
      </c>
      <c r="K338" t="s">
        <v>72</v>
      </c>
      <c r="L338" t="s">
        <v>72</v>
      </c>
      <c r="M338" t="s">
        <v>72</v>
      </c>
      <c r="N338" t="s">
        <v>72</v>
      </c>
      <c r="O338" t="s">
        <v>73</v>
      </c>
      <c r="P338" t="s">
        <v>72</v>
      </c>
      <c r="Q338" t="s">
        <v>76</v>
      </c>
    </row>
    <row r="339" spans="1:17" x14ac:dyDescent="0.2">
      <c r="A339">
        <v>55</v>
      </c>
      <c r="B339" t="s">
        <v>75</v>
      </c>
      <c r="C339" t="s">
        <v>73</v>
      </c>
      <c r="D339" t="s">
        <v>73</v>
      </c>
      <c r="E339" t="s">
        <v>73</v>
      </c>
      <c r="F339" t="s">
        <v>73</v>
      </c>
      <c r="G339" t="s">
        <v>72</v>
      </c>
      <c r="H339" t="s">
        <v>72</v>
      </c>
      <c r="I339" t="s">
        <v>73</v>
      </c>
      <c r="J339" t="s">
        <v>72</v>
      </c>
      <c r="K339" t="s">
        <v>72</v>
      </c>
      <c r="L339" t="s">
        <v>72</v>
      </c>
      <c r="M339" t="s">
        <v>73</v>
      </c>
      <c r="N339" t="s">
        <v>72</v>
      </c>
      <c r="O339" t="s">
        <v>72</v>
      </c>
      <c r="P339" t="s">
        <v>73</v>
      </c>
      <c r="Q339" t="s">
        <v>74</v>
      </c>
    </row>
    <row r="340" spans="1:17" x14ac:dyDescent="0.2">
      <c r="A340">
        <v>48</v>
      </c>
      <c r="B340" t="s">
        <v>75</v>
      </c>
      <c r="C340" t="s">
        <v>73</v>
      </c>
      <c r="D340" t="s">
        <v>73</v>
      </c>
      <c r="E340" t="s">
        <v>73</v>
      </c>
      <c r="F340" t="s">
        <v>73</v>
      </c>
      <c r="G340" t="s">
        <v>73</v>
      </c>
      <c r="H340" t="s">
        <v>72</v>
      </c>
      <c r="I340" t="s">
        <v>72</v>
      </c>
      <c r="J340" t="s">
        <v>72</v>
      </c>
      <c r="K340" t="s">
        <v>72</v>
      </c>
      <c r="L340" t="s">
        <v>72</v>
      </c>
      <c r="M340" t="s">
        <v>73</v>
      </c>
      <c r="N340" t="s">
        <v>72</v>
      </c>
      <c r="O340" t="s">
        <v>72</v>
      </c>
      <c r="P340" t="s">
        <v>72</v>
      </c>
      <c r="Q340" t="s">
        <v>74</v>
      </c>
    </row>
    <row r="341" spans="1:17" x14ac:dyDescent="0.2">
      <c r="A341">
        <v>55</v>
      </c>
      <c r="B341" t="s">
        <v>75</v>
      </c>
      <c r="C341" t="s">
        <v>73</v>
      </c>
      <c r="D341" t="s">
        <v>73</v>
      </c>
      <c r="E341" t="s">
        <v>73</v>
      </c>
      <c r="F341" t="s">
        <v>72</v>
      </c>
      <c r="G341" t="s">
        <v>73</v>
      </c>
      <c r="H341" t="s">
        <v>72</v>
      </c>
      <c r="I341" t="s">
        <v>72</v>
      </c>
      <c r="J341" t="s">
        <v>73</v>
      </c>
      <c r="K341" t="s">
        <v>72</v>
      </c>
      <c r="L341" t="s">
        <v>73</v>
      </c>
      <c r="M341" t="s">
        <v>73</v>
      </c>
      <c r="N341" t="s">
        <v>72</v>
      </c>
      <c r="O341" t="s">
        <v>72</v>
      </c>
      <c r="P341" t="s">
        <v>72</v>
      </c>
      <c r="Q341" t="s">
        <v>74</v>
      </c>
    </row>
    <row r="342" spans="1:17" x14ac:dyDescent="0.2">
      <c r="A342">
        <v>39</v>
      </c>
      <c r="B342" t="s">
        <v>75</v>
      </c>
      <c r="C342" t="s">
        <v>73</v>
      </c>
      <c r="D342" t="s">
        <v>73</v>
      </c>
      <c r="E342" t="s">
        <v>73</v>
      </c>
      <c r="F342" t="s">
        <v>73</v>
      </c>
      <c r="G342" t="s">
        <v>73</v>
      </c>
      <c r="H342" t="s">
        <v>72</v>
      </c>
      <c r="I342" t="s">
        <v>72</v>
      </c>
      <c r="J342" t="s">
        <v>73</v>
      </c>
      <c r="K342" t="s">
        <v>73</v>
      </c>
      <c r="L342" t="s">
        <v>73</v>
      </c>
      <c r="M342" t="s">
        <v>73</v>
      </c>
      <c r="N342" t="s">
        <v>72</v>
      </c>
      <c r="O342" t="s">
        <v>72</v>
      </c>
      <c r="P342" t="s">
        <v>72</v>
      </c>
      <c r="Q342" t="s">
        <v>74</v>
      </c>
    </row>
    <row r="343" spans="1:17" x14ac:dyDescent="0.2">
      <c r="A343">
        <v>43</v>
      </c>
      <c r="B343" t="s">
        <v>75</v>
      </c>
      <c r="C343" t="s">
        <v>73</v>
      </c>
      <c r="D343" t="s">
        <v>73</v>
      </c>
      <c r="E343" t="s">
        <v>73</v>
      </c>
      <c r="F343" t="s">
        <v>73</v>
      </c>
      <c r="G343" t="s">
        <v>73</v>
      </c>
      <c r="H343" t="s">
        <v>72</v>
      </c>
      <c r="I343" t="s">
        <v>73</v>
      </c>
      <c r="J343" t="s">
        <v>72</v>
      </c>
      <c r="K343" t="s">
        <v>72</v>
      </c>
      <c r="L343" t="s">
        <v>72</v>
      </c>
      <c r="M343" t="s">
        <v>73</v>
      </c>
      <c r="N343" t="s">
        <v>73</v>
      </c>
      <c r="O343" t="s">
        <v>72</v>
      </c>
      <c r="P343" t="s">
        <v>73</v>
      </c>
      <c r="Q343" t="s">
        <v>74</v>
      </c>
    </row>
    <row r="344" spans="1:17" x14ac:dyDescent="0.2">
      <c r="A344">
        <v>35</v>
      </c>
      <c r="B344" t="s">
        <v>75</v>
      </c>
      <c r="C344" t="s">
        <v>73</v>
      </c>
      <c r="D344" t="s">
        <v>73</v>
      </c>
      <c r="E344" t="s">
        <v>72</v>
      </c>
      <c r="F344" t="s">
        <v>73</v>
      </c>
      <c r="G344" t="s">
        <v>72</v>
      </c>
      <c r="H344" t="s">
        <v>72</v>
      </c>
      <c r="I344" t="s">
        <v>73</v>
      </c>
      <c r="J344" t="s">
        <v>72</v>
      </c>
      <c r="K344" t="s">
        <v>72</v>
      </c>
      <c r="L344" t="s">
        <v>72</v>
      </c>
      <c r="M344" t="s">
        <v>72</v>
      </c>
      <c r="N344" t="s">
        <v>72</v>
      </c>
      <c r="O344" t="s">
        <v>72</v>
      </c>
      <c r="P344" t="s">
        <v>72</v>
      </c>
      <c r="Q344" t="s">
        <v>74</v>
      </c>
    </row>
    <row r="345" spans="1:17" x14ac:dyDescent="0.2">
      <c r="A345">
        <v>47</v>
      </c>
      <c r="B345" t="s">
        <v>75</v>
      </c>
      <c r="C345" t="s">
        <v>72</v>
      </c>
      <c r="D345" t="s">
        <v>72</v>
      </c>
      <c r="E345" t="s">
        <v>73</v>
      </c>
      <c r="F345" t="s">
        <v>73</v>
      </c>
      <c r="G345" t="s">
        <v>73</v>
      </c>
      <c r="H345" t="s">
        <v>72</v>
      </c>
      <c r="I345" t="s">
        <v>72</v>
      </c>
      <c r="J345" t="s">
        <v>72</v>
      </c>
      <c r="K345" t="s">
        <v>72</v>
      </c>
      <c r="L345" t="s">
        <v>72</v>
      </c>
      <c r="M345" t="s">
        <v>72</v>
      </c>
      <c r="N345" t="s">
        <v>73</v>
      </c>
      <c r="O345" t="s">
        <v>72</v>
      </c>
      <c r="P345" t="s">
        <v>72</v>
      </c>
      <c r="Q345" t="s">
        <v>74</v>
      </c>
    </row>
    <row r="346" spans="1:17" x14ac:dyDescent="0.2">
      <c r="A346">
        <v>61</v>
      </c>
      <c r="B346" t="s">
        <v>75</v>
      </c>
      <c r="C346" t="s">
        <v>73</v>
      </c>
      <c r="D346" t="s">
        <v>72</v>
      </c>
      <c r="E346" t="s">
        <v>72</v>
      </c>
      <c r="F346" t="s">
        <v>72</v>
      </c>
      <c r="G346" t="s">
        <v>73</v>
      </c>
      <c r="H346" t="s">
        <v>72</v>
      </c>
      <c r="I346" t="s">
        <v>72</v>
      </c>
      <c r="J346" t="s">
        <v>72</v>
      </c>
      <c r="K346" t="s">
        <v>73</v>
      </c>
      <c r="L346" t="s">
        <v>72</v>
      </c>
      <c r="M346" t="s">
        <v>72</v>
      </c>
      <c r="N346" t="s">
        <v>72</v>
      </c>
      <c r="O346" t="s">
        <v>73</v>
      </c>
      <c r="P346" t="s">
        <v>72</v>
      </c>
      <c r="Q346" t="s">
        <v>74</v>
      </c>
    </row>
    <row r="347" spans="1:17" x14ac:dyDescent="0.2">
      <c r="A347">
        <v>58</v>
      </c>
      <c r="B347" t="s">
        <v>75</v>
      </c>
      <c r="C347" t="s">
        <v>73</v>
      </c>
      <c r="D347" t="s">
        <v>72</v>
      </c>
      <c r="E347" t="s">
        <v>73</v>
      </c>
      <c r="F347" t="s">
        <v>72</v>
      </c>
      <c r="G347" t="s">
        <v>73</v>
      </c>
      <c r="H347" t="s">
        <v>72</v>
      </c>
      <c r="I347" t="s">
        <v>72</v>
      </c>
      <c r="J347" t="s">
        <v>72</v>
      </c>
      <c r="K347" t="s">
        <v>73</v>
      </c>
      <c r="L347" t="s">
        <v>72</v>
      </c>
      <c r="M347" t="s">
        <v>72</v>
      </c>
      <c r="N347" t="s">
        <v>73</v>
      </c>
      <c r="O347" t="s">
        <v>72</v>
      </c>
      <c r="P347" t="s">
        <v>73</v>
      </c>
      <c r="Q347" t="s">
        <v>74</v>
      </c>
    </row>
    <row r="348" spans="1:17" x14ac:dyDescent="0.2">
      <c r="A348">
        <v>69</v>
      </c>
      <c r="B348" t="s">
        <v>75</v>
      </c>
      <c r="C348" t="s">
        <v>73</v>
      </c>
      <c r="D348" t="s">
        <v>73</v>
      </c>
      <c r="E348" t="s">
        <v>73</v>
      </c>
      <c r="F348" t="s">
        <v>73</v>
      </c>
      <c r="G348" t="s">
        <v>72</v>
      </c>
      <c r="H348" t="s">
        <v>72</v>
      </c>
      <c r="I348" t="s">
        <v>73</v>
      </c>
      <c r="J348" t="s">
        <v>73</v>
      </c>
      <c r="K348" t="s">
        <v>73</v>
      </c>
      <c r="L348" t="s">
        <v>72</v>
      </c>
      <c r="M348" t="s">
        <v>72</v>
      </c>
      <c r="N348" t="s">
        <v>73</v>
      </c>
      <c r="O348" t="s">
        <v>72</v>
      </c>
      <c r="P348" t="s">
        <v>73</v>
      </c>
      <c r="Q348" t="s">
        <v>74</v>
      </c>
    </row>
    <row r="349" spans="1:17" x14ac:dyDescent="0.2">
      <c r="A349">
        <v>40</v>
      </c>
      <c r="B349" t="s">
        <v>71</v>
      </c>
      <c r="C349" t="s">
        <v>72</v>
      </c>
      <c r="D349" t="s">
        <v>73</v>
      </c>
      <c r="E349" t="s">
        <v>73</v>
      </c>
      <c r="F349" t="s">
        <v>73</v>
      </c>
      <c r="G349" t="s">
        <v>72</v>
      </c>
      <c r="H349" t="s">
        <v>72</v>
      </c>
      <c r="I349" t="s">
        <v>73</v>
      </c>
      <c r="J349" t="s">
        <v>73</v>
      </c>
      <c r="K349" t="s">
        <v>72</v>
      </c>
      <c r="L349" t="s">
        <v>72</v>
      </c>
      <c r="M349" t="s">
        <v>73</v>
      </c>
      <c r="N349" t="s">
        <v>73</v>
      </c>
      <c r="O349" t="s">
        <v>72</v>
      </c>
      <c r="P349" t="s">
        <v>72</v>
      </c>
      <c r="Q349" t="s">
        <v>76</v>
      </c>
    </row>
    <row r="350" spans="1:17" x14ac:dyDescent="0.2">
      <c r="A350">
        <v>28</v>
      </c>
      <c r="B350" t="s">
        <v>71</v>
      </c>
      <c r="C350" t="s">
        <v>72</v>
      </c>
      <c r="D350" t="s">
        <v>72</v>
      </c>
      <c r="E350" t="s">
        <v>73</v>
      </c>
      <c r="F350" t="s">
        <v>72</v>
      </c>
      <c r="G350" t="s">
        <v>72</v>
      </c>
      <c r="H350" t="s">
        <v>72</v>
      </c>
      <c r="I350" t="s">
        <v>72</v>
      </c>
      <c r="J350" t="s">
        <v>72</v>
      </c>
      <c r="K350" t="s">
        <v>72</v>
      </c>
      <c r="L350" t="s">
        <v>72</v>
      </c>
      <c r="M350" t="s">
        <v>72</v>
      </c>
      <c r="N350" t="s">
        <v>72</v>
      </c>
      <c r="O350" t="s">
        <v>72</v>
      </c>
      <c r="P350" t="s">
        <v>72</v>
      </c>
      <c r="Q350" t="s">
        <v>76</v>
      </c>
    </row>
    <row r="351" spans="1:17" x14ac:dyDescent="0.2">
      <c r="A351">
        <v>37</v>
      </c>
      <c r="B351" t="s">
        <v>71</v>
      </c>
      <c r="C351" t="s">
        <v>72</v>
      </c>
      <c r="D351" t="s">
        <v>72</v>
      </c>
      <c r="E351" t="s">
        <v>72</v>
      </c>
      <c r="F351" t="s">
        <v>72</v>
      </c>
      <c r="G351" t="s">
        <v>72</v>
      </c>
      <c r="H351" t="s">
        <v>72</v>
      </c>
      <c r="I351" t="s">
        <v>72</v>
      </c>
      <c r="J351" t="s">
        <v>72</v>
      </c>
      <c r="K351" t="s">
        <v>72</v>
      </c>
      <c r="L351" t="s">
        <v>72</v>
      </c>
      <c r="M351" t="s">
        <v>72</v>
      </c>
      <c r="N351" t="s">
        <v>72</v>
      </c>
      <c r="O351" t="s">
        <v>72</v>
      </c>
      <c r="P351" t="s">
        <v>72</v>
      </c>
      <c r="Q351" t="s">
        <v>76</v>
      </c>
    </row>
    <row r="352" spans="1:17" x14ac:dyDescent="0.2">
      <c r="A352">
        <v>34</v>
      </c>
      <c r="B352" t="s">
        <v>71</v>
      </c>
      <c r="C352" t="s">
        <v>72</v>
      </c>
      <c r="D352" t="s">
        <v>72</v>
      </c>
      <c r="E352" t="s">
        <v>72</v>
      </c>
      <c r="F352" t="s">
        <v>72</v>
      </c>
      <c r="G352" t="s">
        <v>72</v>
      </c>
      <c r="H352" t="s">
        <v>72</v>
      </c>
      <c r="I352" t="s">
        <v>72</v>
      </c>
      <c r="J352" t="s">
        <v>72</v>
      </c>
      <c r="K352" t="s">
        <v>72</v>
      </c>
      <c r="L352" t="s">
        <v>72</v>
      </c>
      <c r="M352" t="s">
        <v>72</v>
      </c>
      <c r="N352" t="s">
        <v>72</v>
      </c>
      <c r="O352" t="s">
        <v>72</v>
      </c>
      <c r="P352" t="s">
        <v>72</v>
      </c>
      <c r="Q352" t="s">
        <v>76</v>
      </c>
    </row>
    <row r="353" spans="1:17" x14ac:dyDescent="0.2">
      <c r="A353">
        <v>30</v>
      </c>
      <c r="B353" t="s">
        <v>71</v>
      </c>
      <c r="C353" t="s">
        <v>72</v>
      </c>
      <c r="D353" t="s">
        <v>72</v>
      </c>
      <c r="E353" t="s">
        <v>72</v>
      </c>
      <c r="F353" t="s">
        <v>72</v>
      </c>
      <c r="G353" t="s">
        <v>72</v>
      </c>
      <c r="H353" t="s">
        <v>72</v>
      </c>
      <c r="I353" t="s">
        <v>72</v>
      </c>
      <c r="J353" t="s">
        <v>72</v>
      </c>
      <c r="K353" t="s">
        <v>72</v>
      </c>
      <c r="L353" t="s">
        <v>72</v>
      </c>
      <c r="M353" t="s">
        <v>72</v>
      </c>
      <c r="N353" t="s">
        <v>72</v>
      </c>
      <c r="O353" t="s">
        <v>72</v>
      </c>
      <c r="P353" t="s">
        <v>72</v>
      </c>
      <c r="Q353" t="s">
        <v>76</v>
      </c>
    </row>
    <row r="354" spans="1:17" x14ac:dyDescent="0.2">
      <c r="A354">
        <v>67</v>
      </c>
      <c r="B354" t="s">
        <v>71</v>
      </c>
      <c r="C354" t="s">
        <v>73</v>
      </c>
      <c r="D354" t="s">
        <v>72</v>
      </c>
      <c r="E354" t="s">
        <v>72</v>
      </c>
      <c r="F354" t="s">
        <v>73</v>
      </c>
      <c r="G354" t="s">
        <v>73</v>
      </c>
      <c r="H354" t="s">
        <v>72</v>
      </c>
      <c r="I354" t="s">
        <v>73</v>
      </c>
      <c r="J354" t="s">
        <v>73</v>
      </c>
      <c r="K354" t="s">
        <v>73</v>
      </c>
      <c r="L354" t="s">
        <v>73</v>
      </c>
      <c r="M354" t="s">
        <v>72</v>
      </c>
      <c r="N354" t="s">
        <v>73</v>
      </c>
      <c r="O354" t="s">
        <v>73</v>
      </c>
      <c r="P354" t="s">
        <v>73</v>
      </c>
      <c r="Q354" t="s">
        <v>76</v>
      </c>
    </row>
    <row r="355" spans="1:17" x14ac:dyDescent="0.2">
      <c r="A355">
        <v>60</v>
      </c>
      <c r="B355" t="s">
        <v>71</v>
      </c>
      <c r="C355" t="s">
        <v>72</v>
      </c>
      <c r="D355" t="s">
        <v>72</v>
      </c>
      <c r="E355" t="s">
        <v>72</v>
      </c>
      <c r="F355" t="s">
        <v>73</v>
      </c>
      <c r="G355" t="s">
        <v>72</v>
      </c>
      <c r="H355" t="s">
        <v>72</v>
      </c>
      <c r="I355" t="s">
        <v>72</v>
      </c>
      <c r="J355" t="s">
        <v>72</v>
      </c>
      <c r="K355" t="s">
        <v>72</v>
      </c>
      <c r="L355" t="s">
        <v>72</v>
      </c>
      <c r="M355" t="s">
        <v>73</v>
      </c>
      <c r="N355" t="s">
        <v>73</v>
      </c>
      <c r="O355" t="s">
        <v>72</v>
      </c>
      <c r="P355" t="s">
        <v>72</v>
      </c>
      <c r="Q355" t="s">
        <v>76</v>
      </c>
    </row>
    <row r="356" spans="1:17" x14ac:dyDescent="0.2">
      <c r="A356">
        <v>58</v>
      </c>
      <c r="B356" t="s">
        <v>71</v>
      </c>
      <c r="C356" t="s">
        <v>72</v>
      </c>
      <c r="D356" t="s">
        <v>72</v>
      </c>
      <c r="E356" t="s">
        <v>72</v>
      </c>
      <c r="F356" t="s">
        <v>72</v>
      </c>
      <c r="G356" t="s">
        <v>73</v>
      </c>
      <c r="H356" t="s">
        <v>72</v>
      </c>
      <c r="I356" t="s">
        <v>72</v>
      </c>
      <c r="J356" t="s">
        <v>73</v>
      </c>
      <c r="K356" t="s">
        <v>72</v>
      </c>
      <c r="L356" t="s">
        <v>73</v>
      </c>
      <c r="M356" t="s">
        <v>72</v>
      </c>
      <c r="N356" t="s">
        <v>72</v>
      </c>
      <c r="O356" t="s">
        <v>73</v>
      </c>
      <c r="P356" t="s">
        <v>73</v>
      </c>
      <c r="Q356" t="s">
        <v>76</v>
      </c>
    </row>
    <row r="357" spans="1:17" x14ac:dyDescent="0.2">
      <c r="A357">
        <v>54</v>
      </c>
      <c r="B357" t="s">
        <v>71</v>
      </c>
      <c r="C357" t="s">
        <v>72</v>
      </c>
      <c r="D357" t="s">
        <v>72</v>
      </c>
      <c r="E357" t="s">
        <v>73</v>
      </c>
      <c r="F357" t="s">
        <v>73</v>
      </c>
      <c r="G357" t="s">
        <v>72</v>
      </c>
      <c r="H357" t="s">
        <v>73</v>
      </c>
      <c r="I357" t="s">
        <v>72</v>
      </c>
      <c r="J357" t="s">
        <v>72</v>
      </c>
      <c r="K357" t="s">
        <v>72</v>
      </c>
      <c r="L357" t="s">
        <v>73</v>
      </c>
      <c r="M357" t="s">
        <v>72</v>
      </c>
      <c r="N357" t="s">
        <v>72</v>
      </c>
      <c r="O357" t="s">
        <v>73</v>
      </c>
      <c r="P357" t="s">
        <v>72</v>
      </c>
      <c r="Q357" t="s">
        <v>76</v>
      </c>
    </row>
    <row r="358" spans="1:17" x14ac:dyDescent="0.2">
      <c r="A358">
        <v>43</v>
      </c>
      <c r="B358" t="s">
        <v>71</v>
      </c>
      <c r="C358" t="s">
        <v>72</v>
      </c>
      <c r="D358" t="s">
        <v>72</v>
      </c>
      <c r="E358" t="s">
        <v>73</v>
      </c>
      <c r="F358" t="s">
        <v>72</v>
      </c>
      <c r="G358" t="s">
        <v>72</v>
      </c>
      <c r="H358" t="s">
        <v>73</v>
      </c>
      <c r="I358" t="s">
        <v>72</v>
      </c>
      <c r="J358" t="s">
        <v>72</v>
      </c>
      <c r="K358" t="s">
        <v>72</v>
      </c>
      <c r="L358" t="s">
        <v>73</v>
      </c>
      <c r="M358" t="s">
        <v>72</v>
      </c>
      <c r="N358" t="s">
        <v>72</v>
      </c>
      <c r="O358" t="s">
        <v>73</v>
      </c>
      <c r="P358" t="s">
        <v>72</v>
      </c>
      <c r="Q358" t="s">
        <v>76</v>
      </c>
    </row>
    <row r="359" spans="1:17" x14ac:dyDescent="0.2">
      <c r="A359">
        <v>33</v>
      </c>
      <c r="B359" t="s">
        <v>75</v>
      </c>
      <c r="C359" t="s">
        <v>72</v>
      </c>
      <c r="D359" t="s">
        <v>72</v>
      </c>
      <c r="E359" t="s">
        <v>72</v>
      </c>
      <c r="F359" t="s">
        <v>72</v>
      </c>
      <c r="G359" t="s">
        <v>72</v>
      </c>
      <c r="H359" t="s">
        <v>72</v>
      </c>
      <c r="I359" t="s">
        <v>72</v>
      </c>
      <c r="J359" t="s">
        <v>72</v>
      </c>
      <c r="K359" t="s">
        <v>72</v>
      </c>
      <c r="L359" t="s">
        <v>72</v>
      </c>
      <c r="M359" t="s">
        <v>72</v>
      </c>
      <c r="N359" t="s">
        <v>72</v>
      </c>
      <c r="O359" t="s">
        <v>72</v>
      </c>
      <c r="P359" t="s">
        <v>72</v>
      </c>
      <c r="Q359" t="s">
        <v>76</v>
      </c>
    </row>
    <row r="360" spans="1:17" x14ac:dyDescent="0.2">
      <c r="A360">
        <v>55</v>
      </c>
      <c r="B360" t="s">
        <v>71</v>
      </c>
      <c r="C360" t="s">
        <v>73</v>
      </c>
      <c r="D360" t="s">
        <v>73</v>
      </c>
      <c r="E360" t="s">
        <v>73</v>
      </c>
      <c r="F360" t="s">
        <v>73</v>
      </c>
      <c r="G360" t="s">
        <v>72</v>
      </c>
      <c r="H360" t="s">
        <v>73</v>
      </c>
      <c r="I360" t="s">
        <v>72</v>
      </c>
      <c r="J360" t="s">
        <v>72</v>
      </c>
      <c r="K360" t="s">
        <v>73</v>
      </c>
      <c r="L360" t="s">
        <v>72</v>
      </c>
      <c r="M360" t="s">
        <v>73</v>
      </c>
      <c r="N360" t="s">
        <v>72</v>
      </c>
      <c r="O360" t="s">
        <v>72</v>
      </c>
      <c r="P360" t="s">
        <v>72</v>
      </c>
      <c r="Q360" t="s">
        <v>74</v>
      </c>
    </row>
    <row r="361" spans="1:17" x14ac:dyDescent="0.2">
      <c r="A361">
        <v>48</v>
      </c>
      <c r="B361" t="s">
        <v>71</v>
      </c>
      <c r="C361" t="s">
        <v>73</v>
      </c>
      <c r="D361" t="s">
        <v>73</v>
      </c>
      <c r="E361" t="s">
        <v>73</v>
      </c>
      <c r="F361" t="s">
        <v>72</v>
      </c>
      <c r="G361" t="s">
        <v>73</v>
      </c>
      <c r="H361" t="s">
        <v>73</v>
      </c>
      <c r="I361" t="s">
        <v>72</v>
      </c>
      <c r="J361" t="s">
        <v>72</v>
      </c>
      <c r="K361" t="s">
        <v>72</v>
      </c>
      <c r="L361" t="s">
        <v>73</v>
      </c>
      <c r="M361" t="s">
        <v>72</v>
      </c>
      <c r="N361" t="s">
        <v>72</v>
      </c>
      <c r="O361" t="s">
        <v>72</v>
      </c>
      <c r="P361" t="s">
        <v>72</v>
      </c>
      <c r="Q361" t="s">
        <v>74</v>
      </c>
    </row>
    <row r="362" spans="1:17" x14ac:dyDescent="0.2">
      <c r="A362">
        <v>56</v>
      </c>
      <c r="B362" t="s">
        <v>71</v>
      </c>
      <c r="C362" t="s">
        <v>73</v>
      </c>
      <c r="D362" t="s">
        <v>72</v>
      </c>
      <c r="E362" t="s">
        <v>73</v>
      </c>
      <c r="F362" t="s">
        <v>73</v>
      </c>
      <c r="G362" t="s">
        <v>72</v>
      </c>
      <c r="H362" t="s">
        <v>73</v>
      </c>
      <c r="I362" t="s">
        <v>72</v>
      </c>
      <c r="J362" t="s">
        <v>73</v>
      </c>
      <c r="K362" t="s">
        <v>73</v>
      </c>
      <c r="L362" t="s">
        <v>72</v>
      </c>
      <c r="M362" t="s">
        <v>72</v>
      </c>
      <c r="N362" t="s">
        <v>72</v>
      </c>
      <c r="O362" t="s">
        <v>73</v>
      </c>
      <c r="P362" t="s">
        <v>72</v>
      </c>
      <c r="Q362" t="s">
        <v>74</v>
      </c>
    </row>
    <row r="363" spans="1:17" x14ac:dyDescent="0.2">
      <c r="A363">
        <v>38</v>
      </c>
      <c r="B363" t="s">
        <v>75</v>
      </c>
      <c r="C363" t="s">
        <v>73</v>
      </c>
      <c r="D363" t="s">
        <v>73</v>
      </c>
      <c r="E363" t="s">
        <v>73</v>
      </c>
      <c r="F363" t="s">
        <v>73</v>
      </c>
      <c r="G363" t="s">
        <v>73</v>
      </c>
      <c r="H363" t="s">
        <v>72</v>
      </c>
      <c r="I363" t="s">
        <v>73</v>
      </c>
      <c r="J363" t="s">
        <v>73</v>
      </c>
      <c r="K363" t="s">
        <v>73</v>
      </c>
      <c r="L363" t="s">
        <v>73</v>
      </c>
      <c r="M363" t="s">
        <v>73</v>
      </c>
      <c r="N363" t="s">
        <v>73</v>
      </c>
      <c r="O363" t="s">
        <v>72</v>
      </c>
      <c r="P363" t="s">
        <v>72</v>
      </c>
      <c r="Q363" t="s">
        <v>74</v>
      </c>
    </row>
    <row r="364" spans="1:17" x14ac:dyDescent="0.2">
      <c r="A364">
        <v>28</v>
      </c>
      <c r="B364" t="s">
        <v>75</v>
      </c>
      <c r="C364" t="s">
        <v>72</v>
      </c>
      <c r="D364" t="s">
        <v>72</v>
      </c>
      <c r="E364" t="s">
        <v>72</v>
      </c>
      <c r="F364" t="s">
        <v>72</v>
      </c>
      <c r="G364" t="s">
        <v>72</v>
      </c>
      <c r="H364" t="s">
        <v>72</v>
      </c>
      <c r="I364" t="s">
        <v>73</v>
      </c>
      <c r="J364" t="s">
        <v>72</v>
      </c>
      <c r="K364" t="s">
        <v>72</v>
      </c>
      <c r="L364" t="s">
        <v>72</v>
      </c>
      <c r="M364" t="s">
        <v>73</v>
      </c>
      <c r="N364" t="s">
        <v>73</v>
      </c>
      <c r="O364" t="s">
        <v>72</v>
      </c>
      <c r="P364" t="s">
        <v>72</v>
      </c>
      <c r="Q364" t="s">
        <v>74</v>
      </c>
    </row>
    <row r="365" spans="1:17" x14ac:dyDescent="0.2">
      <c r="A365">
        <v>68</v>
      </c>
      <c r="B365" t="s">
        <v>75</v>
      </c>
      <c r="C365" t="s">
        <v>73</v>
      </c>
      <c r="D365" t="s">
        <v>73</v>
      </c>
      <c r="E365" t="s">
        <v>72</v>
      </c>
      <c r="F365" t="s">
        <v>73</v>
      </c>
      <c r="G365" t="s">
        <v>73</v>
      </c>
      <c r="H365" t="s">
        <v>72</v>
      </c>
      <c r="I365" t="s">
        <v>73</v>
      </c>
      <c r="J365" t="s">
        <v>73</v>
      </c>
      <c r="K365" t="s">
        <v>72</v>
      </c>
      <c r="L365" t="s">
        <v>73</v>
      </c>
      <c r="M365" t="s">
        <v>73</v>
      </c>
      <c r="N365" t="s">
        <v>72</v>
      </c>
      <c r="O365" t="s">
        <v>72</v>
      </c>
      <c r="P365" t="s">
        <v>72</v>
      </c>
      <c r="Q365" t="s">
        <v>74</v>
      </c>
    </row>
    <row r="366" spans="1:17" x14ac:dyDescent="0.2">
      <c r="A366">
        <v>35</v>
      </c>
      <c r="B366" t="s">
        <v>75</v>
      </c>
      <c r="C366" t="s">
        <v>72</v>
      </c>
      <c r="D366" t="s">
        <v>72</v>
      </c>
      <c r="E366" t="s">
        <v>72</v>
      </c>
      <c r="F366" t="s">
        <v>72</v>
      </c>
      <c r="G366" t="s">
        <v>72</v>
      </c>
      <c r="H366" t="s">
        <v>72</v>
      </c>
      <c r="I366" t="s">
        <v>72</v>
      </c>
      <c r="J366" t="s">
        <v>72</v>
      </c>
      <c r="K366" t="s">
        <v>72</v>
      </c>
      <c r="L366" t="s">
        <v>72</v>
      </c>
      <c r="M366" t="s">
        <v>72</v>
      </c>
      <c r="N366" t="s">
        <v>72</v>
      </c>
      <c r="O366" t="s">
        <v>72</v>
      </c>
      <c r="P366" t="s">
        <v>72</v>
      </c>
      <c r="Q366" t="s">
        <v>74</v>
      </c>
    </row>
    <row r="367" spans="1:17" x14ac:dyDescent="0.2">
      <c r="A367">
        <v>45</v>
      </c>
      <c r="B367" t="s">
        <v>75</v>
      </c>
      <c r="C367" t="s">
        <v>72</v>
      </c>
      <c r="D367" t="s">
        <v>72</v>
      </c>
      <c r="E367" t="s">
        <v>72</v>
      </c>
      <c r="F367" t="s">
        <v>72</v>
      </c>
      <c r="G367" t="s">
        <v>73</v>
      </c>
      <c r="H367" t="s">
        <v>72</v>
      </c>
      <c r="I367" t="s">
        <v>73</v>
      </c>
      <c r="J367" t="s">
        <v>73</v>
      </c>
      <c r="K367" t="s">
        <v>72</v>
      </c>
      <c r="L367" t="s">
        <v>72</v>
      </c>
      <c r="M367" t="s">
        <v>73</v>
      </c>
      <c r="N367" t="s">
        <v>72</v>
      </c>
      <c r="O367" t="s">
        <v>72</v>
      </c>
      <c r="P367" t="s">
        <v>72</v>
      </c>
      <c r="Q367" t="s">
        <v>74</v>
      </c>
    </row>
    <row r="368" spans="1:17" x14ac:dyDescent="0.2">
      <c r="A368">
        <v>48</v>
      </c>
      <c r="B368" t="s">
        <v>75</v>
      </c>
      <c r="C368" t="s">
        <v>73</v>
      </c>
      <c r="D368" t="s">
        <v>73</v>
      </c>
      <c r="E368" t="s">
        <v>73</v>
      </c>
      <c r="F368" t="s">
        <v>73</v>
      </c>
      <c r="G368" t="s">
        <v>73</v>
      </c>
      <c r="H368" t="s">
        <v>72</v>
      </c>
      <c r="I368" t="s">
        <v>73</v>
      </c>
      <c r="J368" t="s">
        <v>73</v>
      </c>
      <c r="K368" t="s">
        <v>73</v>
      </c>
      <c r="L368" t="s">
        <v>73</v>
      </c>
      <c r="M368" t="s">
        <v>73</v>
      </c>
      <c r="N368" t="s">
        <v>73</v>
      </c>
      <c r="O368" t="s">
        <v>72</v>
      </c>
      <c r="P368" t="s">
        <v>72</v>
      </c>
      <c r="Q368" t="s">
        <v>74</v>
      </c>
    </row>
    <row r="369" spans="1:17" x14ac:dyDescent="0.2">
      <c r="A369">
        <v>40</v>
      </c>
      <c r="B369" t="s">
        <v>75</v>
      </c>
      <c r="C369" t="s">
        <v>73</v>
      </c>
      <c r="D369" t="s">
        <v>73</v>
      </c>
      <c r="E369" t="s">
        <v>73</v>
      </c>
      <c r="F369" t="s">
        <v>73</v>
      </c>
      <c r="G369" t="s">
        <v>72</v>
      </c>
      <c r="H369" t="s">
        <v>72</v>
      </c>
      <c r="I369" t="s">
        <v>73</v>
      </c>
      <c r="J369" t="s">
        <v>72</v>
      </c>
      <c r="K369" t="s">
        <v>72</v>
      </c>
      <c r="L369" t="s">
        <v>73</v>
      </c>
      <c r="M369" t="s">
        <v>73</v>
      </c>
      <c r="N369" t="s">
        <v>73</v>
      </c>
      <c r="O369" t="s">
        <v>72</v>
      </c>
      <c r="P369" t="s">
        <v>72</v>
      </c>
      <c r="Q369" t="s">
        <v>74</v>
      </c>
    </row>
    <row r="370" spans="1:17" x14ac:dyDescent="0.2">
      <c r="A370">
        <v>57</v>
      </c>
      <c r="B370" t="s">
        <v>71</v>
      </c>
      <c r="C370" t="s">
        <v>73</v>
      </c>
      <c r="D370" t="s">
        <v>73</v>
      </c>
      <c r="E370" t="s">
        <v>73</v>
      </c>
      <c r="F370" t="s">
        <v>73</v>
      </c>
      <c r="G370" t="s">
        <v>73</v>
      </c>
      <c r="H370" t="s">
        <v>72</v>
      </c>
      <c r="I370" t="s">
        <v>73</v>
      </c>
      <c r="J370" t="s">
        <v>72</v>
      </c>
      <c r="K370" t="s">
        <v>72</v>
      </c>
      <c r="L370" t="s">
        <v>72</v>
      </c>
      <c r="M370" t="s">
        <v>73</v>
      </c>
      <c r="N370" t="s">
        <v>72</v>
      </c>
      <c r="O370" t="s">
        <v>72</v>
      </c>
      <c r="P370" t="s">
        <v>72</v>
      </c>
      <c r="Q370" t="s">
        <v>74</v>
      </c>
    </row>
    <row r="371" spans="1:17" x14ac:dyDescent="0.2">
      <c r="A371">
        <v>47</v>
      </c>
      <c r="B371" t="s">
        <v>71</v>
      </c>
      <c r="C371" t="s">
        <v>72</v>
      </c>
      <c r="D371" t="s">
        <v>72</v>
      </c>
      <c r="E371" t="s">
        <v>72</v>
      </c>
      <c r="F371" t="s">
        <v>72</v>
      </c>
      <c r="G371" t="s">
        <v>72</v>
      </c>
      <c r="H371" t="s">
        <v>72</v>
      </c>
      <c r="I371" t="s">
        <v>72</v>
      </c>
      <c r="J371" t="s">
        <v>73</v>
      </c>
      <c r="K371" t="s">
        <v>72</v>
      </c>
      <c r="L371" t="s">
        <v>72</v>
      </c>
      <c r="M371" t="s">
        <v>72</v>
      </c>
      <c r="N371" t="s">
        <v>72</v>
      </c>
      <c r="O371" t="s">
        <v>73</v>
      </c>
      <c r="P371" t="s">
        <v>72</v>
      </c>
      <c r="Q371" t="s">
        <v>76</v>
      </c>
    </row>
    <row r="372" spans="1:17" x14ac:dyDescent="0.2">
      <c r="A372">
        <v>45</v>
      </c>
      <c r="B372" t="s">
        <v>71</v>
      </c>
      <c r="C372" t="s">
        <v>72</v>
      </c>
      <c r="D372" t="s">
        <v>72</v>
      </c>
      <c r="E372" t="s">
        <v>72</v>
      </c>
      <c r="F372" t="s">
        <v>72</v>
      </c>
      <c r="G372" t="s">
        <v>73</v>
      </c>
      <c r="H372" t="s">
        <v>73</v>
      </c>
      <c r="I372" t="s">
        <v>72</v>
      </c>
      <c r="J372" t="s">
        <v>72</v>
      </c>
      <c r="K372" t="s">
        <v>72</v>
      </c>
      <c r="L372" t="s">
        <v>72</v>
      </c>
      <c r="M372" t="s">
        <v>72</v>
      </c>
      <c r="N372" t="s">
        <v>72</v>
      </c>
      <c r="O372" t="s">
        <v>72</v>
      </c>
      <c r="P372" t="s">
        <v>72</v>
      </c>
      <c r="Q372" t="s">
        <v>76</v>
      </c>
    </row>
    <row r="373" spans="1:17" x14ac:dyDescent="0.2">
      <c r="A373">
        <v>57</v>
      </c>
      <c r="B373" t="s">
        <v>71</v>
      </c>
      <c r="C373" t="s">
        <v>72</v>
      </c>
      <c r="D373" t="s">
        <v>72</v>
      </c>
      <c r="E373" t="s">
        <v>72</v>
      </c>
      <c r="F373" t="s">
        <v>72</v>
      </c>
      <c r="G373" t="s">
        <v>73</v>
      </c>
      <c r="H373" t="s">
        <v>72</v>
      </c>
      <c r="I373" t="s">
        <v>73</v>
      </c>
      <c r="J373" t="s">
        <v>72</v>
      </c>
      <c r="K373" t="s">
        <v>72</v>
      </c>
      <c r="L373" t="s">
        <v>72</v>
      </c>
      <c r="M373" t="s">
        <v>72</v>
      </c>
      <c r="N373" t="s">
        <v>73</v>
      </c>
      <c r="O373" t="s">
        <v>72</v>
      </c>
      <c r="P373" t="s">
        <v>72</v>
      </c>
      <c r="Q373" t="s">
        <v>76</v>
      </c>
    </row>
    <row r="374" spans="1:17" x14ac:dyDescent="0.2">
      <c r="A374">
        <v>72</v>
      </c>
      <c r="B374" t="s">
        <v>71</v>
      </c>
      <c r="C374" t="s">
        <v>73</v>
      </c>
      <c r="D374" t="s">
        <v>72</v>
      </c>
      <c r="E374" t="s">
        <v>72</v>
      </c>
      <c r="F374" t="s">
        <v>72</v>
      </c>
      <c r="G374" t="s">
        <v>73</v>
      </c>
      <c r="H374" t="s">
        <v>72</v>
      </c>
      <c r="I374" t="s">
        <v>73</v>
      </c>
      <c r="J374" t="s">
        <v>73</v>
      </c>
      <c r="K374" t="s">
        <v>72</v>
      </c>
      <c r="L374" t="s">
        <v>73</v>
      </c>
      <c r="M374" t="s">
        <v>73</v>
      </c>
      <c r="N374" t="s">
        <v>73</v>
      </c>
      <c r="O374" t="s">
        <v>73</v>
      </c>
      <c r="P374" t="s">
        <v>72</v>
      </c>
      <c r="Q374" t="s">
        <v>76</v>
      </c>
    </row>
    <row r="375" spans="1:17" x14ac:dyDescent="0.2">
      <c r="A375">
        <v>30</v>
      </c>
      <c r="B375" t="s">
        <v>71</v>
      </c>
      <c r="C375" t="s">
        <v>72</v>
      </c>
      <c r="D375" t="s">
        <v>72</v>
      </c>
      <c r="E375" t="s">
        <v>72</v>
      </c>
      <c r="F375" t="s">
        <v>72</v>
      </c>
      <c r="G375" t="s">
        <v>72</v>
      </c>
      <c r="H375" t="s">
        <v>72</v>
      </c>
      <c r="I375" t="s">
        <v>72</v>
      </c>
      <c r="J375" t="s">
        <v>72</v>
      </c>
      <c r="K375" t="s">
        <v>72</v>
      </c>
      <c r="L375" t="s">
        <v>72</v>
      </c>
      <c r="M375" t="s">
        <v>72</v>
      </c>
      <c r="N375" t="s">
        <v>72</v>
      </c>
      <c r="O375" t="s">
        <v>72</v>
      </c>
      <c r="P375" t="s">
        <v>72</v>
      </c>
      <c r="Q375" t="s">
        <v>76</v>
      </c>
    </row>
    <row r="376" spans="1:17" x14ac:dyDescent="0.2">
      <c r="A376">
        <v>27</v>
      </c>
      <c r="B376" t="s">
        <v>71</v>
      </c>
      <c r="C376" t="s">
        <v>72</v>
      </c>
      <c r="D376" t="s">
        <v>72</v>
      </c>
      <c r="E376" t="s">
        <v>72</v>
      </c>
      <c r="F376" t="s">
        <v>72</v>
      </c>
      <c r="G376" t="s">
        <v>72</v>
      </c>
      <c r="H376" t="s">
        <v>72</v>
      </c>
      <c r="I376" t="s">
        <v>72</v>
      </c>
      <c r="J376" t="s">
        <v>72</v>
      </c>
      <c r="K376" t="s">
        <v>72</v>
      </c>
      <c r="L376" t="s">
        <v>72</v>
      </c>
      <c r="M376" t="s">
        <v>72</v>
      </c>
      <c r="N376" t="s">
        <v>72</v>
      </c>
      <c r="O376" t="s">
        <v>72</v>
      </c>
      <c r="P376" t="s">
        <v>72</v>
      </c>
      <c r="Q376" t="s">
        <v>76</v>
      </c>
    </row>
    <row r="377" spans="1:17" x14ac:dyDescent="0.2">
      <c r="A377">
        <v>38</v>
      </c>
      <c r="B377" t="s">
        <v>71</v>
      </c>
      <c r="C377" t="s">
        <v>72</v>
      </c>
      <c r="D377" t="s">
        <v>72</v>
      </c>
      <c r="E377" t="s">
        <v>72</v>
      </c>
      <c r="F377" t="s">
        <v>72</v>
      </c>
      <c r="G377" t="s">
        <v>72</v>
      </c>
      <c r="H377" t="s">
        <v>72</v>
      </c>
      <c r="I377" t="s">
        <v>72</v>
      </c>
      <c r="J377" t="s">
        <v>72</v>
      </c>
      <c r="K377" t="s">
        <v>72</v>
      </c>
      <c r="L377" t="s">
        <v>72</v>
      </c>
      <c r="M377" t="s">
        <v>72</v>
      </c>
      <c r="N377" t="s">
        <v>72</v>
      </c>
      <c r="O377" t="s">
        <v>72</v>
      </c>
      <c r="P377" t="s">
        <v>72</v>
      </c>
      <c r="Q377" t="s">
        <v>76</v>
      </c>
    </row>
    <row r="378" spans="1:17" x14ac:dyDescent="0.2">
      <c r="A378">
        <v>43</v>
      </c>
      <c r="B378" t="s">
        <v>71</v>
      </c>
      <c r="C378" t="s">
        <v>72</v>
      </c>
      <c r="D378" t="s">
        <v>72</v>
      </c>
      <c r="E378" t="s">
        <v>72</v>
      </c>
      <c r="F378" t="s">
        <v>73</v>
      </c>
      <c r="G378" t="s">
        <v>72</v>
      </c>
      <c r="H378" t="s">
        <v>73</v>
      </c>
      <c r="I378" t="s">
        <v>72</v>
      </c>
      <c r="J378" t="s">
        <v>73</v>
      </c>
      <c r="K378" t="s">
        <v>72</v>
      </c>
      <c r="L378" t="s">
        <v>73</v>
      </c>
      <c r="M378" t="s">
        <v>72</v>
      </c>
      <c r="N378" t="s">
        <v>72</v>
      </c>
      <c r="O378" t="s">
        <v>73</v>
      </c>
      <c r="P378" t="s">
        <v>72</v>
      </c>
      <c r="Q378" t="s">
        <v>76</v>
      </c>
    </row>
    <row r="379" spans="1:17" x14ac:dyDescent="0.2">
      <c r="A379">
        <v>40</v>
      </c>
      <c r="B379" t="s">
        <v>71</v>
      </c>
      <c r="C379" t="s">
        <v>72</v>
      </c>
      <c r="D379" t="s">
        <v>72</v>
      </c>
      <c r="E379" t="s">
        <v>73</v>
      </c>
      <c r="F379" t="s">
        <v>72</v>
      </c>
      <c r="G379" t="s">
        <v>72</v>
      </c>
      <c r="H379" t="s">
        <v>72</v>
      </c>
      <c r="I379" t="s">
        <v>72</v>
      </c>
      <c r="J379" t="s">
        <v>72</v>
      </c>
      <c r="K379" t="s">
        <v>72</v>
      </c>
      <c r="L379" t="s">
        <v>72</v>
      </c>
      <c r="M379" t="s">
        <v>72</v>
      </c>
      <c r="N379" t="s">
        <v>72</v>
      </c>
      <c r="O379" t="s">
        <v>72</v>
      </c>
      <c r="P379" t="s">
        <v>73</v>
      </c>
      <c r="Q379" t="s">
        <v>76</v>
      </c>
    </row>
    <row r="380" spans="1:17" x14ac:dyDescent="0.2">
      <c r="A380">
        <v>47</v>
      </c>
      <c r="B380" t="s">
        <v>71</v>
      </c>
      <c r="C380" t="s">
        <v>73</v>
      </c>
      <c r="D380" t="s">
        <v>73</v>
      </c>
      <c r="E380" t="s">
        <v>72</v>
      </c>
      <c r="F380" t="s">
        <v>72</v>
      </c>
      <c r="G380" t="s">
        <v>72</v>
      </c>
      <c r="H380" t="s">
        <v>72</v>
      </c>
      <c r="I380" t="s">
        <v>72</v>
      </c>
      <c r="J380" t="s">
        <v>72</v>
      </c>
      <c r="K380" t="s">
        <v>72</v>
      </c>
      <c r="L380" t="s">
        <v>72</v>
      </c>
      <c r="M380" t="s">
        <v>72</v>
      </c>
      <c r="N380" t="s">
        <v>73</v>
      </c>
      <c r="O380" t="s">
        <v>72</v>
      </c>
      <c r="P380" t="s">
        <v>72</v>
      </c>
      <c r="Q380" t="s">
        <v>74</v>
      </c>
    </row>
    <row r="381" spans="1:17" x14ac:dyDescent="0.2">
      <c r="A381">
        <v>62</v>
      </c>
      <c r="B381" t="s">
        <v>71</v>
      </c>
      <c r="C381" t="s">
        <v>73</v>
      </c>
      <c r="D381" t="s">
        <v>73</v>
      </c>
      <c r="E381" t="s">
        <v>72</v>
      </c>
      <c r="F381" t="s">
        <v>72</v>
      </c>
      <c r="G381" t="s">
        <v>73</v>
      </c>
      <c r="H381" t="s">
        <v>72</v>
      </c>
      <c r="I381" t="s">
        <v>73</v>
      </c>
      <c r="J381" t="s">
        <v>72</v>
      </c>
      <c r="K381" t="s">
        <v>73</v>
      </c>
      <c r="L381" t="s">
        <v>73</v>
      </c>
      <c r="M381" t="s">
        <v>73</v>
      </c>
      <c r="N381" t="s">
        <v>72</v>
      </c>
      <c r="O381" t="s">
        <v>73</v>
      </c>
      <c r="P381" t="s">
        <v>72</v>
      </c>
      <c r="Q381" t="s">
        <v>74</v>
      </c>
    </row>
    <row r="382" spans="1:17" x14ac:dyDescent="0.2">
      <c r="A382">
        <v>49</v>
      </c>
      <c r="B382" t="s">
        <v>71</v>
      </c>
      <c r="C382" t="s">
        <v>73</v>
      </c>
      <c r="D382" t="s">
        <v>73</v>
      </c>
      <c r="E382" t="s">
        <v>73</v>
      </c>
      <c r="F382" t="s">
        <v>72</v>
      </c>
      <c r="G382" t="s">
        <v>72</v>
      </c>
      <c r="H382" t="s">
        <v>72</v>
      </c>
      <c r="I382" t="s">
        <v>72</v>
      </c>
      <c r="J382" t="s">
        <v>73</v>
      </c>
      <c r="K382" t="s">
        <v>72</v>
      </c>
      <c r="L382" t="s">
        <v>72</v>
      </c>
      <c r="M382" t="s">
        <v>72</v>
      </c>
      <c r="N382" t="s">
        <v>72</v>
      </c>
      <c r="O382" t="s">
        <v>72</v>
      </c>
      <c r="P382" t="s">
        <v>72</v>
      </c>
      <c r="Q382" t="s">
        <v>74</v>
      </c>
    </row>
    <row r="383" spans="1:17" x14ac:dyDescent="0.2">
      <c r="A383">
        <v>53</v>
      </c>
      <c r="B383" t="s">
        <v>71</v>
      </c>
      <c r="C383" t="s">
        <v>73</v>
      </c>
      <c r="D383" t="s">
        <v>72</v>
      </c>
      <c r="E383" t="s">
        <v>73</v>
      </c>
      <c r="F383" t="s">
        <v>72</v>
      </c>
      <c r="G383" t="s">
        <v>72</v>
      </c>
      <c r="H383" t="s">
        <v>72</v>
      </c>
      <c r="I383" t="s">
        <v>72</v>
      </c>
      <c r="J383" t="s">
        <v>72</v>
      </c>
      <c r="K383" t="s">
        <v>72</v>
      </c>
      <c r="L383" t="s">
        <v>73</v>
      </c>
      <c r="M383" t="s">
        <v>73</v>
      </c>
      <c r="N383" t="s">
        <v>72</v>
      </c>
      <c r="O383" t="s">
        <v>72</v>
      </c>
      <c r="P383" t="s">
        <v>72</v>
      </c>
      <c r="Q383" t="s">
        <v>74</v>
      </c>
    </row>
    <row r="384" spans="1:17" x14ac:dyDescent="0.2">
      <c r="A384">
        <v>68</v>
      </c>
      <c r="B384" t="s">
        <v>71</v>
      </c>
      <c r="C384" t="s">
        <v>73</v>
      </c>
      <c r="D384" t="s">
        <v>73</v>
      </c>
      <c r="E384" t="s">
        <v>72</v>
      </c>
      <c r="F384" t="s">
        <v>72</v>
      </c>
      <c r="G384" t="s">
        <v>73</v>
      </c>
      <c r="H384" t="s">
        <v>72</v>
      </c>
      <c r="I384" t="s">
        <v>73</v>
      </c>
      <c r="J384" t="s">
        <v>73</v>
      </c>
      <c r="K384" t="s">
        <v>73</v>
      </c>
      <c r="L384" t="s">
        <v>72</v>
      </c>
      <c r="M384" t="s">
        <v>73</v>
      </c>
      <c r="N384" t="s">
        <v>72</v>
      </c>
      <c r="O384" t="s">
        <v>72</v>
      </c>
      <c r="P384" t="s">
        <v>72</v>
      </c>
      <c r="Q384" t="s">
        <v>74</v>
      </c>
    </row>
    <row r="385" spans="1:17" x14ac:dyDescent="0.2">
      <c r="A385">
        <v>61</v>
      </c>
      <c r="B385" t="s">
        <v>71</v>
      </c>
      <c r="C385" t="s">
        <v>73</v>
      </c>
      <c r="D385" t="s">
        <v>72</v>
      </c>
      <c r="E385" t="s">
        <v>72</v>
      </c>
      <c r="F385" t="s">
        <v>73</v>
      </c>
      <c r="G385" t="s">
        <v>73</v>
      </c>
      <c r="H385" t="s">
        <v>73</v>
      </c>
      <c r="I385" t="s">
        <v>73</v>
      </c>
      <c r="J385" t="s">
        <v>73</v>
      </c>
      <c r="K385" t="s">
        <v>73</v>
      </c>
      <c r="L385" t="s">
        <v>73</v>
      </c>
      <c r="M385" t="s">
        <v>73</v>
      </c>
      <c r="N385" t="s">
        <v>72</v>
      </c>
      <c r="O385" t="s">
        <v>72</v>
      </c>
      <c r="P385" t="s">
        <v>72</v>
      </c>
      <c r="Q385" t="s">
        <v>74</v>
      </c>
    </row>
    <row r="386" spans="1:17" x14ac:dyDescent="0.2">
      <c r="A386">
        <v>39</v>
      </c>
      <c r="B386" t="s">
        <v>71</v>
      </c>
      <c r="C386" t="s">
        <v>73</v>
      </c>
      <c r="D386" t="s">
        <v>73</v>
      </c>
      <c r="E386" t="s">
        <v>72</v>
      </c>
      <c r="F386" t="s">
        <v>72</v>
      </c>
      <c r="G386" t="s">
        <v>72</v>
      </c>
      <c r="H386" t="s">
        <v>73</v>
      </c>
      <c r="I386" t="s">
        <v>72</v>
      </c>
      <c r="J386" t="s">
        <v>73</v>
      </c>
      <c r="K386" t="s">
        <v>72</v>
      </c>
      <c r="L386" t="s">
        <v>72</v>
      </c>
      <c r="M386" t="s">
        <v>72</v>
      </c>
      <c r="N386" t="s">
        <v>73</v>
      </c>
      <c r="O386" t="s">
        <v>72</v>
      </c>
      <c r="P386" t="s">
        <v>73</v>
      </c>
      <c r="Q386" t="s">
        <v>74</v>
      </c>
    </row>
    <row r="387" spans="1:17" x14ac:dyDescent="0.2">
      <c r="A387">
        <v>38</v>
      </c>
      <c r="B387" t="s">
        <v>71</v>
      </c>
      <c r="C387" t="s">
        <v>73</v>
      </c>
      <c r="D387" t="s">
        <v>72</v>
      </c>
      <c r="E387" t="s">
        <v>72</v>
      </c>
      <c r="F387" t="s">
        <v>72</v>
      </c>
      <c r="G387" t="s">
        <v>72</v>
      </c>
      <c r="H387" t="s">
        <v>73</v>
      </c>
      <c r="I387" t="s">
        <v>72</v>
      </c>
      <c r="J387" t="s">
        <v>73</v>
      </c>
      <c r="K387" t="s">
        <v>72</v>
      </c>
      <c r="L387" t="s">
        <v>72</v>
      </c>
      <c r="M387" t="s">
        <v>72</v>
      </c>
      <c r="N387" t="s">
        <v>73</v>
      </c>
      <c r="O387" t="s">
        <v>72</v>
      </c>
      <c r="P387" t="s">
        <v>73</v>
      </c>
      <c r="Q387" t="s">
        <v>74</v>
      </c>
    </row>
    <row r="388" spans="1:17" x14ac:dyDescent="0.2">
      <c r="A388">
        <v>44</v>
      </c>
      <c r="B388" t="s">
        <v>71</v>
      </c>
      <c r="C388" t="s">
        <v>73</v>
      </c>
      <c r="D388" t="s">
        <v>72</v>
      </c>
      <c r="E388" t="s">
        <v>73</v>
      </c>
      <c r="F388" t="s">
        <v>73</v>
      </c>
      <c r="G388" t="s">
        <v>72</v>
      </c>
      <c r="H388" t="s">
        <v>73</v>
      </c>
      <c r="I388" t="s">
        <v>72</v>
      </c>
      <c r="J388" t="s">
        <v>73</v>
      </c>
      <c r="K388" t="s">
        <v>72</v>
      </c>
      <c r="L388" t="s">
        <v>73</v>
      </c>
      <c r="M388" t="s">
        <v>72</v>
      </c>
      <c r="N388" t="s">
        <v>72</v>
      </c>
      <c r="O388" t="s">
        <v>73</v>
      </c>
      <c r="P388" t="s">
        <v>73</v>
      </c>
      <c r="Q388" t="s">
        <v>76</v>
      </c>
    </row>
    <row r="389" spans="1:17" x14ac:dyDescent="0.2">
      <c r="A389">
        <v>36</v>
      </c>
      <c r="B389" t="s">
        <v>71</v>
      </c>
      <c r="C389" t="s">
        <v>72</v>
      </c>
      <c r="D389" t="s">
        <v>72</v>
      </c>
      <c r="E389" t="s">
        <v>72</v>
      </c>
      <c r="F389" t="s">
        <v>72</v>
      </c>
      <c r="G389" t="s">
        <v>72</v>
      </c>
      <c r="H389" t="s">
        <v>72</v>
      </c>
      <c r="I389" t="s">
        <v>72</v>
      </c>
      <c r="J389" t="s">
        <v>72</v>
      </c>
      <c r="K389" t="s">
        <v>72</v>
      </c>
      <c r="L389" t="s">
        <v>72</v>
      </c>
      <c r="M389" t="s">
        <v>72</v>
      </c>
      <c r="N389" t="s">
        <v>72</v>
      </c>
      <c r="O389" t="s">
        <v>72</v>
      </c>
      <c r="P389" t="s">
        <v>72</v>
      </c>
      <c r="Q389" t="s">
        <v>76</v>
      </c>
    </row>
    <row r="390" spans="1:17" x14ac:dyDescent="0.2">
      <c r="A390">
        <v>43</v>
      </c>
      <c r="B390" t="s">
        <v>71</v>
      </c>
      <c r="C390" t="s">
        <v>72</v>
      </c>
      <c r="D390" t="s">
        <v>72</v>
      </c>
      <c r="E390" t="s">
        <v>72</v>
      </c>
      <c r="F390" t="s">
        <v>73</v>
      </c>
      <c r="G390" t="s">
        <v>72</v>
      </c>
      <c r="H390" t="s">
        <v>73</v>
      </c>
      <c r="I390" t="s">
        <v>72</v>
      </c>
      <c r="J390" t="s">
        <v>73</v>
      </c>
      <c r="K390" t="s">
        <v>72</v>
      </c>
      <c r="L390" t="s">
        <v>72</v>
      </c>
      <c r="M390" t="s">
        <v>72</v>
      </c>
      <c r="N390" t="s">
        <v>72</v>
      </c>
      <c r="O390" t="s">
        <v>73</v>
      </c>
      <c r="P390" t="s">
        <v>72</v>
      </c>
      <c r="Q390" t="s">
        <v>76</v>
      </c>
    </row>
    <row r="391" spans="1:17" x14ac:dyDescent="0.2">
      <c r="A391">
        <v>53</v>
      </c>
      <c r="B391" t="s">
        <v>71</v>
      </c>
      <c r="C391" t="s">
        <v>72</v>
      </c>
      <c r="D391" t="s">
        <v>72</v>
      </c>
      <c r="E391" t="s">
        <v>72</v>
      </c>
      <c r="F391" t="s">
        <v>73</v>
      </c>
      <c r="G391" t="s">
        <v>72</v>
      </c>
      <c r="H391" t="s">
        <v>72</v>
      </c>
      <c r="I391" t="s">
        <v>73</v>
      </c>
      <c r="J391" t="s">
        <v>73</v>
      </c>
      <c r="K391" t="s">
        <v>72</v>
      </c>
      <c r="L391" t="s">
        <v>73</v>
      </c>
      <c r="M391" t="s">
        <v>72</v>
      </c>
      <c r="N391" t="s">
        <v>73</v>
      </c>
      <c r="O391" t="s">
        <v>73</v>
      </c>
      <c r="P391" t="s">
        <v>72</v>
      </c>
      <c r="Q391" t="s">
        <v>76</v>
      </c>
    </row>
    <row r="392" spans="1:17" x14ac:dyDescent="0.2">
      <c r="A392">
        <v>47</v>
      </c>
      <c r="B392" t="s">
        <v>71</v>
      </c>
      <c r="C392" t="s">
        <v>72</v>
      </c>
      <c r="D392" t="s">
        <v>72</v>
      </c>
      <c r="E392" t="s">
        <v>72</v>
      </c>
      <c r="F392" t="s">
        <v>72</v>
      </c>
      <c r="G392" t="s">
        <v>72</v>
      </c>
      <c r="H392" t="s">
        <v>72</v>
      </c>
      <c r="I392" t="s">
        <v>72</v>
      </c>
      <c r="J392" t="s">
        <v>72</v>
      </c>
      <c r="K392" t="s">
        <v>73</v>
      </c>
      <c r="L392" t="s">
        <v>72</v>
      </c>
      <c r="M392" t="s">
        <v>73</v>
      </c>
      <c r="N392" t="s">
        <v>72</v>
      </c>
      <c r="O392" t="s">
        <v>72</v>
      </c>
      <c r="P392" t="s">
        <v>73</v>
      </c>
      <c r="Q392" t="s">
        <v>76</v>
      </c>
    </row>
    <row r="393" spans="1:17" x14ac:dyDescent="0.2">
      <c r="A393">
        <v>58</v>
      </c>
      <c r="B393" t="s">
        <v>71</v>
      </c>
      <c r="C393" t="s">
        <v>72</v>
      </c>
      <c r="D393" t="s">
        <v>73</v>
      </c>
      <c r="E393" t="s">
        <v>72</v>
      </c>
      <c r="F393" t="s">
        <v>72</v>
      </c>
      <c r="G393" t="s">
        <v>72</v>
      </c>
      <c r="H393" t="s">
        <v>72</v>
      </c>
      <c r="I393" t="s">
        <v>73</v>
      </c>
      <c r="J393" t="s">
        <v>73</v>
      </c>
      <c r="K393" t="s">
        <v>72</v>
      </c>
      <c r="L393" t="s">
        <v>72</v>
      </c>
      <c r="M393" t="s">
        <v>72</v>
      </c>
      <c r="N393" t="s">
        <v>73</v>
      </c>
      <c r="O393" t="s">
        <v>72</v>
      </c>
      <c r="P393" t="s">
        <v>72</v>
      </c>
      <c r="Q393" t="s">
        <v>76</v>
      </c>
    </row>
    <row r="394" spans="1:17" x14ac:dyDescent="0.2">
      <c r="A394">
        <v>56</v>
      </c>
      <c r="B394" t="s">
        <v>71</v>
      </c>
      <c r="C394" t="s">
        <v>72</v>
      </c>
      <c r="D394" t="s">
        <v>72</v>
      </c>
      <c r="E394" t="s">
        <v>73</v>
      </c>
      <c r="F394" t="s">
        <v>73</v>
      </c>
      <c r="G394" t="s">
        <v>73</v>
      </c>
      <c r="H394" t="s">
        <v>72</v>
      </c>
      <c r="I394" t="s">
        <v>73</v>
      </c>
      <c r="J394" t="s">
        <v>73</v>
      </c>
      <c r="K394" t="s">
        <v>72</v>
      </c>
      <c r="L394" t="s">
        <v>73</v>
      </c>
      <c r="M394" t="s">
        <v>72</v>
      </c>
      <c r="N394" t="s">
        <v>73</v>
      </c>
      <c r="O394" t="s">
        <v>73</v>
      </c>
      <c r="P394" t="s">
        <v>72</v>
      </c>
      <c r="Q394" t="s">
        <v>76</v>
      </c>
    </row>
    <row r="395" spans="1:17" x14ac:dyDescent="0.2">
      <c r="A395">
        <v>51</v>
      </c>
      <c r="B395" t="s">
        <v>75</v>
      </c>
      <c r="C395" t="s">
        <v>72</v>
      </c>
      <c r="D395" t="s">
        <v>72</v>
      </c>
      <c r="E395" t="s">
        <v>72</v>
      </c>
      <c r="F395" t="s">
        <v>72</v>
      </c>
      <c r="G395" t="s">
        <v>72</v>
      </c>
      <c r="H395" t="s">
        <v>73</v>
      </c>
      <c r="I395" t="s">
        <v>72</v>
      </c>
      <c r="J395" t="s">
        <v>73</v>
      </c>
      <c r="K395" t="s">
        <v>72</v>
      </c>
      <c r="L395" t="s">
        <v>73</v>
      </c>
      <c r="M395" t="s">
        <v>72</v>
      </c>
      <c r="N395" t="s">
        <v>72</v>
      </c>
      <c r="O395" t="s">
        <v>73</v>
      </c>
      <c r="P395" t="s">
        <v>72</v>
      </c>
      <c r="Q395" t="s">
        <v>76</v>
      </c>
    </row>
    <row r="396" spans="1:17" x14ac:dyDescent="0.2">
      <c r="A396">
        <v>59</v>
      </c>
      <c r="B396" t="s">
        <v>75</v>
      </c>
      <c r="C396" t="s">
        <v>72</v>
      </c>
      <c r="D396" t="s">
        <v>72</v>
      </c>
      <c r="E396" t="s">
        <v>72</v>
      </c>
      <c r="F396" t="s">
        <v>73</v>
      </c>
      <c r="G396" t="s">
        <v>72</v>
      </c>
      <c r="H396" t="s">
        <v>72</v>
      </c>
      <c r="I396" t="s">
        <v>73</v>
      </c>
      <c r="J396" t="s">
        <v>73</v>
      </c>
      <c r="K396" t="s">
        <v>72</v>
      </c>
      <c r="L396" t="s">
        <v>73</v>
      </c>
      <c r="M396" t="s">
        <v>72</v>
      </c>
      <c r="N396" t="s">
        <v>73</v>
      </c>
      <c r="O396" t="s">
        <v>73</v>
      </c>
      <c r="P396" t="s">
        <v>73</v>
      </c>
      <c r="Q396" t="s">
        <v>76</v>
      </c>
    </row>
    <row r="397" spans="1:17" x14ac:dyDescent="0.2">
      <c r="A397">
        <v>50</v>
      </c>
      <c r="B397" t="s">
        <v>75</v>
      </c>
      <c r="C397" t="s">
        <v>72</v>
      </c>
      <c r="D397" t="s">
        <v>72</v>
      </c>
      <c r="E397" t="s">
        <v>72</v>
      </c>
      <c r="F397" t="s">
        <v>73</v>
      </c>
      <c r="G397" t="s">
        <v>72</v>
      </c>
      <c r="H397" t="s">
        <v>72</v>
      </c>
      <c r="I397" t="s">
        <v>73</v>
      </c>
      <c r="J397" t="s">
        <v>73</v>
      </c>
      <c r="K397" t="s">
        <v>72</v>
      </c>
      <c r="L397" t="s">
        <v>73</v>
      </c>
      <c r="M397" t="s">
        <v>72</v>
      </c>
      <c r="N397" t="s">
        <v>72</v>
      </c>
      <c r="O397" t="s">
        <v>73</v>
      </c>
      <c r="P397" t="s">
        <v>72</v>
      </c>
      <c r="Q397" t="s">
        <v>76</v>
      </c>
    </row>
    <row r="398" spans="1:17" x14ac:dyDescent="0.2">
      <c r="A398">
        <v>30</v>
      </c>
      <c r="B398" t="s">
        <v>71</v>
      </c>
      <c r="C398" t="s">
        <v>72</v>
      </c>
      <c r="D398" t="s">
        <v>72</v>
      </c>
      <c r="E398" t="s">
        <v>72</v>
      </c>
      <c r="F398" t="s">
        <v>72</v>
      </c>
      <c r="G398" t="s">
        <v>72</v>
      </c>
      <c r="H398" t="s">
        <v>72</v>
      </c>
      <c r="I398" t="s">
        <v>72</v>
      </c>
      <c r="J398" t="s">
        <v>72</v>
      </c>
      <c r="K398" t="s">
        <v>72</v>
      </c>
      <c r="L398" t="s">
        <v>72</v>
      </c>
      <c r="M398" t="s">
        <v>72</v>
      </c>
      <c r="N398" t="s">
        <v>72</v>
      </c>
      <c r="O398" t="s">
        <v>72</v>
      </c>
      <c r="P398" t="s">
        <v>72</v>
      </c>
      <c r="Q398" t="s">
        <v>76</v>
      </c>
    </row>
    <row r="399" spans="1:17" x14ac:dyDescent="0.2">
      <c r="A399">
        <v>46</v>
      </c>
      <c r="B399" t="s">
        <v>71</v>
      </c>
      <c r="C399" t="s">
        <v>72</v>
      </c>
      <c r="D399" t="s">
        <v>72</v>
      </c>
      <c r="E399" t="s">
        <v>72</v>
      </c>
      <c r="F399" t="s">
        <v>73</v>
      </c>
      <c r="G399" t="s">
        <v>72</v>
      </c>
      <c r="H399" t="s">
        <v>72</v>
      </c>
      <c r="I399" t="s">
        <v>72</v>
      </c>
      <c r="J399" t="s">
        <v>73</v>
      </c>
      <c r="K399" t="s">
        <v>72</v>
      </c>
      <c r="L399" t="s">
        <v>73</v>
      </c>
      <c r="M399" t="s">
        <v>72</v>
      </c>
      <c r="N399" t="s">
        <v>72</v>
      </c>
      <c r="O399" t="s">
        <v>73</v>
      </c>
      <c r="P399" t="s">
        <v>72</v>
      </c>
      <c r="Q399" t="s">
        <v>76</v>
      </c>
    </row>
    <row r="400" spans="1:17" x14ac:dyDescent="0.2">
      <c r="A400">
        <v>53</v>
      </c>
      <c r="B400" t="s">
        <v>71</v>
      </c>
      <c r="C400" t="s">
        <v>72</v>
      </c>
      <c r="D400" t="s">
        <v>72</v>
      </c>
      <c r="E400" t="s">
        <v>72</v>
      </c>
      <c r="F400" t="s">
        <v>73</v>
      </c>
      <c r="G400" t="s">
        <v>73</v>
      </c>
      <c r="H400" t="s">
        <v>72</v>
      </c>
      <c r="I400" t="s">
        <v>73</v>
      </c>
      <c r="J400" t="s">
        <v>73</v>
      </c>
      <c r="K400" t="s">
        <v>72</v>
      </c>
      <c r="L400" t="s">
        <v>73</v>
      </c>
      <c r="M400" t="s">
        <v>73</v>
      </c>
      <c r="N400" t="s">
        <v>73</v>
      </c>
      <c r="O400" t="s">
        <v>73</v>
      </c>
      <c r="P400" t="s">
        <v>72</v>
      </c>
      <c r="Q400" t="s">
        <v>76</v>
      </c>
    </row>
    <row r="401" spans="1:17" x14ac:dyDescent="0.2">
      <c r="A401">
        <v>64</v>
      </c>
      <c r="B401" t="s">
        <v>71</v>
      </c>
      <c r="C401" t="s">
        <v>72</v>
      </c>
      <c r="D401" t="s">
        <v>72</v>
      </c>
      <c r="E401" t="s">
        <v>72</v>
      </c>
      <c r="F401" t="s">
        <v>73</v>
      </c>
      <c r="G401" t="s">
        <v>73</v>
      </c>
      <c r="H401" t="s">
        <v>72</v>
      </c>
      <c r="I401" t="s">
        <v>73</v>
      </c>
      <c r="J401" t="s">
        <v>73</v>
      </c>
      <c r="K401" t="s">
        <v>73</v>
      </c>
      <c r="L401" t="s">
        <v>73</v>
      </c>
      <c r="M401" t="s">
        <v>72</v>
      </c>
      <c r="N401" t="s">
        <v>73</v>
      </c>
      <c r="O401" t="s">
        <v>73</v>
      </c>
      <c r="P401" t="s">
        <v>72</v>
      </c>
      <c r="Q401" t="s">
        <v>76</v>
      </c>
    </row>
    <row r="402" spans="1:17" x14ac:dyDescent="0.2">
      <c r="A402">
        <v>44</v>
      </c>
      <c r="B402" t="s">
        <v>71</v>
      </c>
      <c r="C402" t="s">
        <v>73</v>
      </c>
      <c r="D402" t="s">
        <v>72</v>
      </c>
      <c r="E402" t="s">
        <v>73</v>
      </c>
      <c r="F402" t="s">
        <v>73</v>
      </c>
      <c r="G402" t="s">
        <v>72</v>
      </c>
      <c r="H402" t="s">
        <v>73</v>
      </c>
      <c r="I402" t="s">
        <v>72</v>
      </c>
      <c r="J402" t="s">
        <v>73</v>
      </c>
      <c r="K402" t="s">
        <v>72</v>
      </c>
      <c r="L402" t="s">
        <v>73</v>
      </c>
      <c r="M402" t="s">
        <v>72</v>
      </c>
      <c r="N402" t="s">
        <v>72</v>
      </c>
      <c r="O402" t="s">
        <v>73</v>
      </c>
      <c r="P402" t="s">
        <v>73</v>
      </c>
      <c r="Q402" t="s">
        <v>76</v>
      </c>
    </row>
    <row r="403" spans="1:17" x14ac:dyDescent="0.2">
      <c r="A403">
        <v>36</v>
      </c>
      <c r="B403" t="s">
        <v>71</v>
      </c>
      <c r="C403" t="s">
        <v>72</v>
      </c>
      <c r="D403" t="s">
        <v>72</v>
      </c>
      <c r="E403" t="s">
        <v>72</v>
      </c>
      <c r="F403" t="s">
        <v>72</v>
      </c>
      <c r="G403" t="s">
        <v>72</v>
      </c>
      <c r="H403" t="s">
        <v>72</v>
      </c>
      <c r="I403" t="s">
        <v>72</v>
      </c>
      <c r="J403" t="s">
        <v>72</v>
      </c>
      <c r="K403" t="s">
        <v>72</v>
      </c>
      <c r="L403" t="s">
        <v>72</v>
      </c>
      <c r="M403" t="s">
        <v>72</v>
      </c>
      <c r="N403" t="s">
        <v>72</v>
      </c>
      <c r="O403" t="s">
        <v>72</v>
      </c>
      <c r="P403" t="s">
        <v>72</v>
      </c>
      <c r="Q403" t="s">
        <v>76</v>
      </c>
    </row>
    <row r="404" spans="1:17" x14ac:dyDescent="0.2">
      <c r="A404">
        <v>43</v>
      </c>
      <c r="B404" t="s">
        <v>71</v>
      </c>
      <c r="C404" t="s">
        <v>72</v>
      </c>
      <c r="D404" t="s">
        <v>72</v>
      </c>
      <c r="E404" t="s">
        <v>72</v>
      </c>
      <c r="F404" t="s">
        <v>73</v>
      </c>
      <c r="G404" t="s">
        <v>72</v>
      </c>
      <c r="H404" t="s">
        <v>73</v>
      </c>
      <c r="I404" t="s">
        <v>72</v>
      </c>
      <c r="J404" t="s">
        <v>73</v>
      </c>
      <c r="K404" t="s">
        <v>72</v>
      </c>
      <c r="L404" t="s">
        <v>72</v>
      </c>
      <c r="M404" t="s">
        <v>72</v>
      </c>
      <c r="N404" t="s">
        <v>72</v>
      </c>
      <c r="O404" t="s">
        <v>73</v>
      </c>
      <c r="P404" t="s">
        <v>72</v>
      </c>
      <c r="Q404" t="s">
        <v>76</v>
      </c>
    </row>
    <row r="405" spans="1:17" x14ac:dyDescent="0.2">
      <c r="A405">
        <v>53</v>
      </c>
      <c r="B405" t="s">
        <v>71</v>
      </c>
      <c r="C405" t="s">
        <v>72</v>
      </c>
      <c r="D405" t="s">
        <v>72</v>
      </c>
      <c r="E405" t="s">
        <v>72</v>
      </c>
      <c r="F405" t="s">
        <v>73</v>
      </c>
      <c r="G405" t="s">
        <v>72</v>
      </c>
      <c r="H405" t="s">
        <v>72</v>
      </c>
      <c r="I405" t="s">
        <v>73</v>
      </c>
      <c r="J405" t="s">
        <v>73</v>
      </c>
      <c r="K405" t="s">
        <v>72</v>
      </c>
      <c r="L405" t="s">
        <v>73</v>
      </c>
      <c r="M405" t="s">
        <v>72</v>
      </c>
      <c r="N405" t="s">
        <v>73</v>
      </c>
      <c r="O405" t="s">
        <v>73</v>
      </c>
      <c r="P405" t="s">
        <v>72</v>
      </c>
      <c r="Q405" t="s">
        <v>76</v>
      </c>
    </row>
    <row r="406" spans="1:17" x14ac:dyDescent="0.2">
      <c r="A406">
        <v>47</v>
      </c>
      <c r="B406" t="s">
        <v>71</v>
      </c>
      <c r="C406" t="s">
        <v>72</v>
      </c>
      <c r="D406" t="s">
        <v>72</v>
      </c>
      <c r="E406" t="s">
        <v>72</v>
      </c>
      <c r="F406" t="s">
        <v>72</v>
      </c>
      <c r="G406" t="s">
        <v>72</v>
      </c>
      <c r="H406" t="s">
        <v>72</v>
      </c>
      <c r="I406" t="s">
        <v>72</v>
      </c>
      <c r="J406" t="s">
        <v>72</v>
      </c>
      <c r="K406" t="s">
        <v>73</v>
      </c>
      <c r="L406" t="s">
        <v>72</v>
      </c>
      <c r="M406" t="s">
        <v>73</v>
      </c>
      <c r="N406" t="s">
        <v>72</v>
      </c>
      <c r="O406" t="s">
        <v>72</v>
      </c>
      <c r="P406" t="s">
        <v>73</v>
      </c>
      <c r="Q406" t="s">
        <v>76</v>
      </c>
    </row>
    <row r="407" spans="1:17" x14ac:dyDescent="0.2">
      <c r="A407">
        <v>58</v>
      </c>
      <c r="B407" t="s">
        <v>71</v>
      </c>
      <c r="C407" t="s">
        <v>72</v>
      </c>
      <c r="D407" t="s">
        <v>73</v>
      </c>
      <c r="E407" t="s">
        <v>72</v>
      </c>
      <c r="F407" t="s">
        <v>72</v>
      </c>
      <c r="G407" t="s">
        <v>72</v>
      </c>
      <c r="H407" t="s">
        <v>72</v>
      </c>
      <c r="I407" t="s">
        <v>73</v>
      </c>
      <c r="J407" t="s">
        <v>73</v>
      </c>
      <c r="K407" t="s">
        <v>72</v>
      </c>
      <c r="L407" t="s">
        <v>72</v>
      </c>
      <c r="M407" t="s">
        <v>72</v>
      </c>
      <c r="N407" t="s">
        <v>73</v>
      </c>
      <c r="O407" t="s">
        <v>72</v>
      </c>
      <c r="P407" t="s">
        <v>72</v>
      </c>
      <c r="Q407" t="s">
        <v>76</v>
      </c>
    </row>
    <row r="408" spans="1:17" x14ac:dyDescent="0.2">
      <c r="A408">
        <v>56</v>
      </c>
      <c r="B408" t="s">
        <v>71</v>
      </c>
      <c r="C408" t="s">
        <v>72</v>
      </c>
      <c r="D408" t="s">
        <v>72</v>
      </c>
      <c r="E408" t="s">
        <v>73</v>
      </c>
      <c r="F408" t="s">
        <v>73</v>
      </c>
      <c r="G408" t="s">
        <v>73</v>
      </c>
      <c r="H408" t="s">
        <v>72</v>
      </c>
      <c r="I408" t="s">
        <v>73</v>
      </c>
      <c r="J408" t="s">
        <v>73</v>
      </c>
      <c r="K408" t="s">
        <v>72</v>
      </c>
      <c r="L408" t="s">
        <v>73</v>
      </c>
      <c r="M408" t="s">
        <v>72</v>
      </c>
      <c r="N408" t="s">
        <v>73</v>
      </c>
      <c r="O408" t="s">
        <v>73</v>
      </c>
      <c r="P408" t="s">
        <v>72</v>
      </c>
      <c r="Q408" t="s">
        <v>76</v>
      </c>
    </row>
    <row r="409" spans="1:17" x14ac:dyDescent="0.2">
      <c r="A409">
        <v>51</v>
      </c>
      <c r="B409" t="s">
        <v>75</v>
      </c>
      <c r="C409" t="s">
        <v>72</v>
      </c>
      <c r="D409" t="s">
        <v>72</v>
      </c>
      <c r="E409" t="s">
        <v>72</v>
      </c>
      <c r="F409" t="s">
        <v>72</v>
      </c>
      <c r="G409" t="s">
        <v>72</v>
      </c>
      <c r="H409" t="s">
        <v>73</v>
      </c>
      <c r="I409" t="s">
        <v>72</v>
      </c>
      <c r="J409" t="s">
        <v>73</v>
      </c>
      <c r="K409" t="s">
        <v>72</v>
      </c>
      <c r="L409" t="s">
        <v>73</v>
      </c>
      <c r="M409" t="s">
        <v>72</v>
      </c>
      <c r="N409" t="s">
        <v>72</v>
      </c>
      <c r="O409" t="s">
        <v>73</v>
      </c>
      <c r="P409" t="s">
        <v>72</v>
      </c>
      <c r="Q409" t="s">
        <v>76</v>
      </c>
    </row>
    <row r="410" spans="1:17" x14ac:dyDescent="0.2">
      <c r="A410">
        <v>59</v>
      </c>
      <c r="B410" t="s">
        <v>75</v>
      </c>
      <c r="C410" t="s">
        <v>72</v>
      </c>
      <c r="D410" t="s">
        <v>72</v>
      </c>
      <c r="E410" t="s">
        <v>72</v>
      </c>
      <c r="F410" t="s">
        <v>73</v>
      </c>
      <c r="G410" t="s">
        <v>72</v>
      </c>
      <c r="H410" t="s">
        <v>72</v>
      </c>
      <c r="I410" t="s">
        <v>73</v>
      </c>
      <c r="J410" t="s">
        <v>73</v>
      </c>
      <c r="K410" t="s">
        <v>72</v>
      </c>
      <c r="L410" t="s">
        <v>73</v>
      </c>
      <c r="M410" t="s">
        <v>72</v>
      </c>
      <c r="N410" t="s">
        <v>73</v>
      </c>
      <c r="O410" t="s">
        <v>73</v>
      </c>
      <c r="P410" t="s">
        <v>73</v>
      </c>
      <c r="Q410" t="s">
        <v>76</v>
      </c>
    </row>
    <row r="411" spans="1:17" x14ac:dyDescent="0.2">
      <c r="A411">
        <v>50</v>
      </c>
      <c r="B411" t="s">
        <v>75</v>
      </c>
      <c r="C411" t="s">
        <v>72</v>
      </c>
      <c r="D411" t="s">
        <v>72</v>
      </c>
      <c r="E411" t="s">
        <v>72</v>
      </c>
      <c r="F411" t="s">
        <v>73</v>
      </c>
      <c r="G411" t="s">
        <v>72</v>
      </c>
      <c r="H411" t="s">
        <v>72</v>
      </c>
      <c r="I411" t="s">
        <v>73</v>
      </c>
      <c r="J411" t="s">
        <v>73</v>
      </c>
      <c r="K411" t="s">
        <v>72</v>
      </c>
      <c r="L411" t="s">
        <v>73</v>
      </c>
      <c r="M411" t="s">
        <v>72</v>
      </c>
      <c r="N411" t="s">
        <v>72</v>
      </c>
      <c r="O411" t="s">
        <v>73</v>
      </c>
      <c r="P411" t="s">
        <v>72</v>
      </c>
      <c r="Q411" t="s">
        <v>76</v>
      </c>
    </row>
    <row r="412" spans="1:17" x14ac:dyDescent="0.2">
      <c r="A412">
        <v>30</v>
      </c>
      <c r="B412" t="s">
        <v>71</v>
      </c>
      <c r="C412" t="s">
        <v>72</v>
      </c>
      <c r="D412" t="s">
        <v>72</v>
      </c>
      <c r="E412" t="s">
        <v>72</v>
      </c>
      <c r="F412" t="s">
        <v>72</v>
      </c>
      <c r="G412" t="s">
        <v>72</v>
      </c>
      <c r="H412" t="s">
        <v>72</v>
      </c>
      <c r="I412" t="s">
        <v>72</v>
      </c>
      <c r="J412" t="s">
        <v>72</v>
      </c>
      <c r="K412" t="s">
        <v>72</v>
      </c>
      <c r="L412" t="s">
        <v>72</v>
      </c>
      <c r="M412" t="s">
        <v>72</v>
      </c>
      <c r="N412" t="s">
        <v>72</v>
      </c>
      <c r="O412" t="s">
        <v>72</v>
      </c>
      <c r="P412" t="s">
        <v>72</v>
      </c>
      <c r="Q412" t="s">
        <v>76</v>
      </c>
    </row>
    <row r="413" spans="1:17" x14ac:dyDescent="0.2">
      <c r="A413">
        <v>46</v>
      </c>
      <c r="B413" t="s">
        <v>71</v>
      </c>
      <c r="C413" t="s">
        <v>72</v>
      </c>
      <c r="D413" t="s">
        <v>72</v>
      </c>
      <c r="E413" t="s">
        <v>72</v>
      </c>
      <c r="F413" t="s">
        <v>73</v>
      </c>
      <c r="G413" t="s">
        <v>72</v>
      </c>
      <c r="H413" t="s">
        <v>72</v>
      </c>
      <c r="I413" t="s">
        <v>72</v>
      </c>
      <c r="J413" t="s">
        <v>73</v>
      </c>
      <c r="K413" t="s">
        <v>72</v>
      </c>
      <c r="L413" t="s">
        <v>73</v>
      </c>
      <c r="M413" t="s">
        <v>72</v>
      </c>
      <c r="N413" t="s">
        <v>72</v>
      </c>
      <c r="O413" t="s">
        <v>73</v>
      </c>
      <c r="P413" t="s">
        <v>72</v>
      </c>
      <c r="Q413" t="s">
        <v>76</v>
      </c>
    </row>
    <row r="414" spans="1:17" x14ac:dyDescent="0.2">
      <c r="A414">
        <v>53</v>
      </c>
      <c r="B414" t="s">
        <v>71</v>
      </c>
      <c r="C414" t="s">
        <v>72</v>
      </c>
      <c r="D414" t="s">
        <v>72</v>
      </c>
      <c r="E414" t="s">
        <v>72</v>
      </c>
      <c r="F414" t="s">
        <v>73</v>
      </c>
      <c r="G414" t="s">
        <v>73</v>
      </c>
      <c r="H414" t="s">
        <v>72</v>
      </c>
      <c r="I414" t="s">
        <v>73</v>
      </c>
      <c r="J414" t="s">
        <v>73</v>
      </c>
      <c r="K414" t="s">
        <v>72</v>
      </c>
      <c r="L414" t="s">
        <v>73</v>
      </c>
      <c r="M414" t="s">
        <v>73</v>
      </c>
      <c r="N414" t="s">
        <v>73</v>
      </c>
      <c r="O414" t="s">
        <v>73</v>
      </c>
      <c r="P414" t="s">
        <v>72</v>
      </c>
      <c r="Q414" t="s">
        <v>76</v>
      </c>
    </row>
    <row r="415" spans="1:17" x14ac:dyDescent="0.2">
      <c r="A415">
        <v>42</v>
      </c>
      <c r="B415" t="s">
        <v>71</v>
      </c>
      <c r="C415" t="s">
        <v>72</v>
      </c>
      <c r="D415" t="s">
        <v>72</v>
      </c>
      <c r="E415" t="s">
        <v>72</v>
      </c>
      <c r="F415" t="s">
        <v>72</v>
      </c>
      <c r="G415" t="s">
        <v>72</v>
      </c>
      <c r="H415" t="s">
        <v>72</v>
      </c>
      <c r="I415" t="s">
        <v>72</v>
      </c>
      <c r="J415" t="s">
        <v>72</v>
      </c>
      <c r="K415" t="s">
        <v>72</v>
      </c>
      <c r="L415" t="s">
        <v>72</v>
      </c>
      <c r="M415" t="s">
        <v>72</v>
      </c>
      <c r="N415" t="s">
        <v>72</v>
      </c>
      <c r="O415" t="s">
        <v>73</v>
      </c>
      <c r="P415" t="s">
        <v>72</v>
      </c>
      <c r="Q415" t="s">
        <v>76</v>
      </c>
    </row>
    <row r="416" spans="1:17" x14ac:dyDescent="0.2">
      <c r="A416">
        <v>55</v>
      </c>
      <c r="B416" t="s">
        <v>75</v>
      </c>
      <c r="C416" t="s">
        <v>73</v>
      </c>
      <c r="D416" t="s">
        <v>73</v>
      </c>
      <c r="E416" t="s">
        <v>73</v>
      </c>
      <c r="F416" t="s">
        <v>73</v>
      </c>
      <c r="G416" t="s">
        <v>72</v>
      </c>
      <c r="H416" t="s">
        <v>72</v>
      </c>
      <c r="I416" t="s">
        <v>73</v>
      </c>
      <c r="J416" t="s">
        <v>72</v>
      </c>
      <c r="K416" t="s">
        <v>72</v>
      </c>
      <c r="L416" t="s">
        <v>72</v>
      </c>
      <c r="M416" t="s">
        <v>73</v>
      </c>
      <c r="N416" t="s">
        <v>72</v>
      </c>
      <c r="O416" t="s">
        <v>72</v>
      </c>
      <c r="P416" t="s">
        <v>73</v>
      </c>
      <c r="Q416" t="s">
        <v>74</v>
      </c>
    </row>
    <row r="417" spans="1:17" x14ac:dyDescent="0.2">
      <c r="A417">
        <v>48</v>
      </c>
      <c r="B417" t="s">
        <v>75</v>
      </c>
      <c r="C417" t="s">
        <v>73</v>
      </c>
      <c r="D417" t="s">
        <v>73</v>
      </c>
      <c r="E417" t="s">
        <v>73</v>
      </c>
      <c r="F417" t="s">
        <v>73</v>
      </c>
      <c r="G417" t="s">
        <v>73</v>
      </c>
      <c r="H417" t="s">
        <v>72</v>
      </c>
      <c r="I417" t="s">
        <v>72</v>
      </c>
      <c r="J417" t="s">
        <v>72</v>
      </c>
      <c r="K417" t="s">
        <v>72</v>
      </c>
      <c r="L417" t="s">
        <v>72</v>
      </c>
      <c r="M417" t="s">
        <v>73</v>
      </c>
      <c r="N417" t="s">
        <v>72</v>
      </c>
      <c r="O417" t="s">
        <v>72</v>
      </c>
      <c r="P417" t="s">
        <v>72</v>
      </c>
      <c r="Q417" t="s">
        <v>74</v>
      </c>
    </row>
    <row r="418" spans="1:17" x14ac:dyDescent="0.2">
      <c r="A418">
        <v>55</v>
      </c>
      <c r="B418" t="s">
        <v>75</v>
      </c>
      <c r="C418" t="s">
        <v>73</v>
      </c>
      <c r="D418" t="s">
        <v>73</v>
      </c>
      <c r="E418" t="s">
        <v>73</v>
      </c>
      <c r="F418" t="s">
        <v>72</v>
      </c>
      <c r="G418" t="s">
        <v>73</v>
      </c>
      <c r="H418" t="s">
        <v>72</v>
      </c>
      <c r="I418" t="s">
        <v>72</v>
      </c>
      <c r="J418" t="s">
        <v>73</v>
      </c>
      <c r="K418" t="s">
        <v>72</v>
      </c>
      <c r="L418" t="s">
        <v>73</v>
      </c>
      <c r="M418" t="s">
        <v>73</v>
      </c>
      <c r="N418" t="s">
        <v>72</v>
      </c>
      <c r="O418" t="s">
        <v>72</v>
      </c>
      <c r="P418" t="s">
        <v>72</v>
      </c>
      <c r="Q418" t="s">
        <v>74</v>
      </c>
    </row>
    <row r="419" spans="1:17" x14ac:dyDescent="0.2">
      <c r="A419">
        <v>39</v>
      </c>
      <c r="B419" t="s">
        <v>75</v>
      </c>
      <c r="C419" t="s">
        <v>73</v>
      </c>
      <c r="D419" t="s">
        <v>73</v>
      </c>
      <c r="E419" t="s">
        <v>73</v>
      </c>
      <c r="F419" t="s">
        <v>73</v>
      </c>
      <c r="G419" t="s">
        <v>73</v>
      </c>
      <c r="H419" t="s">
        <v>72</v>
      </c>
      <c r="I419" t="s">
        <v>72</v>
      </c>
      <c r="J419" t="s">
        <v>73</v>
      </c>
      <c r="K419" t="s">
        <v>73</v>
      </c>
      <c r="L419" t="s">
        <v>73</v>
      </c>
      <c r="M419" t="s">
        <v>73</v>
      </c>
      <c r="N419" t="s">
        <v>72</v>
      </c>
      <c r="O419" t="s">
        <v>72</v>
      </c>
      <c r="P419" t="s">
        <v>72</v>
      </c>
      <c r="Q419" t="s">
        <v>74</v>
      </c>
    </row>
    <row r="420" spans="1:17" x14ac:dyDescent="0.2">
      <c r="A420">
        <v>43</v>
      </c>
      <c r="B420" t="s">
        <v>75</v>
      </c>
      <c r="C420" t="s">
        <v>73</v>
      </c>
      <c r="D420" t="s">
        <v>73</v>
      </c>
      <c r="E420" t="s">
        <v>73</v>
      </c>
      <c r="F420" t="s">
        <v>73</v>
      </c>
      <c r="G420" t="s">
        <v>73</v>
      </c>
      <c r="H420" t="s">
        <v>72</v>
      </c>
      <c r="I420" t="s">
        <v>73</v>
      </c>
      <c r="J420" t="s">
        <v>72</v>
      </c>
      <c r="K420" t="s">
        <v>72</v>
      </c>
      <c r="L420" t="s">
        <v>72</v>
      </c>
      <c r="M420" t="s">
        <v>73</v>
      </c>
      <c r="N420" t="s">
        <v>73</v>
      </c>
      <c r="O420" t="s">
        <v>72</v>
      </c>
      <c r="P420" t="s">
        <v>73</v>
      </c>
      <c r="Q420" t="s">
        <v>74</v>
      </c>
    </row>
    <row r="421" spans="1:17" x14ac:dyDescent="0.2">
      <c r="A421">
        <v>35</v>
      </c>
      <c r="B421" t="s">
        <v>75</v>
      </c>
      <c r="C421" t="s">
        <v>73</v>
      </c>
      <c r="D421" t="s">
        <v>73</v>
      </c>
      <c r="E421" t="s">
        <v>72</v>
      </c>
      <c r="F421" t="s">
        <v>73</v>
      </c>
      <c r="G421" t="s">
        <v>72</v>
      </c>
      <c r="H421" t="s">
        <v>72</v>
      </c>
      <c r="I421" t="s">
        <v>73</v>
      </c>
      <c r="J421" t="s">
        <v>72</v>
      </c>
      <c r="K421" t="s">
        <v>72</v>
      </c>
      <c r="L421" t="s">
        <v>72</v>
      </c>
      <c r="M421" t="s">
        <v>72</v>
      </c>
      <c r="N421" t="s">
        <v>72</v>
      </c>
      <c r="O421" t="s">
        <v>72</v>
      </c>
      <c r="P421" t="s">
        <v>72</v>
      </c>
      <c r="Q421" t="s">
        <v>74</v>
      </c>
    </row>
    <row r="422" spans="1:17" x14ac:dyDescent="0.2">
      <c r="A422">
        <v>47</v>
      </c>
      <c r="B422" t="s">
        <v>75</v>
      </c>
      <c r="C422" t="s">
        <v>72</v>
      </c>
      <c r="D422" t="s">
        <v>72</v>
      </c>
      <c r="E422" t="s">
        <v>73</v>
      </c>
      <c r="F422" t="s">
        <v>73</v>
      </c>
      <c r="G422" t="s">
        <v>73</v>
      </c>
      <c r="H422" t="s">
        <v>72</v>
      </c>
      <c r="I422" t="s">
        <v>72</v>
      </c>
      <c r="J422" t="s">
        <v>72</v>
      </c>
      <c r="K422" t="s">
        <v>72</v>
      </c>
      <c r="L422" t="s">
        <v>72</v>
      </c>
      <c r="M422" t="s">
        <v>72</v>
      </c>
      <c r="N422" t="s">
        <v>73</v>
      </c>
      <c r="O422" t="s">
        <v>72</v>
      </c>
      <c r="P422" t="s">
        <v>72</v>
      </c>
      <c r="Q422" t="s">
        <v>74</v>
      </c>
    </row>
    <row r="423" spans="1:17" x14ac:dyDescent="0.2">
      <c r="A423">
        <v>61</v>
      </c>
      <c r="B423" t="s">
        <v>75</v>
      </c>
      <c r="C423" t="s">
        <v>73</v>
      </c>
      <c r="D423" t="s">
        <v>72</v>
      </c>
      <c r="E423" t="s">
        <v>72</v>
      </c>
      <c r="F423" t="s">
        <v>72</v>
      </c>
      <c r="G423" t="s">
        <v>73</v>
      </c>
      <c r="H423" t="s">
        <v>72</v>
      </c>
      <c r="I423" t="s">
        <v>72</v>
      </c>
      <c r="J423" t="s">
        <v>72</v>
      </c>
      <c r="K423" t="s">
        <v>73</v>
      </c>
      <c r="L423" t="s">
        <v>72</v>
      </c>
      <c r="M423" t="s">
        <v>72</v>
      </c>
      <c r="N423" t="s">
        <v>72</v>
      </c>
      <c r="O423" t="s">
        <v>73</v>
      </c>
      <c r="P423" t="s">
        <v>72</v>
      </c>
      <c r="Q423" t="s">
        <v>74</v>
      </c>
    </row>
    <row r="424" spans="1:17" x14ac:dyDescent="0.2">
      <c r="A424">
        <v>67</v>
      </c>
      <c r="B424" t="s">
        <v>71</v>
      </c>
      <c r="C424" t="s">
        <v>72</v>
      </c>
      <c r="D424" t="s">
        <v>73</v>
      </c>
      <c r="E424" t="s">
        <v>72</v>
      </c>
      <c r="F424" t="s">
        <v>73</v>
      </c>
      <c r="G424" t="s">
        <v>73</v>
      </c>
      <c r="H424" t="s">
        <v>72</v>
      </c>
      <c r="I424" t="s">
        <v>73</v>
      </c>
      <c r="J424" t="s">
        <v>72</v>
      </c>
      <c r="K424" t="s">
        <v>73</v>
      </c>
      <c r="L424" t="s">
        <v>73</v>
      </c>
      <c r="M424" t="s">
        <v>73</v>
      </c>
      <c r="N424" t="s">
        <v>73</v>
      </c>
      <c r="O424" t="s">
        <v>73</v>
      </c>
      <c r="P424" t="s">
        <v>73</v>
      </c>
      <c r="Q424" t="s">
        <v>74</v>
      </c>
    </row>
    <row r="425" spans="1:17" x14ac:dyDescent="0.2">
      <c r="A425">
        <v>66</v>
      </c>
      <c r="B425" t="s">
        <v>71</v>
      </c>
      <c r="C425" t="s">
        <v>73</v>
      </c>
      <c r="D425" t="s">
        <v>73</v>
      </c>
      <c r="E425" t="s">
        <v>72</v>
      </c>
      <c r="F425" t="s">
        <v>73</v>
      </c>
      <c r="G425" t="s">
        <v>73</v>
      </c>
      <c r="H425" t="s">
        <v>72</v>
      </c>
      <c r="I425" t="s">
        <v>73</v>
      </c>
      <c r="J425" t="s">
        <v>72</v>
      </c>
      <c r="K425" t="s">
        <v>72</v>
      </c>
      <c r="L425" t="s">
        <v>72</v>
      </c>
      <c r="M425" t="s">
        <v>73</v>
      </c>
      <c r="N425" t="s">
        <v>73</v>
      </c>
      <c r="O425" t="s">
        <v>72</v>
      </c>
      <c r="P425" t="s">
        <v>72</v>
      </c>
      <c r="Q425" t="s">
        <v>74</v>
      </c>
    </row>
    <row r="426" spans="1:17" x14ac:dyDescent="0.2">
      <c r="A426">
        <v>43</v>
      </c>
      <c r="B426" t="s">
        <v>71</v>
      </c>
      <c r="C426" t="s">
        <v>73</v>
      </c>
      <c r="D426" t="s">
        <v>73</v>
      </c>
      <c r="E426" t="s">
        <v>73</v>
      </c>
      <c r="F426" t="s">
        <v>73</v>
      </c>
      <c r="G426" t="s">
        <v>72</v>
      </c>
      <c r="H426" t="s">
        <v>73</v>
      </c>
      <c r="I426" t="s">
        <v>72</v>
      </c>
      <c r="J426" t="s">
        <v>72</v>
      </c>
      <c r="K426" t="s">
        <v>72</v>
      </c>
      <c r="L426" t="s">
        <v>72</v>
      </c>
      <c r="M426" t="s">
        <v>72</v>
      </c>
      <c r="N426" t="s">
        <v>72</v>
      </c>
      <c r="O426" t="s">
        <v>72</v>
      </c>
      <c r="P426" t="s">
        <v>72</v>
      </c>
      <c r="Q426" t="s">
        <v>74</v>
      </c>
    </row>
    <row r="427" spans="1:17" x14ac:dyDescent="0.2">
      <c r="A427">
        <v>62</v>
      </c>
      <c r="B427" t="s">
        <v>71</v>
      </c>
      <c r="C427" t="s">
        <v>73</v>
      </c>
      <c r="D427" t="s">
        <v>73</v>
      </c>
      <c r="E427" t="s">
        <v>72</v>
      </c>
      <c r="F427" t="s">
        <v>73</v>
      </c>
      <c r="G427" t="s">
        <v>73</v>
      </c>
      <c r="H427" t="s">
        <v>72</v>
      </c>
      <c r="I427" t="s">
        <v>73</v>
      </c>
      <c r="J427" t="s">
        <v>72</v>
      </c>
      <c r="K427" t="s">
        <v>73</v>
      </c>
      <c r="L427" t="s">
        <v>72</v>
      </c>
      <c r="M427" t="s">
        <v>73</v>
      </c>
      <c r="N427" t="s">
        <v>73</v>
      </c>
      <c r="O427" t="s">
        <v>72</v>
      </c>
      <c r="P427" t="s">
        <v>72</v>
      </c>
      <c r="Q427" t="s">
        <v>74</v>
      </c>
    </row>
    <row r="428" spans="1:17" x14ac:dyDescent="0.2">
      <c r="A428">
        <v>54</v>
      </c>
      <c r="B428" t="s">
        <v>71</v>
      </c>
      <c r="C428" t="s">
        <v>73</v>
      </c>
      <c r="D428" t="s">
        <v>73</v>
      </c>
      <c r="E428" t="s">
        <v>73</v>
      </c>
      <c r="F428" t="s">
        <v>73</v>
      </c>
      <c r="G428" t="s">
        <v>73</v>
      </c>
      <c r="H428" t="s">
        <v>73</v>
      </c>
      <c r="I428" t="s">
        <v>73</v>
      </c>
      <c r="J428" t="s">
        <v>73</v>
      </c>
      <c r="K428" t="s">
        <v>72</v>
      </c>
      <c r="L428" t="s">
        <v>73</v>
      </c>
      <c r="M428" t="s">
        <v>72</v>
      </c>
      <c r="N428" t="s">
        <v>73</v>
      </c>
      <c r="O428" t="s">
        <v>73</v>
      </c>
      <c r="P428" t="s">
        <v>72</v>
      </c>
      <c r="Q428" t="s">
        <v>74</v>
      </c>
    </row>
    <row r="429" spans="1:17" x14ac:dyDescent="0.2">
      <c r="A429">
        <v>39</v>
      </c>
      <c r="B429" t="s">
        <v>71</v>
      </c>
      <c r="C429" t="s">
        <v>73</v>
      </c>
      <c r="D429" t="s">
        <v>72</v>
      </c>
      <c r="E429" t="s">
        <v>73</v>
      </c>
      <c r="F429" t="s">
        <v>72</v>
      </c>
      <c r="G429" t="s">
        <v>72</v>
      </c>
      <c r="H429" t="s">
        <v>73</v>
      </c>
      <c r="I429" t="s">
        <v>72</v>
      </c>
      <c r="J429" t="s">
        <v>73</v>
      </c>
      <c r="K429" t="s">
        <v>73</v>
      </c>
      <c r="L429" t="s">
        <v>72</v>
      </c>
      <c r="M429" t="s">
        <v>72</v>
      </c>
      <c r="N429" t="s">
        <v>72</v>
      </c>
      <c r="O429" t="s">
        <v>73</v>
      </c>
      <c r="P429" t="s">
        <v>72</v>
      </c>
      <c r="Q429" t="s">
        <v>74</v>
      </c>
    </row>
    <row r="430" spans="1:17" x14ac:dyDescent="0.2">
      <c r="A430">
        <v>48</v>
      </c>
      <c r="B430" t="s">
        <v>71</v>
      </c>
      <c r="C430" t="s">
        <v>72</v>
      </c>
      <c r="D430" t="s">
        <v>73</v>
      </c>
      <c r="E430" t="s">
        <v>73</v>
      </c>
      <c r="F430" t="s">
        <v>73</v>
      </c>
      <c r="G430" t="s">
        <v>72</v>
      </c>
      <c r="H430" t="s">
        <v>72</v>
      </c>
      <c r="I430" t="s">
        <v>73</v>
      </c>
      <c r="J430" t="s">
        <v>73</v>
      </c>
      <c r="K430" t="s">
        <v>73</v>
      </c>
      <c r="L430" t="s">
        <v>73</v>
      </c>
      <c r="M430" t="s">
        <v>72</v>
      </c>
      <c r="N430" t="s">
        <v>72</v>
      </c>
      <c r="O430" t="s">
        <v>72</v>
      </c>
      <c r="P430" t="s">
        <v>72</v>
      </c>
      <c r="Q430" t="s">
        <v>74</v>
      </c>
    </row>
    <row r="431" spans="1:17" x14ac:dyDescent="0.2">
      <c r="A431">
        <v>58</v>
      </c>
      <c r="B431" t="s">
        <v>71</v>
      </c>
      <c r="C431" t="s">
        <v>73</v>
      </c>
      <c r="D431" t="s">
        <v>73</v>
      </c>
      <c r="E431" t="s">
        <v>73</v>
      </c>
      <c r="F431" t="s">
        <v>73</v>
      </c>
      <c r="G431" t="s">
        <v>73</v>
      </c>
      <c r="H431" t="s">
        <v>72</v>
      </c>
      <c r="I431" t="s">
        <v>73</v>
      </c>
      <c r="J431" t="s">
        <v>72</v>
      </c>
      <c r="K431" t="s">
        <v>72</v>
      </c>
      <c r="L431" t="s">
        <v>73</v>
      </c>
      <c r="M431" t="s">
        <v>73</v>
      </c>
      <c r="N431" t="s">
        <v>73</v>
      </c>
      <c r="O431" t="s">
        <v>72</v>
      </c>
      <c r="P431" t="s">
        <v>73</v>
      </c>
      <c r="Q431" t="s">
        <v>74</v>
      </c>
    </row>
    <row r="432" spans="1:17" x14ac:dyDescent="0.2">
      <c r="A432">
        <v>32</v>
      </c>
      <c r="B432" t="s">
        <v>71</v>
      </c>
      <c r="C432" t="s">
        <v>72</v>
      </c>
      <c r="D432" t="s">
        <v>72</v>
      </c>
      <c r="E432" t="s">
        <v>72</v>
      </c>
      <c r="F432" t="s">
        <v>72</v>
      </c>
      <c r="G432" t="s">
        <v>72</v>
      </c>
      <c r="H432" t="s">
        <v>73</v>
      </c>
      <c r="I432" t="s">
        <v>72</v>
      </c>
      <c r="J432" t="s">
        <v>72</v>
      </c>
      <c r="K432" t="s">
        <v>73</v>
      </c>
      <c r="L432" t="s">
        <v>73</v>
      </c>
      <c r="M432" t="s">
        <v>72</v>
      </c>
      <c r="N432" t="s">
        <v>72</v>
      </c>
      <c r="O432" t="s">
        <v>72</v>
      </c>
      <c r="P432" t="s">
        <v>73</v>
      </c>
      <c r="Q432" t="s">
        <v>74</v>
      </c>
    </row>
    <row r="433" spans="1:17" x14ac:dyDescent="0.2">
      <c r="A433">
        <v>42</v>
      </c>
      <c r="B433" t="s">
        <v>71</v>
      </c>
      <c r="C433" t="s">
        <v>72</v>
      </c>
      <c r="D433" t="s">
        <v>72</v>
      </c>
      <c r="E433" t="s">
        <v>72</v>
      </c>
      <c r="F433" t="s">
        <v>73</v>
      </c>
      <c r="G433" t="s">
        <v>73</v>
      </c>
      <c r="H433" t="s">
        <v>72</v>
      </c>
      <c r="I433" t="s">
        <v>72</v>
      </c>
      <c r="J433" t="s">
        <v>72</v>
      </c>
      <c r="K433" t="s">
        <v>73</v>
      </c>
      <c r="L433" t="s">
        <v>72</v>
      </c>
      <c r="M433" t="s">
        <v>72</v>
      </c>
      <c r="N433" t="s">
        <v>73</v>
      </c>
      <c r="O433" t="s">
        <v>72</v>
      </c>
      <c r="P433" t="s">
        <v>72</v>
      </c>
      <c r="Q433" t="s">
        <v>74</v>
      </c>
    </row>
    <row r="434" spans="1:17" x14ac:dyDescent="0.2">
      <c r="A434">
        <v>52</v>
      </c>
      <c r="B434" t="s">
        <v>71</v>
      </c>
      <c r="C434" t="s">
        <v>73</v>
      </c>
      <c r="D434" t="s">
        <v>73</v>
      </c>
      <c r="E434" t="s">
        <v>73</v>
      </c>
      <c r="F434" t="s">
        <v>73</v>
      </c>
      <c r="G434" t="s">
        <v>73</v>
      </c>
      <c r="H434" t="s">
        <v>72</v>
      </c>
      <c r="I434" t="s">
        <v>73</v>
      </c>
      <c r="J434" t="s">
        <v>73</v>
      </c>
      <c r="K434" t="s">
        <v>72</v>
      </c>
      <c r="L434" t="s">
        <v>73</v>
      </c>
      <c r="M434" t="s">
        <v>73</v>
      </c>
      <c r="N434" t="s">
        <v>73</v>
      </c>
      <c r="O434" t="s">
        <v>72</v>
      </c>
      <c r="P434" t="s">
        <v>72</v>
      </c>
      <c r="Q434" t="s">
        <v>74</v>
      </c>
    </row>
    <row r="435" spans="1:17" x14ac:dyDescent="0.2">
      <c r="A435">
        <v>38</v>
      </c>
      <c r="B435" t="s">
        <v>71</v>
      </c>
      <c r="C435" t="s">
        <v>72</v>
      </c>
      <c r="D435" t="s">
        <v>73</v>
      </c>
      <c r="E435" t="s">
        <v>72</v>
      </c>
      <c r="F435" t="s">
        <v>72</v>
      </c>
      <c r="G435" t="s">
        <v>72</v>
      </c>
      <c r="H435" t="s">
        <v>73</v>
      </c>
      <c r="I435" t="s">
        <v>72</v>
      </c>
      <c r="J435" t="s">
        <v>72</v>
      </c>
      <c r="K435" t="s">
        <v>72</v>
      </c>
      <c r="L435" t="s">
        <v>72</v>
      </c>
      <c r="M435" t="s">
        <v>72</v>
      </c>
      <c r="N435" t="s">
        <v>72</v>
      </c>
      <c r="O435" t="s">
        <v>73</v>
      </c>
      <c r="P435" t="s">
        <v>72</v>
      </c>
      <c r="Q435" t="s">
        <v>74</v>
      </c>
    </row>
    <row r="436" spans="1:17" x14ac:dyDescent="0.2">
      <c r="A436">
        <v>53</v>
      </c>
      <c r="B436" t="s">
        <v>71</v>
      </c>
      <c r="C436" t="s">
        <v>73</v>
      </c>
      <c r="D436" t="s">
        <v>73</v>
      </c>
      <c r="E436" t="s">
        <v>73</v>
      </c>
      <c r="F436" t="s">
        <v>73</v>
      </c>
      <c r="G436" t="s">
        <v>73</v>
      </c>
      <c r="H436" t="s">
        <v>72</v>
      </c>
      <c r="I436" t="s">
        <v>73</v>
      </c>
      <c r="J436" t="s">
        <v>72</v>
      </c>
      <c r="K436" t="s">
        <v>73</v>
      </c>
      <c r="L436" t="s">
        <v>72</v>
      </c>
      <c r="M436" t="s">
        <v>73</v>
      </c>
      <c r="N436" t="s">
        <v>72</v>
      </c>
      <c r="O436" t="s">
        <v>73</v>
      </c>
      <c r="P436" t="s">
        <v>72</v>
      </c>
      <c r="Q436" t="s">
        <v>74</v>
      </c>
    </row>
    <row r="437" spans="1:17" x14ac:dyDescent="0.2">
      <c r="A437">
        <v>57</v>
      </c>
      <c r="B437" t="s">
        <v>71</v>
      </c>
      <c r="C437" t="s">
        <v>73</v>
      </c>
      <c r="D437" t="s">
        <v>73</v>
      </c>
      <c r="E437" t="s">
        <v>73</v>
      </c>
      <c r="F437" t="s">
        <v>73</v>
      </c>
      <c r="G437" t="s">
        <v>73</v>
      </c>
      <c r="H437" t="s">
        <v>72</v>
      </c>
      <c r="I437" t="s">
        <v>73</v>
      </c>
      <c r="J437" t="s">
        <v>72</v>
      </c>
      <c r="K437" t="s">
        <v>72</v>
      </c>
      <c r="L437" t="s">
        <v>72</v>
      </c>
      <c r="M437" t="s">
        <v>73</v>
      </c>
      <c r="N437" t="s">
        <v>72</v>
      </c>
      <c r="O437" t="s">
        <v>72</v>
      </c>
      <c r="P437" t="s">
        <v>72</v>
      </c>
      <c r="Q437" t="s">
        <v>74</v>
      </c>
    </row>
    <row r="438" spans="1:17" x14ac:dyDescent="0.2">
      <c r="A438">
        <v>41</v>
      </c>
      <c r="B438" t="s">
        <v>71</v>
      </c>
      <c r="C438" t="s">
        <v>73</v>
      </c>
      <c r="D438" t="s">
        <v>73</v>
      </c>
      <c r="E438" t="s">
        <v>73</v>
      </c>
      <c r="F438" t="s">
        <v>73</v>
      </c>
      <c r="G438" t="s">
        <v>73</v>
      </c>
      <c r="H438" t="s">
        <v>73</v>
      </c>
      <c r="I438" t="s">
        <v>73</v>
      </c>
      <c r="J438" t="s">
        <v>73</v>
      </c>
      <c r="K438" t="s">
        <v>73</v>
      </c>
      <c r="L438" t="s">
        <v>72</v>
      </c>
      <c r="M438" t="s">
        <v>72</v>
      </c>
      <c r="N438" t="s">
        <v>72</v>
      </c>
      <c r="O438" t="s">
        <v>72</v>
      </c>
      <c r="P438" t="s">
        <v>73</v>
      </c>
      <c r="Q438" t="s">
        <v>74</v>
      </c>
    </row>
    <row r="439" spans="1:17" x14ac:dyDescent="0.2">
      <c r="A439">
        <v>37</v>
      </c>
      <c r="B439" t="s">
        <v>71</v>
      </c>
      <c r="C439" t="s">
        <v>72</v>
      </c>
      <c r="D439" t="s">
        <v>72</v>
      </c>
      <c r="E439" t="s">
        <v>72</v>
      </c>
      <c r="F439" t="s">
        <v>73</v>
      </c>
      <c r="G439" t="s">
        <v>72</v>
      </c>
      <c r="H439" t="s">
        <v>72</v>
      </c>
      <c r="I439" t="s">
        <v>72</v>
      </c>
      <c r="J439" t="s">
        <v>72</v>
      </c>
      <c r="K439" t="s">
        <v>72</v>
      </c>
      <c r="L439" t="s">
        <v>73</v>
      </c>
      <c r="M439" t="s">
        <v>72</v>
      </c>
      <c r="N439" t="s">
        <v>72</v>
      </c>
      <c r="O439" t="s">
        <v>73</v>
      </c>
      <c r="P439" t="s">
        <v>72</v>
      </c>
      <c r="Q439" t="s">
        <v>74</v>
      </c>
    </row>
    <row r="440" spans="1:17" x14ac:dyDescent="0.2">
      <c r="A440">
        <v>54</v>
      </c>
      <c r="B440" t="s">
        <v>71</v>
      </c>
      <c r="C440" t="s">
        <v>73</v>
      </c>
      <c r="D440" t="s">
        <v>73</v>
      </c>
      <c r="E440" t="s">
        <v>73</v>
      </c>
      <c r="F440" t="s">
        <v>73</v>
      </c>
      <c r="G440" t="s">
        <v>72</v>
      </c>
      <c r="H440" t="s">
        <v>72</v>
      </c>
      <c r="I440" t="s">
        <v>73</v>
      </c>
      <c r="J440" t="s">
        <v>73</v>
      </c>
      <c r="K440" t="s">
        <v>73</v>
      </c>
      <c r="L440" t="s">
        <v>73</v>
      </c>
      <c r="M440" t="s">
        <v>73</v>
      </c>
      <c r="N440" t="s">
        <v>73</v>
      </c>
      <c r="O440" t="s">
        <v>72</v>
      </c>
      <c r="P440" t="s">
        <v>72</v>
      </c>
      <c r="Q440" t="s">
        <v>74</v>
      </c>
    </row>
    <row r="441" spans="1:17" x14ac:dyDescent="0.2">
      <c r="A441">
        <v>49</v>
      </c>
      <c r="B441" t="s">
        <v>71</v>
      </c>
      <c r="C441" t="s">
        <v>73</v>
      </c>
      <c r="D441" t="s">
        <v>73</v>
      </c>
      <c r="E441" t="s">
        <v>72</v>
      </c>
      <c r="F441" t="s">
        <v>73</v>
      </c>
      <c r="G441" t="s">
        <v>72</v>
      </c>
      <c r="H441" t="s">
        <v>72</v>
      </c>
      <c r="I441" t="s">
        <v>73</v>
      </c>
      <c r="J441" t="s">
        <v>73</v>
      </c>
      <c r="K441" t="s">
        <v>72</v>
      </c>
      <c r="L441" t="s">
        <v>72</v>
      </c>
      <c r="M441" t="s">
        <v>72</v>
      </c>
      <c r="N441" t="s">
        <v>72</v>
      </c>
      <c r="O441" t="s">
        <v>72</v>
      </c>
      <c r="P441" t="s">
        <v>72</v>
      </c>
      <c r="Q441" t="s">
        <v>74</v>
      </c>
    </row>
    <row r="442" spans="1:17" x14ac:dyDescent="0.2">
      <c r="A442">
        <v>48</v>
      </c>
      <c r="B442" t="s">
        <v>71</v>
      </c>
      <c r="C442" t="s">
        <v>73</v>
      </c>
      <c r="D442" t="s">
        <v>73</v>
      </c>
      <c r="E442" t="s">
        <v>72</v>
      </c>
      <c r="F442" t="s">
        <v>73</v>
      </c>
      <c r="G442" t="s">
        <v>72</v>
      </c>
      <c r="H442" t="s">
        <v>73</v>
      </c>
      <c r="I442" t="s">
        <v>73</v>
      </c>
      <c r="J442" t="s">
        <v>73</v>
      </c>
      <c r="K442" t="s">
        <v>72</v>
      </c>
      <c r="L442" t="s">
        <v>72</v>
      </c>
      <c r="M442" t="s">
        <v>72</v>
      </c>
      <c r="N442" t="s">
        <v>72</v>
      </c>
      <c r="O442" t="s">
        <v>72</v>
      </c>
      <c r="P442" t="s">
        <v>72</v>
      </c>
      <c r="Q442" t="s">
        <v>74</v>
      </c>
    </row>
    <row r="443" spans="1:17" x14ac:dyDescent="0.2">
      <c r="A443">
        <v>60</v>
      </c>
      <c r="B443" t="s">
        <v>71</v>
      </c>
      <c r="C443" t="s">
        <v>73</v>
      </c>
      <c r="D443" t="s">
        <v>72</v>
      </c>
      <c r="E443" t="s">
        <v>72</v>
      </c>
      <c r="F443" t="s">
        <v>72</v>
      </c>
      <c r="G443" t="s">
        <v>72</v>
      </c>
      <c r="H443" t="s">
        <v>72</v>
      </c>
      <c r="I443" t="s">
        <v>73</v>
      </c>
      <c r="J443" t="s">
        <v>72</v>
      </c>
      <c r="K443" t="s">
        <v>72</v>
      </c>
      <c r="L443" t="s">
        <v>72</v>
      </c>
      <c r="M443" t="s">
        <v>73</v>
      </c>
      <c r="N443" t="s">
        <v>72</v>
      </c>
      <c r="O443" t="s">
        <v>73</v>
      </c>
      <c r="P443" t="s">
        <v>72</v>
      </c>
      <c r="Q443" t="s">
        <v>74</v>
      </c>
    </row>
    <row r="444" spans="1:17" x14ac:dyDescent="0.2">
      <c r="A444">
        <v>63</v>
      </c>
      <c r="B444" t="s">
        <v>71</v>
      </c>
      <c r="C444" t="s">
        <v>73</v>
      </c>
      <c r="D444" t="s">
        <v>73</v>
      </c>
      <c r="E444" t="s">
        <v>73</v>
      </c>
      <c r="F444" t="s">
        <v>73</v>
      </c>
      <c r="G444" t="s">
        <v>73</v>
      </c>
      <c r="H444" t="s">
        <v>72</v>
      </c>
      <c r="I444" t="s">
        <v>73</v>
      </c>
      <c r="J444" t="s">
        <v>72</v>
      </c>
      <c r="K444" t="s">
        <v>72</v>
      </c>
      <c r="L444" t="s">
        <v>72</v>
      </c>
      <c r="M444" t="s">
        <v>72</v>
      </c>
      <c r="N444" t="s">
        <v>73</v>
      </c>
      <c r="O444" t="s">
        <v>73</v>
      </c>
      <c r="P444" t="s">
        <v>73</v>
      </c>
      <c r="Q444" t="s">
        <v>74</v>
      </c>
    </row>
    <row r="445" spans="1:17" x14ac:dyDescent="0.2">
      <c r="A445">
        <v>35</v>
      </c>
      <c r="B445" t="s">
        <v>71</v>
      </c>
      <c r="C445" t="s">
        <v>73</v>
      </c>
      <c r="D445" t="s">
        <v>72</v>
      </c>
      <c r="E445" t="s">
        <v>73</v>
      </c>
      <c r="F445" t="s">
        <v>72</v>
      </c>
      <c r="G445" t="s">
        <v>72</v>
      </c>
      <c r="H445" t="s">
        <v>72</v>
      </c>
      <c r="I445" t="s">
        <v>72</v>
      </c>
      <c r="J445" t="s">
        <v>72</v>
      </c>
      <c r="K445" t="s">
        <v>72</v>
      </c>
      <c r="L445" t="s">
        <v>72</v>
      </c>
      <c r="M445" t="s">
        <v>73</v>
      </c>
      <c r="N445" t="s">
        <v>72</v>
      </c>
      <c r="O445" t="s">
        <v>73</v>
      </c>
      <c r="P445" t="s">
        <v>72</v>
      </c>
      <c r="Q445" t="s">
        <v>74</v>
      </c>
    </row>
    <row r="446" spans="1:17" x14ac:dyDescent="0.2">
      <c r="A446">
        <v>30</v>
      </c>
      <c r="B446" t="s">
        <v>75</v>
      </c>
      <c r="C446" t="s">
        <v>73</v>
      </c>
      <c r="D446" t="s">
        <v>72</v>
      </c>
      <c r="E446" t="s">
        <v>73</v>
      </c>
      <c r="F446" t="s">
        <v>73</v>
      </c>
      <c r="G446" t="s">
        <v>73</v>
      </c>
      <c r="H446" t="s">
        <v>72</v>
      </c>
      <c r="I446" t="s">
        <v>72</v>
      </c>
      <c r="J446" t="s">
        <v>72</v>
      </c>
      <c r="K446" t="s">
        <v>72</v>
      </c>
      <c r="L446" t="s">
        <v>73</v>
      </c>
      <c r="M446" t="s">
        <v>72</v>
      </c>
      <c r="N446" t="s">
        <v>72</v>
      </c>
      <c r="O446" t="s">
        <v>72</v>
      </c>
      <c r="P446" t="s">
        <v>72</v>
      </c>
      <c r="Q446" t="s">
        <v>74</v>
      </c>
    </row>
    <row r="447" spans="1:17" x14ac:dyDescent="0.2">
      <c r="A447">
        <v>53</v>
      </c>
      <c r="B447" t="s">
        <v>75</v>
      </c>
      <c r="C447" t="s">
        <v>72</v>
      </c>
      <c r="D447" t="s">
        <v>73</v>
      </c>
      <c r="E447" t="s">
        <v>73</v>
      </c>
      <c r="F447" t="s">
        <v>72</v>
      </c>
      <c r="G447" t="s">
        <v>73</v>
      </c>
      <c r="H447" t="s">
        <v>73</v>
      </c>
      <c r="I447" t="s">
        <v>73</v>
      </c>
      <c r="J447" t="s">
        <v>73</v>
      </c>
      <c r="K447" t="s">
        <v>73</v>
      </c>
      <c r="L447" t="s">
        <v>73</v>
      </c>
      <c r="M447" t="s">
        <v>72</v>
      </c>
      <c r="N447" t="s">
        <v>73</v>
      </c>
      <c r="O447" t="s">
        <v>72</v>
      </c>
      <c r="P447" t="s">
        <v>72</v>
      </c>
      <c r="Q447" t="s">
        <v>74</v>
      </c>
    </row>
    <row r="448" spans="1:17" x14ac:dyDescent="0.2">
      <c r="A448">
        <v>50</v>
      </c>
      <c r="B448" t="s">
        <v>75</v>
      </c>
      <c r="C448" t="s">
        <v>73</v>
      </c>
      <c r="D448" t="s">
        <v>73</v>
      </c>
      <c r="E448" t="s">
        <v>73</v>
      </c>
      <c r="F448" t="s">
        <v>72</v>
      </c>
      <c r="G448" t="s">
        <v>73</v>
      </c>
      <c r="H448" t="s">
        <v>72</v>
      </c>
      <c r="I448" t="s">
        <v>72</v>
      </c>
      <c r="J448" t="s">
        <v>72</v>
      </c>
      <c r="K448" t="s">
        <v>72</v>
      </c>
      <c r="L448" t="s">
        <v>73</v>
      </c>
      <c r="M448" t="s">
        <v>73</v>
      </c>
      <c r="N448" t="s">
        <v>72</v>
      </c>
      <c r="O448" t="s">
        <v>72</v>
      </c>
      <c r="P448" t="s">
        <v>72</v>
      </c>
      <c r="Q448" t="s">
        <v>74</v>
      </c>
    </row>
    <row r="449" spans="1:17" x14ac:dyDescent="0.2">
      <c r="A449">
        <v>50</v>
      </c>
      <c r="B449" t="s">
        <v>75</v>
      </c>
      <c r="C449" t="s">
        <v>72</v>
      </c>
      <c r="D449" t="s">
        <v>73</v>
      </c>
      <c r="E449" t="s">
        <v>72</v>
      </c>
      <c r="F449" t="s">
        <v>73</v>
      </c>
      <c r="G449" t="s">
        <v>73</v>
      </c>
      <c r="H449" t="s">
        <v>72</v>
      </c>
      <c r="I449" t="s">
        <v>73</v>
      </c>
      <c r="J449" t="s">
        <v>73</v>
      </c>
      <c r="K449" t="s">
        <v>73</v>
      </c>
      <c r="L449" t="s">
        <v>73</v>
      </c>
      <c r="M449" t="s">
        <v>73</v>
      </c>
      <c r="N449" t="s">
        <v>73</v>
      </c>
      <c r="O449" t="s">
        <v>72</v>
      </c>
      <c r="P449" t="s">
        <v>72</v>
      </c>
      <c r="Q449" t="s">
        <v>74</v>
      </c>
    </row>
    <row r="450" spans="1:17" x14ac:dyDescent="0.2">
      <c r="A450">
        <v>35</v>
      </c>
      <c r="B450" t="s">
        <v>75</v>
      </c>
      <c r="C450" t="s">
        <v>73</v>
      </c>
      <c r="D450" t="s">
        <v>73</v>
      </c>
      <c r="E450" t="s">
        <v>73</v>
      </c>
      <c r="F450" t="s">
        <v>73</v>
      </c>
      <c r="G450" t="s">
        <v>73</v>
      </c>
      <c r="H450" t="s">
        <v>72</v>
      </c>
      <c r="I450" t="s">
        <v>72</v>
      </c>
      <c r="J450" t="s">
        <v>73</v>
      </c>
      <c r="K450" t="s">
        <v>72</v>
      </c>
      <c r="L450" t="s">
        <v>73</v>
      </c>
      <c r="M450" t="s">
        <v>73</v>
      </c>
      <c r="N450" t="s">
        <v>73</v>
      </c>
      <c r="O450" t="s">
        <v>72</v>
      </c>
      <c r="P450" t="s">
        <v>72</v>
      </c>
      <c r="Q450" t="s">
        <v>74</v>
      </c>
    </row>
    <row r="451" spans="1:17" x14ac:dyDescent="0.2">
      <c r="A451">
        <v>40</v>
      </c>
      <c r="B451" t="s">
        <v>75</v>
      </c>
      <c r="C451" t="s">
        <v>73</v>
      </c>
      <c r="D451" t="s">
        <v>73</v>
      </c>
      <c r="E451" t="s">
        <v>73</v>
      </c>
      <c r="F451" t="s">
        <v>73</v>
      </c>
      <c r="G451" t="s">
        <v>72</v>
      </c>
      <c r="H451" t="s">
        <v>72</v>
      </c>
      <c r="I451" t="s">
        <v>73</v>
      </c>
      <c r="J451" t="s">
        <v>73</v>
      </c>
      <c r="K451" t="s">
        <v>72</v>
      </c>
      <c r="L451" t="s">
        <v>72</v>
      </c>
      <c r="M451" t="s">
        <v>73</v>
      </c>
      <c r="N451" t="s">
        <v>73</v>
      </c>
      <c r="O451" t="s">
        <v>72</v>
      </c>
      <c r="P451" t="s">
        <v>72</v>
      </c>
      <c r="Q451" t="s">
        <v>74</v>
      </c>
    </row>
    <row r="452" spans="1:17" x14ac:dyDescent="0.2">
      <c r="A452">
        <v>48</v>
      </c>
      <c r="B452" t="s">
        <v>75</v>
      </c>
      <c r="C452" t="s">
        <v>72</v>
      </c>
      <c r="D452" t="s">
        <v>72</v>
      </c>
      <c r="E452" t="s">
        <v>73</v>
      </c>
      <c r="F452" t="s">
        <v>73</v>
      </c>
      <c r="G452" t="s">
        <v>72</v>
      </c>
      <c r="H452" t="s">
        <v>72</v>
      </c>
      <c r="I452" t="s">
        <v>73</v>
      </c>
      <c r="J452" t="s">
        <v>73</v>
      </c>
      <c r="K452" t="s">
        <v>72</v>
      </c>
      <c r="L452" t="s">
        <v>73</v>
      </c>
      <c r="M452" t="s">
        <v>73</v>
      </c>
      <c r="N452" t="s">
        <v>72</v>
      </c>
      <c r="O452" t="s">
        <v>72</v>
      </c>
      <c r="P452" t="s">
        <v>72</v>
      </c>
      <c r="Q452" t="s">
        <v>74</v>
      </c>
    </row>
    <row r="453" spans="1:17" x14ac:dyDescent="0.2">
      <c r="A453">
        <v>60</v>
      </c>
      <c r="B453" t="s">
        <v>75</v>
      </c>
      <c r="C453" t="s">
        <v>73</v>
      </c>
      <c r="D453" t="s">
        <v>73</v>
      </c>
      <c r="E453" t="s">
        <v>73</v>
      </c>
      <c r="F453" t="s">
        <v>73</v>
      </c>
      <c r="G453" t="s">
        <v>73</v>
      </c>
      <c r="H453" t="s">
        <v>72</v>
      </c>
      <c r="I453" t="s">
        <v>73</v>
      </c>
      <c r="J453" t="s">
        <v>73</v>
      </c>
      <c r="K453" t="s">
        <v>72</v>
      </c>
      <c r="L453" t="s">
        <v>73</v>
      </c>
      <c r="M453" t="s">
        <v>73</v>
      </c>
      <c r="N453" t="s">
        <v>73</v>
      </c>
      <c r="O453" t="s">
        <v>72</v>
      </c>
      <c r="P453" t="s">
        <v>73</v>
      </c>
      <c r="Q453" t="s">
        <v>74</v>
      </c>
    </row>
    <row r="454" spans="1:17" x14ac:dyDescent="0.2">
      <c r="A454">
        <v>38</v>
      </c>
      <c r="B454" t="s">
        <v>75</v>
      </c>
      <c r="C454" t="s">
        <v>73</v>
      </c>
      <c r="D454" t="s">
        <v>73</v>
      </c>
      <c r="E454" t="s">
        <v>73</v>
      </c>
      <c r="F454" t="s">
        <v>73</v>
      </c>
      <c r="G454" t="s">
        <v>73</v>
      </c>
      <c r="H454" t="s">
        <v>72</v>
      </c>
      <c r="I454" t="s">
        <v>73</v>
      </c>
      <c r="J454" t="s">
        <v>73</v>
      </c>
      <c r="K454" t="s">
        <v>73</v>
      </c>
      <c r="L454" t="s">
        <v>73</v>
      </c>
      <c r="M454" t="s">
        <v>73</v>
      </c>
      <c r="N454" t="s">
        <v>73</v>
      </c>
      <c r="O454" t="s">
        <v>72</v>
      </c>
      <c r="P454" t="s">
        <v>72</v>
      </c>
      <c r="Q454" t="s">
        <v>74</v>
      </c>
    </row>
    <row r="455" spans="1:17" x14ac:dyDescent="0.2">
      <c r="A455">
        <v>28</v>
      </c>
      <c r="B455" t="s">
        <v>75</v>
      </c>
      <c r="C455" t="s">
        <v>72</v>
      </c>
      <c r="D455" t="s">
        <v>72</v>
      </c>
      <c r="E455" t="s">
        <v>72</v>
      </c>
      <c r="F455" t="s">
        <v>72</v>
      </c>
      <c r="G455" t="s">
        <v>72</v>
      </c>
      <c r="H455" t="s">
        <v>72</v>
      </c>
      <c r="I455" t="s">
        <v>73</v>
      </c>
      <c r="J455" t="s">
        <v>72</v>
      </c>
      <c r="K455" t="s">
        <v>72</v>
      </c>
      <c r="L455" t="s">
        <v>72</v>
      </c>
      <c r="M455" t="s">
        <v>73</v>
      </c>
      <c r="N455" t="s">
        <v>73</v>
      </c>
      <c r="O455" t="s">
        <v>72</v>
      </c>
      <c r="P455" t="s">
        <v>72</v>
      </c>
      <c r="Q455" t="s">
        <v>74</v>
      </c>
    </row>
    <row r="456" spans="1:17" x14ac:dyDescent="0.2">
      <c r="A456">
        <v>68</v>
      </c>
      <c r="B456" t="s">
        <v>75</v>
      </c>
      <c r="C456" t="s">
        <v>73</v>
      </c>
      <c r="D456" t="s">
        <v>73</v>
      </c>
      <c r="E456" t="s">
        <v>72</v>
      </c>
      <c r="F456" t="s">
        <v>73</v>
      </c>
      <c r="G456" t="s">
        <v>73</v>
      </c>
      <c r="H456" t="s">
        <v>72</v>
      </c>
      <c r="I456" t="s">
        <v>73</v>
      </c>
      <c r="J456" t="s">
        <v>73</v>
      </c>
      <c r="K456" t="s">
        <v>72</v>
      </c>
      <c r="L456" t="s">
        <v>73</v>
      </c>
      <c r="M456" t="s">
        <v>73</v>
      </c>
      <c r="N456" t="s">
        <v>72</v>
      </c>
      <c r="O456" t="s">
        <v>72</v>
      </c>
      <c r="P456" t="s">
        <v>72</v>
      </c>
      <c r="Q456" t="s">
        <v>74</v>
      </c>
    </row>
    <row r="457" spans="1:17" x14ac:dyDescent="0.2">
      <c r="A457">
        <v>35</v>
      </c>
      <c r="B457" t="s">
        <v>75</v>
      </c>
      <c r="C457" t="s">
        <v>72</v>
      </c>
      <c r="D457" t="s">
        <v>72</v>
      </c>
      <c r="E457" t="s">
        <v>72</v>
      </c>
      <c r="F457" t="s">
        <v>72</v>
      </c>
      <c r="G457" t="s">
        <v>72</v>
      </c>
      <c r="H457" t="s">
        <v>72</v>
      </c>
      <c r="I457" t="s">
        <v>72</v>
      </c>
      <c r="J457" t="s">
        <v>72</v>
      </c>
      <c r="K457" t="s">
        <v>72</v>
      </c>
      <c r="L457" t="s">
        <v>72</v>
      </c>
      <c r="M457" t="s">
        <v>72</v>
      </c>
      <c r="N457" t="s">
        <v>72</v>
      </c>
      <c r="O457" t="s">
        <v>72</v>
      </c>
      <c r="P457" t="s">
        <v>72</v>
      </c>
      <c r="Q457" t="s">
        <v>74</v>
      </c>
    </row>
    <row r="458" spans="1:17" x14ac:dyDescent="0.2">
      <c r="A458">
        <v>45</v>
      </c>
      <c r="B458" t="s">
        <v>75</v>
      </c>
      <c r="C458" t="s">
        <v>72</v>
      </c>
      <c r="D458" t="s">
        <v>72</v>
      </c>
      <c r="E458" t="s">
        <v>72</v>
      </c>
      <c r="F458" t="s">
        <v>72</v>
      </c>
      <c r="G458" t="s">
        <v>73</v>
      </c>
      <c r="H458" t="s">
        <v>72</v>
      </c>
      <c r="I458" t="s">
        <v>73</v>
      </c>
      <c r="J458" t="s">
        <v>73</v>
      </c>
      <c r="K458" t="s">
        <v>72</v>
      </c>
      <c r="L458" t="s">
        <v>72</v>
      </c>
      <c r="M458" t="s">
        <v>73</v>
      </c>
      <c r="N458" t="s">
        <v>72</v>
      </c>
      <c r="O458" t="s">
        <v>72</v>
      </c>
      <c r="P458" t="s">
        <v>72</v>
      </c>
      <c r="Q458" t="s">
        <v>74</v>
      </c>
    </row>
    <row r="459" spans="1:17" x14ac:dyDescent="0.2">
      <c r="A459">
        <v>48</v>
      </c>
      <c r="B459" t="s">
        <v>75</v>
      </c>
      <c r="C459" t="s">
        <v>73</v>
      </c>
      <c r="D459" t="s">
        <v>73</v>
      </c>
      <c r="E459" t="s">
        <v>73</v>
      </c>
      <c r="F459" t="s">
        <v>73</v>
      </c>
      <c r="G459" t="s">
        <v>73</v>
      </c>
      <c r="H459" t="s">
        <v>72</v>
      </c>
      <c r="I459" t="s">
        <v>73</v>
      </c>
      <c r="J459" t="s">
        <v>73</v>
      </c>
      <c r="K459" t="s">
        <v>73</v>
      </c>
      <c r="L459" t="s">
        <v>73</v>
      </c>
      <c r="M459" t="s">
        <v>73</v>
      </c>
      <c r="N459" t="s">
        <v>73</v>
      </c>
      <c r="O459" t="s">
        <v>72</v>
      </c>
      <c r="P459" t="s">
        <v>72</v>
      </c>
      <c r="Q459" t="s">
        <v>74</v>
      </c>
    </row>
    <row r="460" spans="1:17" x14ac:dyDescent="0.2">
      <c r="A460">
        <v>40</v>
      </c>
      <c r="B460" t="s">
        <v>75</v>
      </c>
      <c r="C460" t="s">
        <v>73</v>
      </c>
      <c r="D460" t="s">
        <v>73</v>
      </c>
      <c r="E460" t="s">
        <v>73</v>
      </c>
      <c r="F460" t="s">
        <v>73</v>
      </c>
      <c r="G460" t="s">
        <v>72</v>
      </c>
      <c r="H460" t="s">
        <v>72</v>
      </c>
      <c r="I460" t="s">
        <v>73</v>
      </c>
      <c r="J460" t="s">
        <v>72</v>
      </c>
      <c r="K460" t="s">
        <v>72</v>
      </c>
      <c r="L460" t="s">
        <v>73</v>
      </c>
      <c r="M460" t="s">
        <v>73</v>
      </c>
      <c r="N460" t="s">
        <v>73</v>
      </c>
      <c r="O460" t="s">
        <v>72</v>
      </c>
      <c r="P460" t="s">
        <v>72</v>
      </c>
      <c r="Q460" t="s">
        <v>74</v>
      </c>
    </row>
    <row r="461" spans="1:17" x14ac:dyDescent="0.2">
      <c r="A461">
        <v>57</v>
      </c>
      <c r="B461" t="s">
        <v>71</v>
      </c>
      <c r="C461" t="s">
        <v>73</v>
      </c>
      <c r="D461" t="s">
        <v>73</v>
      </c>
      <c r="E461" t="s">
        <v>73</v>
      </c>
      <c r="F461" t="s">
        <v>73</v>
      </c>
      <c r="G461" t="s">
        <v>73</v>
      </c>
      <c r="H461" t="s">
        <v>72</v>
      </c>
      <c r="I461" t="s">
        <v>73</v>
      </c>
      <c r="J461" t="s">
        <v>72</v>
      </c>
      <c r="K461" t="s">
        <v>72</v>
      </c>
      <c r="L461" t="s">
        <v>72</v>
      </c>
      <c r="M461" t="s">
        <v>73</v>
      </c>
      <c r="N461" t="s">
        <v>72</v>
      </c>
      <c r="O461" t="s">
        <v>72</v>
      </c>
      <c r="P461" t="s">
        <v>72</v>
      </c>
      <c r="Q461" t="s">
        <v>74</v>
      </c>
    </row>
    <row r="462" spans="1:17" x14ac:dyDescent="0.2">
      <c r="A462">
        <v>47</v>
      </c>
      <c r="B462" t="s">
        <v>71</v>
      </c>
      <c r="C462" t="s">
        <v>72</v>
      </c>
      <c r="D462" t="s">
        <v>72</v>
      </c>
      <c r="E462" t="s">
        <v>72</v>
      </c>
      <c r="F462" t="s">
        <v>72</v>
      </c>
      <c r="G462" t="s">
        <v>72</v>
      </c>
      <c r="H462" t="s">
        <v>72</v>
      </c>
      <c r="I462" t="s">
        <v>72</v>
      </c>
      <c r="J462" t="s">
        <v>73</v>
      </c>
      <c r="K462" t="s">
        <v>72</v>
      </c>
      <c r="L462" t="s">
        <v>72</v>
      </c>
      <c r="M462" t="s">
        <v>72</v>
      </c>
      <c r="N462" t="s">
        <v>72</v>
      </c>
      <c r="O462" t="s">
        <v>73</v>
      </c>
      <c r="P462" t="s">
        <v>72</v>
      </c>
      <c r="Q462" t="s">
        <v>76</v>
      </c>
    </row>
    <row r="463" spans="1:17" x14ac:dyDescent="0.2">
      <c r="A463">
        <v>45</v>
      </c>
      <c r="B463" t="s">
        <v>71</v>
      </c>
      <c r="C463" t="s">
        <v>72</v>
      </c>
      <c r="D463" t="s">
        <v>72</v>
      </c>
      <c r="E463" t="s">
        <v>72</v>
      </c>
      <c r="F463" t="s">
        <v>72</v>
      </c>
      <c r="G463" t="s">
        <v>73</v>
      </c>
      <c r="H463" t="s">
        <v>73</v>
      </c>
      <c r="I463" t="s">
        <v>72</v>
      </c>
      <c r="J463" t="s">
        <v>72</v>
      </c>
      <c r="K463" t="s">
        <v>72</v>
      </c>
      <c r="L463" t="s">
        <v>72</v>
      </c>
      <c r="M463" t="s">
        <v>72</v>
      </c>
      <c r="N463" t="s">
        <v>72</v>
      </c>
      <c r="O463" t="s">
        <v>72</v>
      </c>
      <c r="P463" t="s">
        <v>72</v>
      </c>
      <c r="Q463" t="s">
        <v>76</v>
      </c>
    </row>
    <row r="464" spans="1:17" x14ac:dyDescent="0.2">
      <c r="A464">
        <v>57</v>
      </c>
      <c r="B464" t="s">
        <v>71</v>
      </c>
      <c r="C464" t="s">
        <v>72</v>
      </c>
      <c r="D464" t="s">
        <v>72</v>
      </c>
      <c r="E464" t="s">
        <v>72</v>
      </c>
      <c r="F464" t="s">
        <v>72</v>
      </c>
      <c r="G464" t="s">
        <v>73</v>
      </c>
      <c r="H464" t="s">
        <v>72</v>
      </c>
      <c r="I464" t="s">
        <v>73</v>
      </c>
      <c r="J464" t="s">
        <v>72</v>
      </c>
      <c r="K464" t="s">
        <v>72</v>
      </c>
      <c r="L464" t="s">
        <v>72</v>
      </c>
      <c r="M464" t="s">
        <v>72</v>
      </c>
      <c r="N464" t="s">
        <v>73</v>
      </c>
      <c r="O464" t="s">
        <v>72</v>
      </c>
      <c r="P464" t="s">
        <v>72</v>
      </c>
      <c r="Q464" t="s">
        <v>76</v>
      </c>
    </row>
    <row r="465" spans="1:17" x14ac:dyDescent="0.2">
      <c r="A465">
        <v>72</v>
      </c>
      <c r="B465" t="s">
        <v>71</v>
      </c>
      <c r="C465" t="s">
        <v>73</v>
      </c>
      <c r="D465" t="s">
        <v>72</v>
      </c>
      <c r="E465" t="s">
        <v>72</v>
      </c>
      <c r="F465" t="s">
        <v>72</v>
      </c>
      <c r="G465" t="s">
        <v>73</v>
      </c>
      <c r="H465" t="s">
        <v>72</v>
      </c>
      <c r="I465" t="s">
        <v>73</v>
      </c>
      <c r="J465" t="s">
        <v>73</v>
      </c>
      <c r="K465" t="s">
        <v>72</v>
      </c>
      <c r="L465" t="s">
        <v>73</v>
      </c>
      <c r="M465" t="s">
        <v>73</v>
      </c>
      <c r="N465" t="s">
        <v>73</v>
      </c>
      <c r="O465" t="s">
        <v>73</v>
      </c>
      <c r="P465" t="s">
        <v>72</v>
      </c>
      <c r="Q465" t="s">
        <v>76</v>
      </c>
    </row>
    <row r="466" spans="1:17" x14ac:dyDescent="0.2">
      <c r="A466">
        <v>30</v>
      </c>
      <c r="B466" t="s">
        <v>71</v>
      </c>
      <c r="C466" t="s">
        <v>72</v>
      </c>
      <c r="D466" t="s">
        <v>72</v>
      </c>
      <c r="E466" t="s">
        <v>72</v>
      </c>
      <c r="F466" t="s">
        <v>72</v>
      </c>
      <c r="G466" t="s">
        <v>72</v>
      </c>
      <c r="H466" t="s">
        <v>72</v>
      </c>
      <c r="I466" t="s">
        <v>72</v>
      </c>
      <c r="J466" t="s">
        <v>72</v>
      </c>
      <c r="K466" t="s">
        <v>72</v>
      </c>
      <c r="L466" t="s">
        <v>72</v>
      </c>
      <c r="M466" t="s">
        <v>72</v>
      </c>
      <c r="N466" t="s">
        <v>72</v>
      </c>
      <c r="O466" t="s">
        <v>72</v>
      </c>
      <c r="P466" t="s">
        <v>72</v>
      </c>
      <c r="Q466" t="s">
        <v>76</v>
      </c>
    </row>
    <row r="467" spans="1:17" x14ac:dyDescent="0.2">
      <c r="A467">
        <v>27</v>
      </c>
      <c r="B467" t="s">
        <v>71</v>
      </c>
      <c r="C467" t="s">
        <v>72</v>
      </c>
      <c r="D467" t="s">
        <v>72</v>
      </c>
      <c r="E467" t="s">
        <v>72</v>
      </c>
      <c r="F467" t="s">
        <v>72</v>
      </c>
      <c r="G467" t="s">
        <v>72</v>
      </c>
      <c r="H467" t="s">
        <v>72</v>
      </c>
      <c r="I467" t="s">
        <v>72</v>
      </c>
      <c r="J467" t="s">
        <v>72</v>
      </c>
      <c r="K467" t="s">
        <v>72</v>
      </c>
      <c r="L467" t="s">
        <v>72</v>
      </c>
      <c r="M467" t="s">
        <v>72</v>
      </c>
      <c r="N467" t="s">
        <v>72</v>
      </c>
      <c r="O467" t="s">
        <v>72</v>
      </c>
      <c r="P467" t="s">
        <v>72</v>
      </c>
      <c r="Q467" t="s">
        <v>76</v>
      </c>
    </row>
    <row r="468" spans="1:17" x14ac:dyDescent="0.2">
      <c r="A468">
        <v>38</v>
      </c>
      <c r="B468" t="s">
        <v>71</v>
      </c>
      <c r="C468" t="s">
        <v>72</v>
      </c>
      <c r="D468" t="s">
        <v>72</v>
      </c>
      <c r="E468" t="s">
        <v>72</v>
      </c>
      <c r="F468" t="s">
        <v>72</v>
      </c>
      <c r="G468" t="s">
        <v>72</v>
      </c>
      <c r="H468" t="s">
        <v>72</v>
      </c>
      <c r="I468" t="s">
        <v>72</v>
      </c>
      <c r="J468" t="s">
        <v>72</v>
      </c>
      <c r="K468" t="s">
        <v>72</v>
      </c>
      <c r="L468" t="s">
        <v>72</v>
      </c>
      <c r="M468" t="s">
        <v>72</v>
      </c>
      <c r="N468" t="s">
        <v>72</v>
      </c>
      <c r="O468" t="s">
        <v>72</v>
      </c>
      <c r="P468" t="s">
        <v>72</v>
      </c>
      <c r="Q468" t="s">
        <v>76</v>
      </c>
    </row>
    <row r="469" spans="1:17" x14ac:dyDescent="0.2">
      <c r="A469">
        <v>43</v>
      </c>
      <c r="B469" t="s">
        <v>71</v>
      </c>
      <c r="C469" t="s">
        <v>72</v>
      </c>
      <c r="D469" t="s">
        <v>72</v>
      </c>
      <c r="E469" t="s">
        <v>72</v>
      </c>
      <c r="F469" t="s">
        <v>73</v>
      </c>
      <c r="G469" t="s">
        <v>72</v>
      </c>
      <c r="H469" t="s">
        <v>73</v>
      </c>
      <c r="I469" t="s">
        <v>72</v>
      </c>
      <c r="J469" t="s">
        <v>73</v>
      </c>
      <c r="K469" t="s">
        <v>72</v>
      </c>
      <c r="L469" t="s">
        <v>73</v>
      </c>
      <c r="M469" t="s">
        <v>72</v>
      </c>
      <c r="N469" t="s">
        <v>72</v>
      </c>
      <c r="O469" t="s">
        <v>73</v>
      </c>
      <c r="P469" t="s">
        <v>72</v>
      </c>
      <c r="Q469" t="s">
        <v>76</v>
      </c>
    </row>
    <row r="470" spans="1:17" x14ac:dyDescent="0.2">
      <c r="A470">
        <v>40</v>
      </c>
      <c r="B470" t="s">
        <v>71</v>
      </c>
      <c r="C470" t="s">
        <v>72</v>
      </c>
      <c r="D470" t="s">
        <v>72</v>
      </c>
      <c r="E470" t="s">
        <v>73</v>
      </c>
      <c r="F470" t="s">
        <v>72</v>
      </c>
      <c r="G470" t="s">
        <v>72</v>
      </c>
      <c r="H470" t="s">
        <v>72</v>
      </c>
      <c r="I470" t="s">
        <v>72</v>
      </c>
      <c r="J470" t="s">
        <v>72</v>
      </c>
      <c r="K470" t="s">
        <v>72</v>
      </c>
      <c r="L470" t="s">
        <v>72</v>
      </c>
      <c r="M470" t="s">
        <v>72</v>
      </c>
      <c r="N470" t="s">
        <v>72</v>
      </c>
      <c r="O470" t="s">
        <v>72</v>
      </c>
      <c r="P470" t="s">
        <v>73</v>
      </c>
      <c r="Q470" t="s">
        <v>76</v>
      </c>
    </row>
    <row r="471" spans="1:17" x14ac:dyDescent="0.2">
      <c r="A471">
        <v>47</v>
      </c>
      <c r="B471" t="s">
        <v>71</v>
      </c>
      <c r="C471" t="s">
        <v>72</v>
      </c>
      <c r="D471" t="s">
        <v>72</v>
      </c>
      <c r="E471" t="s">
        <v>72</v>
      </c>
      <c r="F471" t="s">
        <v>72</v>
      </c>
      <c r="G471" t="s">
        <v>72</v>
      </c>
      <c r="H471" t="s">
        <v>72</v>
      </c>
      <c r="I471" t="s">
        <v>72</v>
      </c>
      <c r="J471" t="s">
        <v>73</v>
      </c>
      <c r="K471" t="s">
        <v>72</v>
      </c>
      <c r="L471" t="s">
        <v>72</v>
      </c>
      <c r="M471" t="s">
        <v>72</v>
      </c>
      <c r="N471" t="s">
        <v>72</v>
      </c>
      <c r="O471" t="s">
        <v>73</v>
      </c>
      <c r="P471" t="s">
        <v>72</v>
      </c>
      <c r="Q471" t="s">
        <v>76</v>
      </c>
    </row>
    <row r="472" spans="1:17" x14ac:dyDescent="0.2">
      <c r="A472">
        <v>45</v>
      </c>
      <c r="B472" t="s">
        <v>71</v>
      </c>
      <c r="C472" t="s">
        <v>72</v>
      </c>
      <c r="D472" t="s">
        <v>72</v>
      </c>
      <c r="E472" t="s">
        <v>72</v>
      </c>
      <c r="F472" t="s">
        <v>72</v>
      </c>
      <c r="G472" t="s">
        <v>73</v>
      </c>
      <c r="H472" t="s">
        <v>73</v>
      </c>
      <c r="I472" t="s">
        <v>72</v>
      </c>
      <c r="J472" t="s">
        <v>72</v>
      </c>
      <c r="K472" t="s">
        <v>72</v>
      </c>
      <c r="L472" t="s">
        <v>72</v>
      </c>
      <c r="M472" t="s">
        <v>72</v>
      </c>
      <c r="N472" t="s">
        <v>72</v>
      </c>
      <c r="O472" t="s">
        <v>72</v>
      </c>
      <c r="P472" t="s">
        <v>72</v>
      </c>
      <c r="Q472" t="s">
        <v>76</v>
      </c>
    </row>
    <row r="473" spans="1:17" x14ac:dyDescent="0.2">
      <c r="A473">
        <v>57</v>
      </c>
      <c r="B473" t="s">
        <v>71</v>
      </c>
      <c r="C473" t="s">
        <v>72</v>
      </c>
      <c r="D473" t="s">
        <v>72</v>
      </c>
      <c r="E473" t="s">
        <v>72</v>
      </c>
      <c r="F473" t="s">
        <v>72</v>
      </c>
      <c r="G473" t="s">
        <v>73</v>
      </c>
      <c r="H473" t="s">
        <v>72</v>
      </c>
      <c r="I473" t="s">
        <v>73</v>
      </c>
      <c r="J473" t="s">
        <v>72</v>
      </c>
      <c r="K473" t="s">
        <v>72</v>
      </c>
      <c r="L473" t="s">
        <v>72</v>
      </c>
      <c r="M473" t="s">
        <v>72</v>
      </c>
      <c r="N473" t="s">
        <v>73</v>
      </c>
      <c r="O473" t="s">
        <v>72</v>
      </c>
      <c r="P473" t="s">
        <v>72</v>
      </c>
      <c r="Q473" t="s">
        <v>76</v>
      </c>
    </row>
    <row r="474" spans="1:17" x14ac:dyDescent="0.2">
      <c r="A474">
        <v>72</v>
      </c>
      <c r="B474" t="s">
        <v>71</v>
      </c>
      <c r="C474" t="s">
        <v>73</v>
      </c>
      <c r="D474" t="s">
        <v>72</v>
      </c>
      <c r="E474" t="s">
        <v>72</v>
      </c>
      <c r="F474" t="s">
        <v>72</v>
      </c>
      <c r="G474" t="s">
        <v>73</v>
      </c>
      <c r="H474" t="s">
        <v>72</v>
      </c>
      <c r="I474" t="s">
        <v>73</v>
      </c>
      <c r="J474" t="s">
        <v>73</v>
      </c>
      <c r="K474" t="s">
        <v>72</v>
      </c>
      <c r="L474" t="s">
        <v>73</v>
      </c>
      <c r="M474" t="s">
        <v>73</v>
      </c>
      <c r="N474" t="s">
        <v>73</v>
      </c>
      <c r="O474" t="s">
        <v>73</v>
      </c>
      <c r="P474" t="s">
        <v>72</v>
      </c>
      <c r="Q474" t="s">
        <v>76</v>
      </c>
    </row>
    <row r="475" spans="1:17" x14ac:dyDescent="0.2">
      <c r="A475">
        <v>30</v>
      </c>
      <c r="B475" t="s">
        <v>71</v>
      </c>
      <c r="C475" t="s">
        <v>72</v>
      </c>
      <c r="D475" t="s">
        <v>72</v>
      </c>
      <c r="E475" t="s">
        <v>72</v>
      </c>
      <c r="F475" t="s">
        <v>72</v>
      </c>
      <c r="G475" t="s">
        <v>72</v>
      </c>
      <c r="H475" t="s">
        <v>72</v>
      </c>
      <c r="I475" t="s">
        <v>72</v>
      </c>
      <c r="J475" t="s">
        <v>72</v>
      </c>
      <c r="K475" t="s">
        <v>72</v>
      </c>
      <c r="L475" t="s">
        <v>72</v>
      </c>
      <c r="M475" t="s">
        <v>72</v>
      </c>
      <c r="N475" t="s">
        <v>72</v>
      </c>
      <c r="O475" t="s">
        <v>72</v>
      </c>
      <c r="P475" t="s">
        <v>72</v>
      </c>
      <c r="Q475" t="s">
        <v>76</v>
      </c>
    </row>
    <row r="476" spans="1:17" x14ac:dyDescent="0.2">
      <c r="A476">
        <v>27</v>
      </c>
      <c r="B476" t="s">
        <v>71</v>
      </c>
      <c r="C476" t="s">
        <v>72</v>
      </c>
      <c r="D476" t="s">
        <v>72</v>
      </c>
      <c r="E476" t="s">
        <v>72</v>
      </c>
      <c r="F476" t="s">
        <v>72</v>
      </c>
      <c r="G476" t="s">
        <v>72</v>
      </c>
      <c r="H476" t="s">
        <v>72</v>
      </c>
      <c r="I476" t="s">
        <v>72</v>
      </c>
      <c r="J476" t="s">
        <v>72</v>
      </c>
      <c r="K476" t="s">
        <v>72</v>
      </c>
      <c r="L476" t="s">
        <v>72</v>
      </c>
      <c r="M476" t="s">
        <v>72</v>
      </c>
      <c r="N476" t="s">
        <v>72</v>
      </c>
      <c r="O476" t="s">
        <v>72</v>
      </c>
      <c r="P476" t="s">
        <v>72</v>
      </c>
      <c r="Q476" t="s">
        <v>76</v>
      </c>
    </row>
    <row r="477" spans="1:17" x14ac:dyDescent="0.2">
      <c r="A477">
        <v>38</v>
      </c>
      <c r="B477" t="s">
        <v>71</v>
      </c>
      <c r="C477" t="s">
        <v>72</v>
      </c>
      <c r="D477" t="s">
        <v>72</v>
      </c>
      <c r="E477" t="s">
        <v>72</v>
      </c>
      <c r="F477" t="s">
        <v>72</v>
      </c>
      <c r="G477" t="s">
        <v>72</v>
      </c>
      <c r="H477" t="s">
        <v>72</v>
      </c>
      <c r="I477" t="s">
        <v>72</v>
      </c>
      <c r="J477" t="s">
        <v>72</v>
      </c>
      <c r="K477" t="s">
        <v>72</v>
      </c>
      <c r="L477" t="s">
        <v>72</v>
      </c>
      <c r="M477" t="s">
        <v>72</v>
      </c>
      <c r="N477" t="s">
        <v>72</v>
      </c>
      <c r="O477" t="s">
        <v>72</v>
      </c>
      <c r="P477" t="s">
        <v>72</v>
      </c>
      <c r="Q477" t="s">
        <v>76</v>
      </c>
    </row>
    <row r="478" spans="1:17" x14ac:dyDescent="0.2">
      <c r="A478">
        <v>43</v>
      </c>
      <c r="B478" t="s">
        <v>71</v>
      </c>
      <c r="C478" t="s">
        <v>72</v>
      </c>
      <c r="D478" t="s">
        <v>72</v>
      </c>
      <c r="E478" t="s">
        <v>72</v>
      </c>
      <c r="F478" t="s">
        <v>73</v>
      </c>
      <c r="G478" t="s">
        <v>72</v>
      </c>
      <c r="H478" t="s">
        <v>73</v>
      </c>
      <c r="I478" t="s">
        <v>72</v>
      </c>
      <c r="J478" t="s">
        <v>73</v>
      </c>
      <c r="K478" t="s">
        <v>72</v>
      </c>
      <c r="L478" t="s">
        <v>73</v>
      </c>
      <c r="M478" t="s">
        <v>72</v>
      </c>
      <c r="N478" t="s">
        <v>72</v>
      </c>
      <c r="O478" t="s">
        <v>73</v>
      </c>
      <c r="P478" t="s">
        <v>72</v>
      </c>
      <c r="Q478" t="s">
        <v>76</v>
      </c>
    </row>
    <row r="479" spans="1:17" x14ac:dyDescent="0.2">
      <c r="A479">
        <v>40</v>
      </c>
      <c r="B479" t="s">
        <v>71</v>
      </c>
      <c r="C479" t="s">
        <v>72</v>
      </c>
      <c r="D479" t="s">
        <v>72</v>
      </c>
      <c r="E479" t="s">
        <v>73</v>
      </c>
      <c r="F479" t="s">
        <v>72</v>
      </c>
      <c r="G479" t="s">
        <v>72</v>
      </c>
      <c r="H479" t="s">
        <v>72</v>
      </c>
      <c r="I479" t="s">
        <v>72</v>
      </c>
      <c r="J479" t="s">
        <v>72</v>
      </c>
      <c r="K479" t="s">
        <v>72</v>
      </c>
      <c r="L479" t="s">
        <v>72</v>
      </c>
      <c r="M479" t="s">
        <v>72</v>
      </c>
      <c r="N479" t="s">
        <v>72</v>
      </c>
      <c r="O479" t="s">
        <v>72</v>
      </c>
      <c r="P479" t="s">
        <v>73</v>
      </c>
      <c r="Q479" t="s">
        <v>76</v>
      </c>
    </row>
    <row r="480" spans="1:17" x14ac:dyDescent="0.2">
      <c r="A480">
        <v>54</v>
      </c>
      <c r="B480" t="s">
        <v>71</v>
      </c>
      <c r="C480" t="s">
        <v>72</v>
      </c>
      <c r="D480" t="s">
        <v>72</v>
      </c>
      <c r="E480" t="s">
        <v>72</v>
      </c>
      <c r="F480" t="s">
        <v>73</v>
      </c>
      <c r="G480" t="s">
        <v>72</v>
      </c>
      <c r="H480" t="s">
        <v>72</v>
      </c>
      <c r="I480" t="s">
        <v>72</v>
      </c>
      <c r="J480" t="s">
        <v>73</v>
      </c>
      <c r="K480" t="s">
        <v>72</v>
      </c>
      <c r="L480" t="s">
        <v>73</v>
      </c>
      <c r="M480" t="s">
        <v>72</v>
      </c>
      <c r="N480" t="s">
        <v>73</v>
      </c>
      <c r="O480" t="s">
        <v>73</v>
      </c>
      <c r="P480" t="s">
        <v>72</v>
      </c>
      <c r="Q480" t="s">
        <v>76</v>
      </c>
    </row>
    <row r="481" spans="1:17" x14ac:dyDescent="0.2">
      <c r="A481">
        <v>30</v>
      </c>
      <c r="B481" t="s">
        <v>71</v>
      </c>
      <c r="C481" t="s">
        <v>72</v>
      </c>
      <c r="D481" t="s">
        <v>72</v>
      </c>
      <c r="E481" t="s">
        <v>72</v>
      </c>
      <c r="F481" t="s">
        <v>72</v>
      </c>
      <c r="G481" t="s">
        <v>72</v>
      </c>
      <c r="H481" t="s">
        <v>72</v>
      </c>
      <c r="I481" t="s">
        <v>72</v>
      </c>
      <c r="J481" t="s">
        <v>72</v>
      </c>
      <c r="K481" t="s">
        <v>72</v>
      </c>
      <c r="L481" t="s">
        <v>72</v>
      </c>
      <c r="M481" t="s">
        <v>72</v>
      </c>
      <c r="N481" t="s">
        <v>72</v>
      </c>
      <c r="O481" t="s">
        <v>72</v>
      </c>
      <c r="P481" t="s">
        <v>72</v>
      </c>
      <c r="Q481" t="s">
        <v>76</v>
      </c>
    </row>
    <row r="482" spans="1:17" x14ac:dyDescent="0.2">
      <c r="A482">
        <v>46</v>
      </c>
      <c r="B482" t="s">
        <v>71</v>
      </c>
      <c r="C482" t="s">
        <v>72</v>
      </c>
      <c r="D482" t="s">
        <v>72</v>
      </c>
      <c r="E482" t="s">
        <v>72</v>
      </c>
      <c r="F482" t="s">
        <v>73</v>
      </c>
      <c r="G482" t="s">
        <v>72</v>
      </c>
      <c r="H482" t="s">
        <v>72</v>
      </c>
      <c r="I482" t="s">
        <v>72</v>
      </c>
      <c r="J482" t="s">
        <v>73</v>
      </c>
      <c r="K482" t="s">
        <v>72</v>
      </c>
      <c r="L482" t="s">
        <v>73</v>
      </c>
      <c r="M482" t="s">
        <v>72</v>
      </c>
      <c r="N482" t="s">
        <v>72</v>
      </c>
      <c r="O482" t="s">
        <v>73</v>
      </c>
      <c r="P482" t="s">
        <v>72</v>
      </c>
      <c r="Q482" t="s">
        <v>76</v>
      </c>
    </row>
    <row r="483" spans="1:17" x14ac:dyDescent="0.2">
      <c r="A483">
        <v>53</v>
      </c>
      <c r="B483" t="s">
        <v>71</v>
      </c>
      <c r="C483" t="s">
        <v>72</v>
      </c>
      <c r="D483" t="s">
        <v>72</v>
      </c>
      <c r="E483" t="s">
        <v>72</v>
      </c>
      <c r="F483" t="s">
        <v>73</v>
      </c>
      <c r="G483" t="s">
        <v>73</v>
      </c>
      <c r="H483" t="s">
        <v>72</v>
      </c>
      <c r="I483" t="s">
        <v>73</v>
      </c>
      <c r="J483" t="s">
        <v>73</v>
      </c>
      <c r="K483" t="s">
        <v>72</v>
      </c>
      <c r="L483" t="s">
        <v>73</v>
      </c>
      <c r="M483" t="s">
        <v>73</v>
      </c>
      <c r="N483" t="s">
        <v>73</v>
      </c>
      <c r="O483" t="s">
        <v>73</v>
      </c>
      <c r="P483" t="s">
        <v>72</v>
      </c>
      <c r="Q483" t="s">
        <v>76</v>
      </c>
    </row>
    <row r="484" spans="1:17" x14ac:dyDescent="0.2">
      <c r="A484">
        <v>42</v>
      </c>
      <c r="B484" t="s">
        <v>71</v>
      </c>
      <c r="C484" t="s">
        <v>72</v>
      </c>
      <c r="D484" t="s">
        <v>72</v>
      </c>
      <c r="E484" t="s">
        <v>72</v>
      </c>
      <c r="F484" t="s">
        <v>72</v>
      </c>
      <c r="G484" t="s">
        <v>72</v>
      </c>
      <c r="H484" t="s">
        <v>72</v>
      </c>
      <c r="I484" t="s">
        <v>72</v>
      </c>
      <c r="J484" t="s">
        <v>72</v>
      </c>
      <c r="K484" t="s">
        <v>72</v>
      </c>
      <c r="L484" t="s">
        <v>72</v>
      </c>
      <c r="M484" t="s">
        <v>72</v>
      </c>
      <c r="N484" t="s">
        <v>72</v>
      </c>
      <c r="O484" t="s">
        <v>73</v>
      </c>
      <c r="P484" t="s">
        <v>72</v>
      </c>
      <c r="Q484" t="s">
        <v>76</v>
      </c>
    </row>
    <row r="485" spans="1:17" x14ac:dyDescent="0.2">
      <c r="A485">
        <v>55</v>
      </c>
      <c r="B485" t="s">
        <v>75</v>
      </c>
      <c r="C485" t="s">
        <v>73</v>
      </c>
      <c r="D485" t="s">
        <v>73</v>
      </c>
      <c r="E485" t="s">
        <v>73</v>
      </c>
      <c r="F485" t="s">
        <v>73</v>
      </c>
      <c r="G485" t="s">
        <v>72</v>
      </c>
      <c r="H485" t="s">
        <v>72</v>
      </c>
      <c r="I485" t="s">
        <v>73</v>
      </c>
      <c r="J485" t="s">
        <v>72</v>
      </c>
      <c r="K485" t="s">
        <v>72</v>
      </c>
      <c r="L485" t="s">
        <v>72</v>
      </c>
      <c r="M485" t="s">
        <v>73</v>
      </c>
      <c r="N485" t="s">
        <v>72</v>
      </c>
      <c r="O485" t="s">
        <v>72</v>
      </c>
      <c r="P485" t="s">
        <v>73</v>
      </c>
      <c r="Q485" t="s">
        <v>74</v>
      </c>
    </row>
    <row r="486" spans="1:17" x14ac:dyDescent="0.2">
      <c r="A486">
        <v>48</v>
      </c>
      <c r="B486" t="s">
        <v>75</v>
      </c>
      <c r="C486" t="s">
        <v>73</v>
      </c>
      <c r="D486" t="s">
        <v>73</v>
      </c>
      <c r="E486" t="s">
        <v>73</v>
      </c>
      <c r="F486" t="s">
        <v>73</v>
      </c>
      <c r="G486" t="s">
        <v>73</v>
      </c>
      <c r="H486" t="s">
        <v>72</v>
      </c>
      <c r="I486" t="s">
        <v>72</v>
      </c>
      <c r="J486" t="s">
        <v>72</v>
      </c>
      <c r="K486" t="s">
        <v>72</v>
      </c>
      <c r="L486" t="s">
        <v>72</v>
      </c>
      <c r="M486" t="s">
        <v>73</v>
      </c>
      <c r="N486" t="s">
        <v>72</v>
      </c>
      <c r="O486" t="s">
        <v>72</v>
      </c>
      <c r="P486" t="s">
        <v>72</v>
      </c>
      <c r="Q486" t="s">
        <v>74</v>
      </c>
    </row>
    <row r="487" spans="1:17" x14ac:dyDescent="0.2">
      <c r="A487">
        <v>55</v>
      </c>
      <c r="B487" t="s">
        <v>75</v>
      </c>
      <c r="C487" t="s">
        <v>73</v>
      </c>
      <c r="D487" t="s">
        <v>73</v>
      </c>
      <c r="E487" t="s">
        <v>73</v>
      </c>
      <c r="F487" t="s">
        <v>72</v>
      </c>
      <c r="G487" t="s">
        <v>73</v>
      </c>
      <c r="H487" t="s">
        <v>72</v>
      </c>
      <c r="I487" t="s">
        <v>72</v>
      </c>
      <c r="J487" t="s">
        <v>73</v>
      </c>
      <c r="K487" t="s">
        <v>72</v>
      </c>
      <c r="L487" t="s">
        <v>73</v>
      </c>
      <c r="M487" t="s">
        <v>73</v>
      </c>
      <c r="N487" t="s">
        <v>72</v>
      </c>
      <c r="O487" t="s">
        <v>72</v>
      </c>
      <c r="P487" t="s">
        <v>72</v>
      </c>
      <c r="Q487" t="s">
        <v>74</v>
      </c>
    </row>
    <row r="488" spans="1:17" x14ac:dyDescent="0.2">
      <c r="A488">
        <v>39</v>
      </c>
      <c r="B488" t="s">
        <v>75</v>
      </c>
      <c r="C488" t="s">
        <v>73</v>
      </c>
      <c r="D488" t="s">
        <v>73</v>
      </c>
      <c r="E488" t="s">
        <v>73</v>
      </c>
      <c r="F488" t="s">
        <v>73</v>
      </c>
      <c r="G488" t="s">
        <v>73</v>
      </c>
      <c r="H488" t="s">
        <v>72</v>
      </c>
      <c r="I488" t="s">
        <v>72</v>
      </c>
      <c r="J488" t="s">
        <v>73</v>
      </c>
      <c r="K488" t="s">
        <v>73</v>
      </c>
      <c r="L488" t="s">
        <v>73</v>
      </c>
      <c r="M488" t="s">
        <v>73</v>
      </c>
      <c r="N488" t="s">
        <v>72</v>
      </c>
      <c r="O488" t="s">
        <v>72</v>
      </c>
      <c r="P488" t="s">
        <v>72</v>
      </c>
      <c r="Q488" t="s">
        <v>74</v>
      </c>
    </row>
    <row r="489" spans="1:17" x14ac:dyDescent="0.2">
      <c r="A489">
        <v>43</v>
      </c>
      <c r="B489" t="s">
        <v>75</v>
      </c>
      <c r="C489" t="s">
        <v>73</v>
      </c>
      <c r="D489" t="s">
        <v>73</v>
      </c>
      <c r="E489" t="s">
        <v>73</v>
      </c>
      <c r="F489" t="s">
        <v>73</v>
      </c>
      <c r="G489" t="s">
        <v>73</v>
      </c>
      <c r="H489" t="s">
        <v>72</v>
      </c>
      <c r="I489" t="s">
        <v>73</v>
      </c>
      <c r="J489" t="s">
        <v>72</v>
      </c>
      <c r="K489" t="s">
        <v>72</v>
      </c>
      <c r="L489" t="s">
        <v>72</v>
      </c>
      <c r="M489" t="s">
        <v>73</v>
      </c>
      <c r="N489" t="s">
        <v>73</v>
      </c>
      <c r="O489" t="s">
        <v>72</v>
      </c>
      <c r="P489" t="s">
        <v>73</v>
      </c>
      <c r="Q489" t="s">
        <v>74</v>
      </c>
    </row>
    <row r="490" spans="1:17" x14ac:dyDescent="0.2">
      <c r="A490">
        <v>50</v>
      </c>
      <c r="B490" t="s">
        <v>75</v>
      </c>
      <c r="C490" t="s">
        <v>72</v>
      </c>
      <c r="D490" t="s">
        <v>72</v>
      </c>
      <c r="E490" t="s">
        <v>72</v>
      </c>
      <c r="F490" t="s">
        <v>73</v>
      </c>
      <c r="G490" t="s">
        <v>72</v>
      </c>
      <c r="H490" t="s">
        <v>72</v>
      </c>
      <c r="I490" t="s">
        <v>73</v>
      </c>
      <c r="J490" t="s">
        <v>73</v>
      </c>
      <c r="K490" t="s">
        <v>72</v>
      </c>
      <c r="L490" t="s">
        <v>73</v>
      </c>
      <c r="M490" t="s">
        <v>72</v>
      </c>
      <c r="N490" t="s">
        <v>72</v>
      </c>
      <c r="O490" t="s">
        <v>73</v>
      </c>
      <c r="P490" t="s">
        <v>72</v>
      </c>
      <c r="Q490" t="s">
        <v>76</v>
      </c>
    </row>
    <row r="491" spans="1:17" x14ac:dyDescent="0.2">
      <c r="A491">
        <v>30</v>
      </c>
      <c r="B491" t="s">
        <v>71</v>
      </c>
      <c r="C491" t="s">
        <v>72</v>
      </c>
      <c r="D491" t="s">
        <v>72</v>
      </c>
      <c r="E491" t="s">
        <v>72</v>
      </c>
      <c r="F491" t="s">
        <v>72</v>
      </c>
      <c r="G491" t="s">
        <v>72</v>
      </c>
      <c r="H491" t="s">
        <v>72</v>
      </c>
      <c r="I491" t="s">
        <v>72</v>
      </c>
      <c r="J491" t="s">
        <v>72</v>
      </c>
      <c r="K491" t="s">
        <v>72</v>
      </c>
      <c r="L491" t="s">
        <v>72</v>
      </c>
      <c r="M491" t="s">
        <v>72</v>
      </c>
      <c r="N491" t="s">
        <v>72</v>
      </c>
      <c r="O491" t="s">
        <v>72</v>
      </c>
      <c r="P491" t="s">
        <v>72</v>
      </c>
      <c r="Q491" t="s">
        <v>76</v>
      </c>
    </row>
    <row r="492" spans="1:17" x14ac:dyDescent="0.2">
      <c r="A492">
        <v>46</v>
      </c>
      <c r="B492" t="s">
        <v>71</v>
      </c>
      <c r="C492" t="s">
        <v>72</v>
      </c>
      <c r="D492" t="s">
        <v>72</v>
      </c>
      <c r="E492" t="s">
        <v>72</v>
      </c>
      <c r="F492" t="s">
        <v>73</v>
      </c>
      <c r="G492" t="s">
        <v>72</v>
      </c>
      <c r="H492" t="s">
        <v>72</v>
      </c>
      <c r="I492" t="s">
        <v>72</v>
      </c>
      <c r="J492" t="s">
        <v>73</v>
      </c>
      <c r="K492" t="s">
        <v>72</v>
      </c>
      <c r="L492" t="s">
        <v>73</v>
      </c>
      <c r="M492" t="s">
        <v>72</v>
      </c>
      <c r="N492" t="s">
        <v>72</v>
      </c>
      <c r="O492" t="s">
        <v>73</v>
      </c>
      <c r="P492" t="s">
        <v>72</v>
      </c>
      <c r="Q492" t="s">
        <v>76</v>
      </c>
    </row>
    <row r="493" spans="1:17" x14ac:dyDescent="0.2">
      <c r="A493">
        <v>53</v>
      </c>
      <c r="B493" t="s">
        <v>71</v>
      </c>
      <c r="C493" t="s">
        <v>72</v>
      </c>
      <c r="D493" t="s">
        <v>72</v>
      </c>
      <c r="E493" t="s">
        <v>72</v>
      </c>
      <c r="F493" t="s">
        <v>73</v>
      </c>
      <c r="G493" t="s">
        <v>73</v>
      </c>
      <c r="H493" t="s">
        <v>72</v>
      </c>
      <c r="I493" t="s">
        <v>73</v>
      </c>
      <c r="J493" t="s">
        <v>73</v>
      </c>
      <c r="K493" t="s">
        <v>72</v>
      </c>
      <c r="L493" t="s">
        <v>73</v>
      </c>
      <c r="M493" t="s">
        <v>73</v>
      </c>
      <c r="N493" t="s">
        <v>73</v>
      </c>
      <c r="O493" t="s">
        <v>73</v>
      </c>
      <c r="P493" t="s">
        <v>72</v>
      </c>
      <c r="Q493" t="s">
        <v>76</v>
      </c>
    </row>
    <row r="494" spans="1:17" x14ac:dyDescent="0.2">
      <c r="A494">
        <v>64</v>
      </c>
      <c r="B494" t="s">
        <v>71</v>
      </c>
      <c r="C494" t="s">
        <v>72</v>
      </c>
      <c r="D494" t="s">
        <v>72</v>
      </c>
      <c r="E494" t="s">
        <v>72</v>
      </c>
      <c r="F494" t="s">
        <v>73</v>
      </c>
      <c r="G494" t="s">
        <v>73</v>
      </c>
      <c r="H494" t="s">
        <v>72</v>
      </c>
      <c r="I494" t="s">
        <v>73</v>
      </c>
      <c r="J494" t="s">
        <v>73</v>
      </c>
      <c r="K494" t="s">
        <v>73</v>
      </c>
      <c r="L494" t="s">
        <v>73</v>
      </c>
      <c r="M494" t="s">
        <v>72</v>
      </c>
      <c r="N494" t="s">
        <v>73</v>
      </c>
      <c r="O494" t="s">
        <v>73</v>
      </c>
      <c r="P494" t="s">
        <v>72</v>
      </c>
      <c r="Q494" t="s">
        <v>76</v>
      </c>
    </row>
    <row r="495" spans="1:17" x14ac:dyDescent="0.2">
      <c r="A495">
        <v>44</v>
      </c>
      <c r="B495" t="s">
        <v>71</v>
      </c>
      <c r="C495" t="s">
        <v>73</v>
      </c>
      <c r="D495" t="s">
        <v>72</v>
      </c>
      <c r="E495" t="s">
        <v>73</v>
      </c>
      <c r="F495" t="s">
        <v>73</v>
      </c>
      <c r="G495" t="s">
        <v>72</v>
      </c>
      <c r="H495" t="s">
        <v>73</v>
      </c>
      <c r="I495" t="s">
        <v>72</v>
      </c>
      <c r="J495" t="s">
        <v>73</v>
      </c>
      <c r="K495" t="s">
        <v>72</v>
      </c>
      <c r="L495" t="s">
        <v>73</v>
      </c>
      <c r="M495" t="s">
        <v>72</v>
      </c>
      <c r="N495" t="s">
        <v>72</v>
      </c>
      <c r="O495" t="s">
        <v>73</v>
      </c>
      <c r="P495" t="s">
        <v>73</v>
      </c>
      <c r="Q495" t="s">
        <v>76</v>
      </c>
    </row>
    <row r="496" spans="1:17" x14ac:dyDescent="0.2">
      <c r="A496">
        <v>36</v>
      </c>
      <c r="B496" t="s">
        <v>71</v>
      </c>
      <c r="C496" t="s">
        <v>72</v>
      </c>
      <c r="D496" t="s">
        <v>72</v>
      </c>
      <c r="E496" t="s">
        <v>72</v>
      </c>
      <c r="F496" t="s">
        <v>72</v>
      </c>
      <c r="G496" t="s">
        <v>72</v>
      </c>
      <c r="H496" t="s">
        <v>72</v>
      </c>
      <c r="I496" t="s">
        <v>72</v>
      </c>
      <c r="J496" t="s">
        <v>72</v>
      </c>
      <c r="K496" t="s">
        <v>72</v>
      </c>
      <c r="L496" t="s">
        <v>72</v>
      </c>
      <c r="M496" t="s">
        <v>72</v>
      </c>
      <c r="N496" t="s">
        <v>72</v>
      </c>
      <c r="O496" t="s">
        <v>72</v>
      </c>
      <c r="P496" t="s">
        <v>72</v>
      </c>
      <c r="Q496" t="s">
        <v>76</v>
      </c>
    </row>
    <row r="497" spans="1:17" x14ac:dyDescent="0.2">
      <c r="A497">
        <v>43</v>
      </c>
      <c r="B497" t="s">
        <v>71</v>
      </c>
      <c r="C497" t="s">
        <v>72</v>
      </c>
      <c r="D497" t="s">
        <v>72</v>
      </c>
      <c r="E497" t="s">
        <v>72</v>
      </c>
      <c r="F497" t="s">
        <v>73</v>
      </c>
      <c r="G497" t="s">
        <v>72</v>
      </c>
      <c r="H497" t="s">
        <v>73</v>
      </c>
      <c r="I497" t="s">
        <v>72</v>
      </c>
      <c r="J497" t="s">
        <v>73</v>
      </c>
      <c r="K497" t="s">
        <v>72</v>
      </c>
      <c r="L497" t="s">
        <v>72</v>
      </c>
      <c r="M497" t="s">
        <v>72</v>
      </c>
      <c r="N497" t="s">
        <v>72</v>
      </c>
      <c r="O497" t="s">
        <v>73</v>
      </c>
      <c r="P497" t="s">
        <v>72</v>
      </c>
      <c r="Q497" t="s">
        <v>76</v>
      </c>
    </row>
    <row r="498" spans="1:17" x14ac:dyDescent="0.2">
      <c r="A498">
        <v>53</v>
      </c>
      <c r="B498" t="s">
        <v>71</v>
      </c>
      <c r="C498" t="s">
        <v>72</v>
      </c>
      <c r="D498" t="s">
        <v>72</v>
      </c>
      <c r="E498" t="s">
        <v>72</v>
      </c>
      <c r="F498" t="s">
        <v>73</v>
      </c>
      <c r="G498" t="s">
        <v>72</v>
      </c>
      <c r="H498" t="s">
        <v>72</v>
      </c>
      <c r="I498" t="s">
        <v>73</v>
      </c>
      <c r="J498" t="s">
        <v>73</v>
      </c>
      <c r="K498" t="s">
        <v>72</v>
      </c>
      <c r="L498" t="s">
        <v>73</v>
      </c>
      <c r="M498" t="s">
        <v>72</v>
      </c>
      <c r="N498" t="s">
        <v>73</v>
      </c>
      <c r="O498" t="s">
        <v>73</v>
      </c>
      <c r="P498" t="s">
        <v>72</v>
      </c>
      <c r="Q498" t="s">
        <v>76</v>
      </c>
    </row>
    <row r="499" spans="1:17" x14ac:dyDescent="0.2">
      <c r="A499">
        <v>47</v>
      </c>
      <c r="B499" t="s">
        <v>71</v>
      </c>
      <c r="C499" t="s">
        <v>72</v>
      </c>
      <c r="D499" t="s">
        <v>72</v>
      </c>
      <c r="E499" t="s">
        <v>72</v>
      </c>
      <c r="F499" t="s">
        <v>72</v>
      </c>
      <c r="G499" t="s">
        <v>72</v>
      </c>
      <c r="H499" t="s">
        <v>72</v>
      </c>
      <c r="I499" t="s">
        <v>72</v>
      </c>
      <c r="J499" t="s">
        <v>72</v>
      </c>
      <c r="K499" t="s">
        <v>73</v>
      </c>
      <c r="L499" t="s">
        <v>72</v>
      </c>
      <c r="M499" t="s">
        <v>73</v>
      </c>
      <c r="N499" t="s">
        <v>72</v>
      </c>
      <c r="O499" t="s">
        <v>72</v>
      </c>
      <c r="P499" t="s">
        <v>73</v>
      </c>
      <c r="Q499" t="s">
        <v>76</v>
      </c>
    </row>
    <row r="500" spans="1:17" x14ac:dyDescent="0.2">
      <c r="A500">
        <v>68</v>
      </c>
      <c r="B500" t="s">
        <v>75</v>
      </c>
      <c r="C500" t="s">
        <v>73</v>
      </c>
      <c r="D500" t="s">
        <v>73</v>
      </c>
      <c r="E500" t="s">
        <v>72</v>
      </c>
      <c r="F500" t="s">
        <v>73</v>
      </c>
      <c r="G500" t="s">
        <v>73</v>
      </c>
      <c r="H500" t="s">
        <v>72</v>
      </c>
      <c r="I500" t="s">
        <v>73</v>
      </c>
      <c r="J500" t="s">
        <v>73</v>
      </c>
      <c r="K500" t="s">
        <v>72</v>
      </c>
      <c r="L500" t="s">
        <v>73</v>
      </c>
      <c r="M500" t="s">
        <v>73</v>
      </c>
      <c r="N500" t="s">
        <v>72</v>
      </c>
      <c r="O500" t="s">
        <v>72</v>
      </c>
      <c r="P500" t="s">
        <v>72</v>
      </c>
      <c r="Q500" t="s">
        <v>74</v>
      </c>
    </row>
    <row r="501" spans="1:17" x14ac:dyDescent="0.2">
      <c r="A501">
        <v>64</v>
      </c>
      <c r="B501" t="s">
        <v>71</v>
      </c>
      <c r="C501" t="s">
        <v>72</v>
      </c>
      <c r="D501" t="s">
        <v>72</v>
      </c>
      <c r="E501" t="s">
        <v>72</v>
      </c>
      <c r="F501" t="s">
        <v>73</v>
      </c>
      <c r="G501" t="s">
        <v>73</v>
      </c>
      <c r="H501" t="s">
        <v>72</v>
      </c>
      <c r="I501" t="s">
        <v>73</v>
      </c>
      <c r="J501" t="s">
        <v>73</v>
      </c>
      <c r="K501" t="s">
        <v>73</v>
      </c>
      <c r="L501" t="s">
        <v>73</v>
      </c>
      <c r="M501" t="s">
        <v>72</v>
      </c>
      <c r="N501" t="s">
        <v>73</v>
      </c>
      <c r="O501" t="s">
        <v>73</v>
      </c>
      <c r="P501" t="s">
        <v>72</v>
      </c>
      <c r="Q501" t="s">
        <v>76</v>
      </c>
    </row>
    <row r="502" spans="1:17" x14ac:dyDescent="0.2">
      <c r="A502">
        <v>66</v>
      </c>
      <c r="B502" t="s">
        <v>71</v>
      </c>
      <c r="C502" t="s">
        <v>73</v>
      </c>
      <c r="D502" t="s">
        <v>72</v>
      </c>
      <c r="E502" t="s">
        <v>73</v>
      </c>
      <c r="F502" t="s">
        <v>72</v>
      </c>
      <c r="G502" t="s">
        <v>72</v>
      </c>
      <c r="H502" t="s">
        <v>73</v>
      </c>
      <c r="I502" t="s">
        <v>72</v>
      </c>
      <c r="J502" t="s">
        <v>73</v>
      </c>
      <c r="K502" t="s">
        <v>73</v>
      </c>
      <c r="L502" t="s">
        <v>72</v>
      </c>
      <c r="M502" t="s">
        <v>72</v>
      </c>
      <c r="N502" t="s">
        <v>72</v>
      </c>
      <c r="O502" t="s">
        <v>73</v>
      </c>
      <c r="P502" t="s">
        <v>72</v>
      </c>
      <c r="Q502" t="s">
        <v>74</v>
      </c>
    </row>
    <row r="503" spans="1:17" x14ac:dyDescent="0.2">
      <c r="A503">
        <v>67</v>
      </c>
      <c r="B503" t="s">
        <v>71</v>
      </c>
      <c r="C503" t="s">
        <v>72</v>
      </c>
      <c r="D503" t="s">
        <v>72</v>
      </c>
      <c r="E503" t="s">
        <v>72</v>
      </c>
      <c r="F503" t="s">
        <v>72</v>
      </c>
      <c r="G503" t="s">
        <v>73</v>
      </c>
      <c r="H503" t="s">
        <v>72</v>
      </c>
      <c r="I503" t="s">
        <v>73</v>
      </c>
      <c r="J503" t="s">
        <v>72</v>
      </c>
      <c r="K503" t="s">
        <v>72</v>
      </c>
      <c r="L503" t="s">
        <v>72</v>
      </c>
      <c r="M503" t="s">
        <v>72</v>
      </c>
      <c r="N503" t="s">
        <v>73</v>
      </c>
      <c r="O503" t="s">
        <v>72</v>
      </c>
      <c r="P503" t="s">
        <v>72</v>
      </c>
      <c r="Q503" t="s">
        <v>76</v>
      </c>
    </row>
    <row r="504" spans="1:17" x14ac:dyDescent="0.2">
      <c r="A504">
        <v>70</v>
      </c>
      <c r="B504" t="s">
        <v>71</v>
      </c>
      <c r="C504" t="s">
        <v>73</v>
      </c>
      <c r="D504" t="s">
        <v>72</v>
      </c>
      <c r="E504" t="s">
        <v>72</v>
      </c>
      <c r="F504" t="s">
        <v>72</v>
      </c>
      <c r="G504" t="s">
        <v>73</v>
      </c>
      <c r="H504" t="s">
        <v>72</v>
      </c>
      <c r="I504" t="s">
        <v>73</v>
      </c>
      <c r="J504" t="s">
        <v>73</v>
      </c>
      <c r="K504" t="s">
        <v>72</v>
      </c>
      <c r="L504" t="s">
        <v>73</v>
      </c>
      <c r="M504" t="s">
        <v>73</v>
      </c>
      <c r="N504" t="s">
        <v>73</v>
      </c>
      <c r="O504" t="s">
        <v>73</v>
      </c>
      <c r="P504" t="s">
        <v>72</v>
      </c>
      <c r="Q504" t="s">
        <v>76</v>
      </c>
    </row>
    <row r="505" spans="1:17" x14ac:dyDescent="0.2">
      <c r="A505">
        <v>44</v>
      </c>
      <c r="B505" t="s">
        <v>71</v>
      </c>
      <c r="C505" t="s">
        <v>72</v>
      </c>
      <c r="D505" t="s">
        <v>72</v>
      </c>
      <c r="E505" t="s">
        <v>72</v>
      </c>
      <c r="F505" t="s">
        <v>72</v>
      </c>
      <c r="G505" t="s">
        <v>72</v>
      </c>
      <c r="H505" t="s">
        <v>72</v>
      </c>
      <c r="I505" t="s">
        <v>72</v>
      </c>
      <c r="J505" t="s">
        <v>72</v>
      </c>
      <c r="K505" t="s">
        <v>72</v>
      </c>
      <c r="L505" t="s">
        <v>72</v>
      </c>
      <c r="M505" t="s">
        <v>72</v>
      </c>
      <c r="N505" t="s">
        <v>72</v>
      </c>
      <c r="O505" t="s">
        <v>72</v>
      </c>
      <c r="P505" t="s">
        <v>72</v>
      </c>
      <c r="Q505" t="s">
        <v>76</v>
      </c>
    </row>
    <row r="506" spans="1:17" x14ac:dyDescent="0.2">
      <c r="A506">
        <v>38</v>
      </c>
      <c r="B506" t="s">
        <v>71</v>
      </c>
      <c r="C506" t="s">
        <v>72</v>
      </c>
      <c r="D506" t="s">
        <v>72</v>
      </c>
      <c r="E506" t="s">
        <v>72</v>
      </c>
      <c r="F506" t="s">
        <v>72</v>
      </c>
      <c r="G506" t="s">
        <v>72</v>
      </c>
      <c r="H506" t="s">
        <v>72</v>
      </c>
      <c r="I506" t="s">
        <v>72</v>
      </c>
      <c r="J506" t="s">
        <v>72</v>
      </c>
      <c r="K506" t="s">
        <v>72</v>
      </c>
      <c r="L506" t="s">
        <v>72</v>
      </c>
      <c r="M506" t="s">
        <v>72</v>
      </c>
      <c r="N506" t="s">
        <v>72</v>
      </c>
      <c r="O506" t="s">
        <v>72</v>
      </c>
      <c r="P506" t="s">
        <v>72</v>
      </c>
      <c r="Q506" t="s">
        <v>76</v>
      </c>
    </row>
    <row r="507" spans="1:17" x14ac:dyDescent="0.2">
      <c r="A507">
        <v>35</v>
      </c>
      <c r="B507" t="s">
        <v>71</v>
      </c>
      <c r="C507" t="s">
        <v>72</v>
      </c>
      <c r="D507" t="s">
        <v>72</v>
      </c>
      <c r="E507" t="s">
        <v>72</v>
      </c>
      <c r="F507" t="s">
        <v>72</v>
      </c>
      <c r="G507" t="s">
        <v>72</v>
      </c>
      <c r="H507" t="s">
        <v>72</v>
      </c>
      <c r="I507" t="s">
        <v>72</v>
      </c>
      <c r="J507" t="s">
        <v>72</v>
      </c>
      <c r="K507" t="s">
        <v>72</v>
      </c>
      <c r="L507" t="s">
        <v>72</v>
      </c>
      <c r="M507" t="s">
        <v>72</v>
      </c>
      <c r="N507" t="s">
        <v>72</v>
      </c>
      <c r="O507" t="s">
        <v>72</v>
      </c>
      <c r="P507" t="s">
        <v>72</v>
      </c>
      <c r="Q507" t="s">
        <v>76</v>
      </c>
    </row>
    <row r="508" spans="1:17" x14ac:dyDescent="0.2">
      <c r="A508">
        <v>61</v>
      </c>
      <c r="B508" t="s">
        <v>71</v>
      </c>
      <c r="C508" t="s">
        <v>72</v>
      </c>
      <c r="D508" t="s">
        <v>72</v>
      </c>
      <c r="E508" t="s">
        <v>72</v>
      </c>
      <c r="F508" t="s">
        <v>73</v>
      </c>
      <c r="G508" t="s">
        <v>72</v>
      </c>
      <c r="H508" t="s">
        <v>73</v>
      </c>
      <c r="I508" t="s">
        <v>72</v>
      </c>
      <c r="J508" t="s">
        <v>73</v>
      </c>
      <c r="K508" t="s">
        <v>72</v>
      </c>
      <c r="L508" t="s">
        <v>73</v>
      </c>
      <c r="M508" t="s">
        <v>72</v>
      </c>
      <c r="N508" t="s">
        <v>72</v>
      </c>
      <c r="O508" t="s">
        <v>73</v>
      </c>
      <c r="P508" t="s">
        <v>72</v>
      </c>
      <c r="Q508" t="s">
        <v>76</v>
      </c>
    </row>
    <row r="509" spans="1:17" x14ac:dyDescent="0.2">
      <c r="A509">
        <v>60</v>
      </c>
      <c r="B509" t="s">
        <v>71</v>
      </c>
      <c r="C509" t="s">
        <v>72</v>
      </c>
      <c r="D509" t="s">
        <v>72</v>
      </c>
      <c r="E509" t="s">
        <v>73</v>
      </c>
      <c r="F509" t="s">
        <v>72</v>
      </c>
      <c r="G509" t="s">
        <v>72</v>
      </c>
      <c r="H509" t="s">
        <v>72</v>
      </c>
      <c r="I509" t="s">
        <v>72</v>
      </c>
      <c r="J509" t="s">
        <v>72</v>
      </c>
      <c r="K509" t="s">
        <v>72</v>
      </c>
      <c r="L509" t="s">
        <v>72</v>
      </c>
      <c r="M509" t="s">
        <v>72</v>
      </c>
      <c r="N509" t="s">
        <v>72</v>
      </c>
      <c r="O509" t="s">
        <v>72</v>
      </c>
      <c r="P509" t="s">
        <v>73</v>
      </c>
      <c r="Q509" t="s">
        <v>76</v>
      </c>
    </row>
    <row r="510" spans="1:17" x14ac:dyDescent="0.2">
      <c r="A510">
        <v>58</v>
      </c>
      <c r="B510" t="s">
        <v>71</v>
      </c>
      <c r="C510" t="s">
        <v>72</v>
      </c>
      <c r="D510" t="s">
        <v>72</v>
      </c>
      <c r="E510" t="s">
        <v>72</v>
      </c>
      <c r="F510" t="s">
        <v>73</v>
      </c>
      <c r="G510" t="s">
        <v>72</v>
      </c>
      <c r="H510" t="s">
        <v>72</v>
      </c>
      <c r="I510" t="s">
        <v>72</v>
      </c>
      <c r="J510" t="s">
        <v>73</v>
      </c>
      <c r="K510" t="s">
        <v>72</v>
      </c>
      <c r="L510" t="s">
        <v>73</v>
      </c>
      <c r="M510" t="s">
        <v>72</v>
      </c>
      <c r="N510" t="s">
        <v>73</v>
      </c>
      <c r="O510" t="s">
        <v>73</v>
      </c>
      <c r="P510" t="s">
        <v>72</v>
      </c>
      <c r="Q510" t="s">
        <v>76</v>
      </c>
    </row>
    <row r="511" spans="1:17" x14ac:dyDescent="0.2">
      <c r="A511">
        <v>54</v>
      </c>
      <c r="B511" t="s">
        <v>71</v>
      </c>
      <c r="C511" t="s">
        <v>72</v>
      </c>
      <c r="D511" t="s">
        <v>72</v>
      </c>
      <c r="E511" t="s">
        <v>72</v>
      </c>
      <c r="F511" t="s">
        <v>72</v>
      </c>
      <c r="G511" t="s">
        <v>72</v>
      </c>
      <c r="H511" t="s">
        <v>72</v>
      </c>
      <c r="I511" t="s">
        <v>72</v>
      </c>
      <c r="J511" t="s">
        <v>72</v>
      </c>
      <c r="K511" t="s">
        <v>72</v>
      </c>
      <c r="L511" t="s">
        <v>72</v>
      </c>
      <c r="M511" t="s">
        <v>72</v>
      </c>
      <c r="N511" t="s">
        <v>72</v>
      </c>
      <c r="O511" t="s">
        <v>72</v>
      </c>
      <c r="P511" t="s">
        <v>72</v>
      </c>
      <c r="Q511" t="s">
        <v>76</v>
      </c>
    </row>
    <row r="512" spans="1:17" x14ac:dyDescent="0.2">
      <c r="A512">
        <v>67</v>
      </c>
      <c r="B512" t="s">
        <v>71</v>
      </c>
      <c r="C512" t="s">
        <v>72</v>
      </c>
      <c r="D512" t="s">
        <v>72</v>
      </c>
      <c r="E512" t="s">
        <v>72</v>
      </c>
      <c r="F512" t="s">
        <v>73</v>
      </c>
      <c r="G512" t="s">
        <v>72</v>
      </c>
      <c r="H512" t="s">
        <v>72</v>
      </c>
      <c r="I512" t="s">
        <v>72</v>
      </c>
      <c r="J512" t="s">
        <v>73</v>
      </c>
      <c r="K512" t="s">
        <v>72</v>
      </c>
      <c r="L512" t="s">
        <v>73</v>
      </c>
      <c r="M512" t="s">
        <v>72</v>
      </c>
      <c r="N512" t="s">
        <v>72</v>
      </c>
      <c r="O512" t="s">
        <v>73</v>
      </c>
      <c r="P512" t="s">
        <v>72</v>
      </c>
      <c r="Q512" t="s">
        <v>76</v>
      </c>
    </row>
    <row r="513" spans="1:17" x14ac:dyDescent="0.2">
      <c r="A513">
        <v>66</v>
      </c>
      <c r="B513" t="s">
        <v>71</v>
      </c>
      <c r="C513" t="s">
        <v>72</v>
      </c>
      <c r="D513" t="s">
        <v>72</v>
      </c>
      <c r="E513" t="s">
        <v>72</v>
      </c>
      <c r="F513" t="s">
        <v>73</v>
      </c>
      <c r="G513" t="s">
        <v>73</v>
      </c>
      <c r="H513" t="s">
        <v>72</v>
      </c>
      <c r="I513" t="s">
        <v>73</v>
      </c>
      <c r="J513" t="s">
        <v>73</v>
      </c>
      <c r="K513" t="s">
        <v>72</v>
      </c>
      <c r="L513" t="s">
        <v>73</v>
      </c>
      <c r="M513" t="s">
        <v>73</v>
      </c>
      <c r="N513" t="s">
        <v>73</v>
      </c>
      <c r="O513" t="s">
        <v>73</v>
      </c>
      <c r="P513" t="s">
        <v>72</v>
      </c>
      <c r="Q513" t="s">
        <v>76</v>
      </c>
    </row>
    <row r="514" spans="1:17" x14ac:dyDescent="0.2">
      <c r="A514">
        <v>43</v>
      </c>
      <c r="B514" t="s">
        <v>71</v>
      </c>
      <c r="C514" t="s">
        <v>72</v>
      </c>
      <c r="D514" t="s">
        <v>72</v>
      </c>
      <c r="E514" t="s">
        <v>72</v>
      </c>
      <c r="F514" t="s">
        <v>72</v>
      </c>
      <c r="G514" t="s">
        <v>72</v>
      </c>
      <c r="H514" t="s">
        <v>72</v>
      </c>
      <c r="I514" t="s">
        <v>72</v>
      </c>
      <c r="J514" t="s">
        <v>72</v>
      </c>
      <c r="K514" t="s">
        <v>72</v>
      </c>
      <c r="L514" t="s">
        <v>72</v>
      </c>
      <c r="M514" t="s">
        <v>72</v>
      </c>
      <c r="N514" t="s">
        <v>72</v>
      </c>
      <c r="O514" t="s">
        <v>73</v>
      </c>
      <c r="P514" t="s">
        <v>72</v>
      </c>
      <c r="Q514" t="s">
        <v>76</v>
      </c>
    </row>
    <row r="515" spans="1:17" x14ac:dyDescent="0.2">
      <c r="A515">
        <v>62</v>
      </c>
      <c r="B515" t="s">
        <v>75</v>
      </c>
      <c r="C515" t="s">
        <v>73</v>
      </c>
      <c r="D515" t="s">
        <v>73</v>
      </c>
      <c r="E515" t="s">
        <v>73</v>
      </c>
      <c r="F515" t="s">
        <v>73</v>
      </c>
      <c r="G515" t="s">
        <v>72</v>
      </c>
      <c r="H515" t="s">
        <v>72</v>
      </c>
      <c r="I515" t="s">
        <v>73</v>
      </c>
      <c r="J515" t="s">
        <v>72</v>
      </c>
      <c r="K515" t="s">
        <v>72</v>
      </c>
      <c r="L515" t="s">
        <v>72</v>
      </c>
      <c r="M515" t="s">
        <v>73</v>
      </c>
      <c r="N515" t="s">
        <v>72</v>
      </c>
      <c r="O515" t="s">
        <v>72</v>
      </c>
      <c r="P515" t="s">
        <v>73</v>
      </c>
      <c r="Q515" t="s">
        <v>74</v>
      </c>
    </row>
    <row r="516" spans="1:17" x14ac:dyDescent="0.2">
      <c r="A516">
        <v>54</v>
      </c>
      <c r="B516" t="s">
        <v>75</v>
      </c>
      <c r="C516" t="s">
        <v>73</v>
      </c>
      <c r="D516" t="s">
        <v>73</v>
      </c>
      <c r="E516" t="s">
        <v>73</v>
      </c>
      <c r="F516" t="s">
        <v>73</v>
      </c>
      <c r="G516" t="s">
        <v>73</v>
      </c>
      <c r="H516" t="s">
        <v>72</v>
      </c>
      <c r="I516" t="s">
        <v>72</v>
      </c>
      <c r="J516" t="s">
        <v>72</v>
      </c>
      <c r="K516" t="s">
        <v>72</v>
      </c>
      <c r="L516" t="s">
        <v>72</v>
      </c>
      <c r="M516" t="s">
        <v>73</v>
      </c>
      <c r="N516" t="s">
        <v>72</v>
      </c>
      <c r="O516" t="s">
        <v>72</v>
      </c>
      <c r="P516" t="s">
        <v>72</v>
      </c>
      <c r="Q516" t="s">
        <v>74</v>
      </c>
    </row>
    <row r="517" spans="1:17" x14ac:dyDescent="0.2">
      <c r="A517">
        <v>39</v>
      </c>
      <c r="B517" t="s">
        <v>75</v>
      </c>
      <c r="C517" t="s">
        <v>73</v>
      </c>
      <c r="D517" t="s">
        <v>73</v>
      </c>
      <c r="E517" t="s">
        <v>73</v>
      </c>
      <c r="F517" t="s">
        <v>72</v>
      </c>
      <c r="G517" t="s">
        <v>73</v>
      </c>
      <c r="H517" t="s">
        <v>72</v>
      </c>
      <c r="I517" t="s">
        <v>72</v>
      </c>
      <c r="J517" t="s">
        <v>73</v>
      </c>
      <c r="K517" t="s">
        <v>72</v>
      </c>
      <c r="L517" t="s">
        <v>73</v>
      </c>
      <c r="M517" t="s">
        <v>73</v>
      </c>
      <c r="N517" t="s">
        <v>72</v>
      </c>
      <c r="O517" t="s">
        <v>72</v>
      </c>
      <c r="P517" t="s">
        <v>72</v>
      </c>
      <c r="Q517" t="s">
        <v>74</v>
      </c>
    </row>
    <row r="518" spans="1:17" x14ac:dyDescent="0.2">
      <c r="A518">
        <v>48</v>
      </c>
      <c r="B518" t="s">
        <v>75</v>
      </c>
      <c r="C518" t="s">
        <v>73</v>
      </c>
      <c r="D518" t="s">
        <v>73</v>
      </c>
      <c r="E518" t="s">
        <v>73</v>
      </c>
      <c r="F518" t="s">
        <v>73</v>
      </c>
      <c r="G518" t="s">
        <v>73</v>
      </c>
      <c r="H518" t="s">
        <v>72</v>
      </c>
      <c r="I518" t="s">
        <v>72</v>
      </c>
      <c r="J518" t="s">
        <v>73</v>
      </c>
      <c r="K518" t="s">
        <v>73</v>
      </c>
      <c r="L518" t="s">
        <v>73</v>
      </c>
      <c r="M518" t="s">
        <v>73</v>
      </c>
      <c r="N518" t="s">
        <v>72</v>
      </c>
      <c r="O518" t="s">
        <v>72</v>
      </c>
      <c r="P518" t="s">
        <v>72</v>
      </c>
      <c r="Q518" t="s">
        <v>74</v>
      </c>
    </row>
    <row r="519" spans="1:17" x14ac:dyDescent="0.2">
      <c r="A519">
        <v>58</v>
      </c>
      <c r="B519" t="s">
        <v>75</v>
      </c>
      <c r="C519" t="s">
        <v>73</v>
      </c>
      <c r="D519" t="s">
        <v>73</v>
      </c>
      <c r="E519" t="s">
        <v>73</v>
      </c>
      <c r="F519" t="s">
        <v>73</v>
      </c>
      <c r="G519" t="s">
        <v>73</v>
      </c>
      <c r="H519" t="s">
        <v>72</v>
      </c>
      <c r="I519" t="s">
        <v>73</v>
      </c>
      <c r="J519" t="s">
        <v>72</v>
      </c>
      <c r="K519" t="s">
        <v>72</v>
      </c>
      <c r="L519" t="s">
        <v>72</v>
      </c>
      <c r="M519" t="s">
        <v>73</v>
      </c>
      <c r="N519" t="s">
        <v>73</v>
      </c>
      <c r="O519" t="s">
        <v>72</v>
      </c>
      <c r="P519" t="s">
        <v>73</v>
      </c>
      <c r="Q519" t="s">
        <v>74</v>
      </c>
    </row>
    <row r="520" spans="1:17" x14ac:dyDescent="0.2">
      <c r="A520">
        <v>32</v>
      </c>
      <c r="B520" t="s">
        <v>75</v>
      </c>
      <c r="C520" t="s">
        <v>72</v>
      </c>
      <c r="D520" t="s">
        <v>72</v>
      </c>
      <c r="E520" t="s">
        <v>72</v>
      </c>
      <c r="F520" t="s">
        <v>73</v>
      </c>
      <c r="G520" t="s">
        <v>72</v>
      </c>
      <c r="H520" t="s">
        <v>72</v>
      </c>
      <c r="I520" t="s">
        <v>73</v>
      </c>
      <c r="J520" t="s">
        <v>73</v>
      </c>
      <c r="K520" t="s">
        <v>72</v>
      </c>
      <c r="L520" t="s">
        <v>73</v>
      </c>
      <c r="M520" t="s">
        <v>72</v>
      </c>
      <c r="N520" t="s">
        <v>72</v>
      </c>
      <c r="O520" t="s">
        <v>73</v>
      </c>
      <c r="P520" t="s">
        <v>72</v>
      </c>
      <c r="Q520" t="s">
        <v>76</v>
      </c>
    </row>
    <row r="521" spans="1:17" x14ac:dyDescent="0.2">
      <c r="A521">
        <v>42</v>
      </c>
      <c r="B521" t="s">
        <v>71</v>
      </c>
      <c r="C521" t="s">
        <v>72</v>
      </c>
      <c r="D521" t="s">
        <v>72</v>
      </c>
      <c r="E521" t="s">
        <v>72</v>
      </c>
      <c r="F521" t="s">
        <v>72</v>
      </c>
      <c r="G521" t="s">
        <v>72</v>
      </c>
      <c r="H521" t="s">
        <v>72</v>
      </c>
      <c r="I521" t="s">
        <v>72</v>
      </c>
      <c r="J521" t="s">
        <v>72</v>
      </c>
      <c r="K521" t="s">
        <v>72</v>
      </c>
      <c r="L521" t="s">
        <v>72</v>
      </c>
      <c r="M521" t="s">
        <v>72</v>
      </c>
      <c r="N521" t="s">
        <v>72</v>
      </c>
      <c r="O521" t="s">
        <v>72</v>
      </c>
      <c r="P521" t="s">
        <v>72</v>
      </c>
      <c r="Q5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portugese</vt:lpstr>
      <vt:lpstr>math</vt:lpstr>
      <vt:lpstr>main_attributes</vt:lpstr>
      <vt:lpstr>math_mother_father_ed</vt:lpstr>
      <vt:lpstr>parent_ed_combinations</vt:lpstr>
      <vt:lpstr>Sheet1</vt:lpstr>
      <vt:lpstr>Sheet1!diabetes_data_upload</vt:lpstr>
      <vt:lpstr>math!student_mat</vt:lpstr>
      <vt:lpstr>math_mother_father_ed!student_mat</vt:lpstr>
      <vt:lpstr>portugese!student_por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2022-03-04T22:14:03Z</dcterms:created>
  <dcterms:modified xsi:type="dcterms:W3CDTF">2022-03-21T14:20:51Z</dcterms:modified>
</cp:coreProperties>
</file>